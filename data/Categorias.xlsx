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"/>
    </mc:Choice>
  </mc:AlternateContent>
  <xr:revisionPtr revIDLastSave="0" documentId="13_ncr:1_{B6AF8BC7-4B31-40D0-865D-5A989AA94E04}" xr6:coauthVersionLast="47" xr6:coauthVersionMax="47" xr10:uidLastSave="{00000000-0000-0000-0000-000000000000}"/>
  <bookViews>
    <workbookView xWindow="28680" yWindow="-120" windowWidth="29040" windowHeight="15720" activeTab="8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6" l="1"/>
  <c r="H3" i="16"/>
  <c r="I3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K3" i="16"/>
  <c r="K4" i="16"/>
  <c r="K5" i="16"/>
  <c r="K6" i="16"/>
  <c r="K7" i="16"/>
  <c r="K8" i="16"/>
  <c r="K9" i="16"/>
  <c r="K10" i="16"/>
  <c r="K11" i="16"/>
  <c r="K12" i="16"/>
  <c r="K13" i="16"/>
  <c r="K14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J1" i="17"/>
  <c r="L1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A4" i="17"/>
  <c r="A3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N34" i="16"/>
  <c r="L34" i="16"/>
  <c r="N33" i="16"/>
  <c r="L33" i="16"/>
  <c r="N32" i="16"/>
  <c r="L32" i="16"/>
  <c r="N31" i="16"/>
  <c r="L31" i="16"/>
  <c r="N30" i="16"/>
  <c r="L30" i="16"/>
  <c r="N29" i="16"/>
  <c r="L29" i="16"/>
  <c r="N28" i="16"/>
  <c r="L28" i="16"/>
  <c r="N27" i="16"/>
  <c r="L27" i="16"/>
  <c r="N26" i="16"/>
  <c r="L26" i="16"/>
  <c r="N25" i="16"/>
  <c r="L25" i="16"/>
  <c r="N24" i="16"/>
  <c r="L24" i="16"/>
  <c r="N23" i="16"/>
  <c r="L23" i="16"/>
  <c r="N22" i="16"/>
  <c r="L22" i="16"/>
  <c r="N21" i="16"/>
  <c r="L21" i="16"/>
  <c r="N20" i="16"/>
  <c r="L20" i="16"/>
  <c r="N19" i="16"/>
  <c r="L19" i="16"/>
  <c r="N18" i="16"/>
  <c r="L18" i="16"/>
  <c r="N17" i="16"/>
  <c r="L17" i="16"/>
  <c r="N16" i="16"/>
  <c r="L16" i="16"/>
  <c r="N15" i="16"/>
  <c r="L15" i="16"/>
  <c r="N14" i="16"/>
  <c r="N13" i="16"/>
  <c r="L13" i="16"/>
  <c r="N12" i="16"/>
  <c r="L12" i="16"/>
  <c r="N9" i="16"/>
  <c r="L9" i="16"/>
  <c r="N8" i="16"/>
  <c r="L8" i="16"/>
  <c r="N7" i="16"/>
  <c r="L7" i="16"/>
  <c r="N11" i="16"/>
  <c r="L11" i="16"/>
  <c r="N10" i="16"/>
  <c r="L10" i="16"/>
  <c r="N6" i="16"/>
  <c r="L6" i="16"/>
  <c r="N5" i="16"/>
  <c r="L5" i="16"/>
  <c r="N4" i="16"/>
  <c r="L4" i="16"/>
  <c r="N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O3" i="16" l="1"/>
  <c r="P3" i="16"/>
  <c r="P23" i="7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O55" i="16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O58" i="16"/>
  <c r="O54" i="16"/>
  <c r="O50" i="16"/>
  <c r="O46" i="16"/>
  <c r="O42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Q3" i="16" l="1"/>
  <c r="Q40" i="16"/>
  <c r="Q50" i="16"/>
  <c r="Q59" i="16"/>
  <c r="Q55" i="16"/>
  <c r="Q62" i="16"/>
  <c r="Q39" i="16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O1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</calcChain>
</file>

<file path=xl/sharedStrings.xml><?xml version="1.0" encoding="utf-8"?>
<sst xmlns="http://schemas.openxmlformats.org/spreadsheetml/2006/main" count="4393" uniqueCount="1057">
  <si>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</si>
  <si>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</si>
  <si>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</si>
  <si>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</si>
  <si>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</si>
  <si>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</si>
  <si>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</si>
  <si>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</si>
  <si>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</si>
  <si>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</si>
  <si>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</si>
  <si>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</si>
  <si>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</si>
  <si>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</si>
  <si>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</si>
  <si>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</si>
  <si>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</si>
  <si>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</si>
  <si>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</si>
  <si>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</si>
  <si>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</si>
  <si>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</si>
  <si>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</si>
  <si>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</si>
  <si>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</si>
  <si>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</si>
  <si>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</si>
  <si>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</si>
  <si>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</si>
  <si>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</si>
  <si>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</si>
  <si>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</si>
  <si>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</si>
  <si>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</si>
  <si>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</si>
  <si>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</si>
  <si>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</si>
  <si>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</si>
  <si>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</si>
  <si>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</si>
  <si>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</si>
  <si>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</si>
  <si>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</si>
  <si>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</si>
  <si>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</si>
  <si>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</si>
  <si>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</si>
  <si>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</si>
  <si>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</si>
  <si>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</si>
  <si>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</si>
  <si>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</si>
  <si>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</si>
  <si>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</si>
  <si>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</si>
  <si>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</si>
  <si>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</si>
  <si>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</si>
  <si>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</si>
  <si>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</si>
  <si>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</si>
  <si>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</si>
  <si>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</si>
  <si>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</si>
  <si>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</si>
  <si>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</si>
  <si>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</si>
  <si>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</si>
  <si>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</si>
  <si>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</si>
  <si>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</si>
  <si>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</si>
  <si>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</si>
  <si>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</si>
  <si>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</si>
  <si>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</si>
  <si>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</si>
  <si>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</si>
  <si>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</si>
  <si>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</si>
  <si>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</si>
  <si>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</si>
  <si>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</si>
  <si>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</si>
  <si>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</si>
  <si>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</si>
  <si>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</si>
  <si>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</si>
  <si>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</si>
  <si>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</si>
  <si>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</si>
  <si>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</si>
  <si>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</si>
  <si>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</si>
  <si>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</si>
  <si>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</si>
  <si>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</si>
  <si>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</si>
  <si>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</si>
  <si>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</si>
  <si>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</si>
  <si>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</si>
  <si>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</si>
  <si>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</si>
  <si>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</si>
  <si>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</si>
  <si>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</si>
  <si>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</si>
  <si>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</si>
  <si>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</si>
  <si>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</si>
  <si>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</si>
  <si>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</si>
  <si>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</si>
  <si>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</si>
  <si>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</si>
  <si>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</si>
  <si>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</si>
  <si>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</si>
  <si>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</si>
  <si>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</si>
  <si>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</si>
  <si>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</si>
  <si>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</si>
  <si>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</si>
  <si>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</si>
  <si>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</si>
  <si>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</si>
  <si>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</si>
  <si>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</si>
  <si>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</si>
  <si>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</si>
  <si>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</si>
  <si>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</si>
  <si>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</si>
  <si>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</si>
  <si>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</si>
  <si>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</si>
  <si>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</si>
  <si>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</si>
  <si>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</si>
  <si>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</si>
  <si>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</si>
  <si>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</si>
  <si>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</si>
  <si>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</si>
  <si>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</si>
  <si>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</si>
  <si>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</si>
  <si>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</si>
  <si>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</si>
  <si>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</si>
  <si>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</si>
  <si>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</si>
  <si>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</si>
  <si>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</si>
  <si>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</si>
  <si>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</si>
  <si>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</si>
  <si>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</si>
  <si>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</si>
  <si>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</si>
  <si>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</si>
  <si>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</si>
  <si>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</si>
  <si>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</si>
  <si>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</si>
  <si>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</si>
  <si>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</si>
  <si>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</si>
  <si>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</si>
  <si>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</si>
  <si>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</si>
  <si>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</si>
  <si>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</si>
  <si>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</si>
  <si>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</si>
  <si>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</si>
  <si>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</si>
  <si>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</si>
  <si>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</si>
  <si>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</si>
  <si>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</si>
  <si>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</si>
  <si>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</si>
  <si>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</si>
  <si>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</si>
  <si>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</si>
  <si>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</si>
  <si>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</si>
  <si>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</si>
  <si>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</si>
  <si>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</si>
  <si>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</si>
  <si>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</si>
  <si>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</si>
  <si>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</si>
  <si>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</si>
  <si>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</si>
  <si>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</si>
  <si>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</si>
  <si>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</si>
  <si>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</si>
  <si>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</si>
  <si>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</si>
  <si>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</si>
  <si>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</si>
  <si>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</si>
  <si>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</si>
  <si>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</si>
  <si>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</si>
  <si>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</si>
  <si>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</si>
  <si>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</si>
  <si>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</si>
  <si>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</si>
  <si>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</si>
  <si>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</si>
  <si>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</si>
  <si>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</si>
  <si>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</si>
  <si>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</si>
  <si>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</si>
  <si>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</si>
  <si>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</si>
  <si>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</si>
  <si>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</si>
  <si>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</si>
  <si>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</si>
  <si>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</si>
  <si>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</si>
  <si>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</si>
  <si>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</si>
  <si>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</si>
  <si>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</si>
  <si>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</si>
  <si>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</si>
  <si>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</si>
  <si>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</si>
  <si>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</si>
  <si>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</si>
  <si>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</si>
  <si>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</si>
  <si>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</si>
  <si>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</si>
  <si>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</si>
  <si>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</si>
  <si>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</si>
  <si>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</si>
  <si>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</si>
  <si>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</si>
  <si>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</si>
  <si>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</si>
  <si>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</si>
  <si>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</si>
  <si>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</si>
  <si>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</si>
  <si>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</si>
  <si>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</si>
  <si>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</si>
  <si>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</si>
  <si>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</si>
  <si>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</si>
  <si>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</si>
  <si>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</si>
  <si>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</si>
  <si>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</si>
  <si>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</si>
  <si>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</si>
  <si>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</si>
  <si>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</si>
  <si>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</si>
  <si>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</si>
  <si>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</si>
  <si>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</si>
  <si>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</si>
  <si>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</si>
  <si>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</si>
  <si>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</si>
  <si>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</si>
  <si>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</si>
  <si>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</si>
  <si>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</si>
  <si>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</si>
  <si>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</si>
  <si>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</si>
  <si>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</si>
  <si>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</si>
  <si>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</si>
  <si>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</si>
  <si>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</si>
  <si>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</si>
  <si>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</si>
  <si>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</si>
  <si>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</si>
  <si>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</si>
  <si>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</si>
  <si>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</si>
  <si>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</si>
  <si>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</si>
  <si>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</si>
  <si>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</si>
  <si>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</si>
  <si>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</si>
  <si>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</si>
  <si>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</si>
  <si>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</si>
  <si>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</si>
  <si>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</si>
  <si>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</si>
  <si>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</si>
  <si>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</si>
  <si>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</si>
  <si>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</si>
  <si>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</si>
  <si>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</si>
  <si>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</si>
  <si>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</si>
  <si>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</si>
  <si>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</si>
  <si>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</si>
  <si>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</si>
  <si>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</si>
  <si>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</si>
  <si>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</si>
  <si>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</si>
  <si>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</si>
  <si>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</si>
  <si>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</si>
  <si>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</si>
  <si>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</si>
  <si>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</si>
  <si>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</si>
  <si>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</si>
  <si>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</si>
  <si>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</si>
  <si>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</si>
  <si>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</si>
  <si>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</si>
  <si>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</si>
  <si>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</si>
  <si>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</si>
  <si>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</si>
  <si>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</si>
  <si>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</si>
  <si>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</si>
  <si>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</si>
  <si>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</si>
  <si>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</si>
  <si>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</si>
  <si>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</si>
  <si>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</si>
  <si>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</si>
  <si>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</si>
  <si>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</si>
  <si>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</si>
  <si>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</si>
  <si>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</si>
  <si>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</si>
  <si>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</si>
  <si>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</si>
  <si>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</si>
  <si>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</si>
  <si>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</si>
  <si>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</si>
  <si>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</si>
  <si>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</si>
  <si>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</si>
  <si>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</si>
  <si>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</si>
  <si>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</si>
  <si>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</si>
  <si>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</si>
  <si>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</si>
  <si>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</si>
  <si>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</si>
  <si>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</si>
  <si>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</si>
  <si>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</si>
  <si>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</si>
  <si>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</si>
  <si>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</si>
  <si>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</si>
  <si>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</si>
  <si>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</si>
  <si>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</si>
  <si>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</si>
  <si>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</si>
  <si>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</si>
  <si>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</si>
  <si>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</si>
  <si>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</si>
  <si>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</si>
  <si>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</si>
  <si>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</si>
  <si>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</si>
  <si>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</si>
  <si>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</si>
  <si>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</si>
  <si>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</si>
  <si>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</si>
  <si>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</si>
  <si>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</si>
  <si>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</si>
  <si>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</si>
  <si>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</si>
  <si>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</si>
  <si>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</si>
  <si>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</si>
  <si>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</si>
  <si>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</si>
  <si>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</si>
  <si>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</si>
  <si>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</si>
  <si>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</si>
  <si>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</si>
  <si>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</si>
  <si>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</si>
  <si>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</si>
  <si>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</si>
  <si>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</si>
  <si>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</si>
  <si>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</si>
  <si>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</si>
  <si>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</si>
  <si>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</si>
  <si>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</si>
  <si>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</si>
  <si>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</si>
  <si>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</si>
  <si>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</si>
  <si>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</si>
  <si>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</si>
  <si>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</si>
  <si>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</si>
  <si>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</si>
  <si>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</si>
  <si>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</si>
  <si>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</si>
  <si>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</si>
  <si>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</si>
  <si>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</si>
  <si>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</si>
  <si>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</si>
  <si>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</si>
  <si>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</si>
  <si>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</si>
  <si>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</si>
  <si>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</si>
  <si>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</si>
  <si>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</si>
  <si>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</si>
  <si>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</si>
  <si>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</si>
  <si>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</si>
  <si>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</si>
  <si>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</si>
  <si>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</si>
  <si>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</si>
  <si>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</si>
  <si>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</si>
  <si>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</si>
  <si>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</si>
  <si>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</si>
  <si>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</si>
  <si>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</si>
  <si>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</si>
  <si>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</si>
  <si>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</si>
  <si>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</si>
  <si>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</si>
  <si>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</si>
  <si>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</si>
  <si>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</si>
  <si>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</si>
  <si>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</si>
  <si>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</si>
  <si>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</si>
  <si>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</si>
  <si>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</si>
  <si>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</si>
  <si>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</si>
  <si>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</si>
  <si>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</si>
  <si>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</si>
  <si>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</si>
  <si>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</si>
  <si>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</si>
  <si>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</si>
  <si>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</si>
  <si>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</si>
  <si>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</si>
  <si>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</si>
  <si>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</si>
  <si>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</si>
  <si>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</si>
  <si>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</si>
  <si>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</si>
  <si>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</si>
  <si>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</si>
  <si>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</si>
  <si>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</si>
  <si>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</si>
  <si>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</si>
  <si>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</si>
  <si>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</si>
  <si>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</si>
  <si>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</si>
  <si>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</si>
  <si>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</si>
  <si>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</si>
  <si>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</si>
  <si>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</si>
  <si>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</si>
  <si>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</si>
  <si>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</si>
  <si>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</si>
  <si>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</si>
  <si>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</si>
  <si>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</si>
  <si>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</si>
  <si>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</si>
  <si>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</si>
  <si>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</si>
  <si>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</si>
  <si>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</si>
  <si>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</si>
  <si>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</si>
  <si>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</si>
  <si>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</si>
  <si>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</si>
  <si>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</si>
  <si>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</si>
  <si>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</si>
  <si>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</si>
  <si>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</si>
  <si>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</si>
  <si>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</si>
  <si>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</si>
  <si>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</si>
  <si>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</si>
  <si>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</si>
  <si>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</si>
  <si>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</si>
  <si>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</si>
  <si>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</si>
  <si>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</si>
  <si>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</si>
  <si>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</si>
  <si>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</si>
  <si>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</si>
  <si>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</si>
  <si>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</si>
  <si>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</si>
  <si>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</si>
  <si>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</si>
  <si>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</si>
  <si>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</si>
  <si>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</si>
  <si>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</si>
  <si>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</si>
  <si>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</si>
  <si>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</si>
  <si>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</si>
  <si>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</si>
  <si>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</si>
  <si>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</si>
  <si>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</si>
  <si>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</si>
  <si>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</si>
  <si>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</si>
  <si>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</si>
  <si>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</si>
  <si>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</si>
  <si>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</si>
  <si>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</si>
  <si>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</si>
  <si>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</si>
  <si>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</si>
  <si>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</si>
  <si>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</si>
  <si>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</si>
  <si>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</si>
  <si>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</si>
  <si>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</si>
  <si>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</si>
  <si>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</si>
  <si>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</si>
  <si>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</si>
  <si>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</si>
  <si>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</si>
  <si>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</si>
  <si>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</si>
  <si>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</si>
  <si>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</si>
  <si>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</si>
  <si>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</si>
  <si>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</si>
  <si>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</si>
  <si>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</si>
  <si>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</si>
  <si>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</si>
  <si>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</si>
  <si>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</si>
  <si>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</si>
  <si>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</si>
  <si>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</si>
  <si>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</si>
  <si>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</si>
  <si>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</si>
  <si>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</si>
  <si>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</si>
  <si>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</si>
  <si>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</si>
  <si>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</si>
  <si>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</si>
  <si>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</si>
  <si>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</si>
  <si>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</si>
  <si>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</si>
  <si>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</si>
  <si>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</si>
  <si>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</si>
  <si>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</si>
  <si>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</si>
  <si>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</si>
  <si>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</si>
  <si>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</si>
  <si>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</si>
  <si>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</si>
  <si>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</si>
  <si>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</si>
  <si>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</si>
  <si>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</si>
  <si>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</si>
  <si>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</si>
  <si>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</si>
  <si>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</si>
  <si>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</si>
  <si>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</si>
  <si>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</si>
  <si>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</si>
  <si>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</si>
  <si>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</si>
  <si>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</si>
  <si>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</si>
  <si>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</si>
  <si>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</si>
  <si>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</si>
  <si>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</si>
  <si>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</si>
  <si>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</si>
  <si>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</si>
  <si>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</si>
  <si>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</si>
  <si>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</si>
  <si>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</si>
  <si>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</si>
  <si>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</si>
  <si>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</si>
  <si>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</si>
  <si>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</si>
  <si>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</si>
  <si>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</si>
  <si>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</si>
  <si>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</si>
  <si>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</si>
  <si>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</si>
  <si>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</si>
  <si>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</si>
  <si>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</si>
  <si>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</si>
  <si>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</si>
  <si>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</si>
  <si>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</si>
  <si>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</si>
  <si>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</si>
  <si>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</si>
  <si>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</si>
  <si>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</si>
  <si>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</si>
  <si>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</si>
  <si>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</si>
  <si>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</si>
  <si>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</si>
  <si>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</si>
  <si>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</si>
  <si>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</si>
  <si>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</si>
  <si>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</si>
  <si>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</si>
  <si>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</si>
  <si>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</si>
  <si>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</si>
  <si>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</si>
  <si>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</si>
  <si>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</si>
  <si>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</si>
  <si>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</si>
  <si>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</si>
  <si>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</si>
  <si>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</si>
  <si>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</si>
  <si>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</si>
  <si>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</si>
  <si>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</si>
  <si>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</si>
  <si>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</si>
  <si>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</si>
  <si>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</si>
  <si>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</si>
  <si>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</si>
  <si>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</si>
  <si>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</si>
  <si>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</si>
  <si>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</si>
  <si>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</si>
  <si>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</si>
  <si>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</si>
  <si>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</si>
  <si>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</si>
  <si>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</si>
  <si>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</si>
  <si>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</si>
  <si>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</si>
  <si>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</si>
  <si>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</si>
  <si>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</si>
  <si>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</si>
  <si>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</si>
  <si>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</si>
  <si>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</si>
  <si>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</si>
  <si>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</si>
  <si>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</si>
  <si>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</si>
  <si>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</si>
  <si>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</si>
  <si>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</si>
  <si>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</si>
  <si>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</si>
  <si>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</si>
  <si>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</si>
  <si>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</si>
  <si>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</si>
  <si>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</si>
  <si>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</si>
  <si>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</si>
  <si>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</si>
  <si>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</si>
  <si>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</si>
  <si>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</si>
  <si>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</si>
  <si>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</si>
  <si>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</si>
  <si>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</si>
  <si>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</si>
  <si>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</si>
  <si>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</si>
  <si>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</si>
  <si>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</si>
  <si>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</si>
  <si>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</si>
  <si>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</si>
  <si>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</si>
  <si>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</si>
  <si>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</si>
  <si>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</si>
  <si>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</si>
  <si>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</si>
  <si>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</si>
  <si>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</si>
  <si>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</si>
  <si>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</si>
  <si>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</si>
  <si>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</si>
  <si>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</si>
  <si>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</si>
  <si>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</si>
  <si>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</si>
  <si>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</si>
  <si>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</si>
  <si>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</si>
  <si>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</si>
  <si>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</si>
  <si>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</si>
  <si>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</si>
  <si>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</si>
  <si>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</si>
  <si>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</si>
  <si>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</si>
  <si>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</si>
  <si>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</si>
  <si>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</si>
  <si>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</si>
  <si>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</si>
  <si>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</si>
  <si>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</si>
  <si>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</si>
  <si>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</si>
  <si>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</si>
  <si>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</si>
  <si>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</si>
  <si>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</si>
  <si>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</si>
  <si>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</si>
  <si>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</si>
  <si>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</si>
  <si>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</si>
  <si>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</si>
  <si>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</si>
  <si>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</si>
  <si>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</si>
  <si>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</si>
  <si>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</si>
  <si>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</si>
  <si>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</si>
  <si>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</si>
  <si>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</si>
  <si>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</si>
  <si>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</si>
  <si>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</si>
  <si>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</si>
  <si>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</si>
  <si>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</si>
  <si>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</si>
  <si>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</si>
  <si>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</si>
  <si>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</si>
  <si>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</si>
  <si>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</si>
  <si>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</si>
  <si>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</si>
  <si>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</si>
  <si>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</si>
  <si>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</si>
  <si>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</si>
  <si>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</si>
  <si>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</si>
  <si>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</si>
  <si>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</si>
  <si>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</si>
  <si>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</si>
  <si>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</si>
  <si>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</si>
  <si>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</si>
  <si>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</si>
  <si>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</si>
  <si>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</si>
  <si>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</si>
  <si>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</si>
  <si>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</si>
  <si>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</si>
  <si>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</si>
  <si>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</si>
  <si>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</si>
  <si>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</si>
  <si>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</si>
  <si>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</si>
  <si>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</si>
  <si>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</si>
  <si>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</si>
  <si>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</si>
  <si>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</si>
  <si>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</si>
  <si>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</si>
  <si>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</si>
  <si>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</si>
  <si>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</si>
  <si>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</si>
  <si>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</si>
  <si>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</si>
  <si>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</si>
  <si>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</si>
  <si>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</si>
  <si>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</si>
  <si>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</si>
  <si>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</si>
  <si>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</si>
  <si>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</si>
  <si>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</si>
  <si>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</si>
  <si>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</si>
  <si>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</si>
  <si>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</si>
  <si>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</si>
  <si>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</si>
  <si>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</si>
  <si>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</si>
  <si>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</si>
  <si>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</si>
  <si>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</si>
  <si>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</si>
  <si>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</si>
  <si>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</si>
  <si>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</si>
  <si>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</si>
  <si>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</si>
  <si>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</si>
  <si>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</si>
  <si>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</si>
  <si>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</si>
  <si>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</si>
  <si>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</si>
  <si>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</si>
  <si>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</si>
  <si>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</si>
  <si>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</si>
  <si>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</si>
  <si>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</si>
  <si>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</si>
  <si>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</si>
  <si>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</si>
  <si>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</si>
  <si>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</si>
  <si>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</si>
  <si>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</si>
  <si>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</si>
  <si>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</si>
  <si>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</si>
  <si>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</si>
  <si>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</si>
  <si>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</si>
  <si>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</si>
  <si>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</si>
  <si>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</si>
  <si>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</si>
  <si>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</si>
  <si>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</si>
  <si>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</si>
  <si>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</si>
  <si>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</si>
  <si>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</si>
  <si>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</si>
  <si>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</si>
  <si>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</si>
  <si>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</si>
  <si>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</si>
  <si>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</si>
  <si>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</si>
  <si>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</si>
  <si>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</si>
  <si>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</si>
  <si>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</si>
  <si>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</si>
  <si>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</si>
  <si>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</si>
  <si>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</si>
  <si>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</si>
  <si>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</si>
  <si>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</si>
  <si>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</si>
  <si>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</si>
  <si>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</si>
  <si>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</si>
  <si>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</si>
  <si>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</si>
  <si>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</si>
  <si>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</si>
  <si>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</si>
  <si>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</si>
  <si>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</si>
  <si>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</si>
  <si>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</si>
  <si>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</si>
  <si>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</si>
  <si>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</si>
  <si>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</si>
  <si>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</si>
  <si>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</si>
  <si>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</si>
  <si>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</si>
  <si>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</si>
  <si>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</si>
  <si>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</si>
  <si>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</si>
  <si>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</si>
  <si>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</si>
  <si>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</si>
  <si>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</si>
  <si>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</si>
  <si>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</si>
  <si>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</si>
  <si>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</si>
  <si>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</si>
  <si>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</si>
  <si>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</si>
  <si>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</si>
  <si>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</si>
  <si>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</si>
  <si>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</si>
  <si>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</si>
  <si>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</si>
  <si>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</si>
  <si>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</si>
  <si>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</si>
  <si>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</si>
  <si>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</si>
  <si>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</si>
  <si>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</si>
  <si>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</si>
  <si>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</si>
  <si>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</si>
  <si>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</si>
  <si>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</si>
  <si>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</si>
  <si>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</si>
  <si>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</si>
  <si>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</si>
  <si>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</si>
  <si>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</si>
  <si>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</si>
  <si>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</si>
  <si>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</si>
  <si>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</si>
  <si>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</si>
  <si>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</si>
  <si>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</si>
  <si>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</si>
  <si>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</si>
  <si>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</si>
  <si>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</si>
  <si>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</si>
  <si>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</si>
  <si>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</si>
  <si>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</si>
  <si>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</si>
  <si>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</si>
  <si>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</si>
  <si>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</si>
  <si>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</si>
  <si>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</si>
  <si>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</si>
  <si>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</si>
  <si>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</si>
  <si>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</si>
  <si>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</si>
  <si>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</si>
  <si>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</si>
  <si>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</si>
  <si>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</si>
  <si>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</si>
  <si>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</si>
  <si>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</si>
  <si>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</si>
  <si>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</si>
  <si>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</si>
  <si>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</si>
  <si>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</si>
  <si>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</si>
  <si>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</si>
  <si>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</si>
  <si>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</si>
  <si>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</si>
  <si>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</si>
  <si>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PI: Población Iternada</t>
  </si>
  <si>
    <t>PS: Poblacion Señalada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</si>
</sst>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4" fillId="3" borderId="1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1" fillId="0" borderId="3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4" fillId="3" borderId="21" xfId="0" applyFont="1" applyFill="1" applyBorder="1" applyAlignment="1">
      <alignment vertical="center"/>
    </xf>
    <xf numFmtId="0" fontId="0" fillId="3" borderId="22" xfId="0" applyFill="1" applyBorder="1" applyAlignment="1">
      <alignment horizontal="center" vertical="center"/>
    </xf>
    <xf numFmtId="0" fontId="4" fillId="3" borderId="27" xfId="0" applyFont="1" applyFill="1" applyBorder="1" applyAlignment="1">
      <alignment vertical="center"/>
    </xf>
    <xf numFmtId="0" fontId="4" fillId="3" borderId="24" xfId="0" applyFont="1" applyFill="1" applyBorder="1" applyAlignment="1">
      <alignment vertical="center"/>
    </xf>
    <xf numFmtId="0" fontId="4" fillId="3" borderId="25" xfId="0" applyFont="1" applyFill="1" applyBorder="1" applyAlignment="1">
      <alignment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1" fillId="0" borderId="0" xfId="0" applyFont="1"/>
    <xf numFmtId="0" fontId="3" fillId="0" borderId="31" xfId="0" applyFont="1" applyBorder="1" applyAlignment="1">
      <alignment horizontal="center" vertical="center"/>
    </xf>
    <xf numFmtId="0" fontId="4" fillId="3" borderId="31" xfId="0" applyFont="1" applyFill="1" applyBorder="1" applyAlignment="1">
      <alignment vertical="center"/>
    </xf>
    <xf numFmtId="0" fontId="0" fillId="3" borderId="32" xfId="0" applyFill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5" xfId="0" applyFont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8" xfId="0" applyBorder="1" applyAlignment="1">
      <alignment horizontal="center" vertical="top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3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1" fillId="0" borderId="43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7" fillId="0" borderId="0" xfId="0" applyFont="1"/>
    <xf numFmtId="0" fontId="6" fillId="0" borderId="0" xfId="0" applyFont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4" xfId="0" applyFont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24" totalsRowShown="0">
  <autoFilter ref="A1:E24" xr:uid="{2D779FAC-E2C1-4E1E-A93F-554CB1A16E27}"/>
  <sortState xmlns:xlrd2="http://schemas.microsoft.com/office/spreadsheetml/2017/richdata2" ref="A2:E21">
    <sortCondition ref="A1:A21"/>
  </sortState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3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30"/>
    <tableColumn id="2" xr3:uid="{B4C15FDA-B2EC-4A1D-A81E-4B2725E564AF}" name="Centros" dataDxfId="29"/>
    <tableColumn id="4" xr3:uid="{17CD0285-B341-43C7-8ACD-65A35D973F9E}" name="ID" dataDxfId="28"/>
    <tableColumn id="3" xr3:uid="{A0FEF947-428C-44F8-B2A5-5E3ECB03347F}" name="LARGO" dataDxfId="2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26" headerRowBorderDxfId="25" tableBorderDxfId="24" totalsRowBorderDxfId="2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22"/>
    <tableColumn id="2" xr3:uid="{0CB5CA81-988E-4F97-BB11-8B48ABBB9654}" name="Población" dataDxfId="21"/>
    <tableColumn id="3" xr3:uid="{15047A13-D527-4FF6-BF19-A3D6F0F87F1F}" name="Agrupación social" dataDxfId="20"/>
    <tableColumn id="4" xr3:uid="{5A9301CD-C9FB-427F-8910-4C4F80F11CA4}" name="Sexo" dataDxfId="19"/>
    <tableColumn id="5" xr3:uid="{19CFEF7A-3FE4-4E57-8AFE-E1DB1A2C07B4}" name="Entidad" dataDxfId="18"/>
    <tableColumn id="6" xr3:uid="{498A1FCD-7ED4-4A18-9300-2DF473DA8DD0}" name="centros" dataDxfId="17"/>
    <tableColumn id="7" xr3:uid="{0CF34FE6-DEE6-48BD-A06E-1B1900E10662}" name="Total" dataDxfId="16"/>
    <tableColumn id="8" xr3:uid="{875E9C03-E5C8-4C24-BDB3-3555491E0B0F}" name="Cantidad" dataDxfId="15"/>
    <tableColumn id="9" xr3:uid="{3DCD7CA6-AB42-4251-8476-9B604204379A}" name="Porcentaje" dataDxfId="14"/>
    <tableColumn id="10" xr3:uid="{C457D2F8-809B-4F13-A244-1103EA44F8AE}" name="Tasa" dataDxfId="13"/>
    <tableColumn id="17" xr3:uid="{545DFE0D-5E6C-4105-8B05-EE8E6428B50D}" name="year_id" dataDxfId="12">
      <calculatedColumnFormula>VLOOKUP(Tabla4[[#This Row],[Año]],Tabla6[[#All],[name]:[id_2]],2)</calculatedColumnFormula>
    </tableColumn>
    <tableColumn id="19" xr3:uid="{B3FF9074-5129-4ECB-84A0-0C75088A77BA}" name="category_id" dataDxfId="11">
      <calculatedColumnFormula>VLOOKUP(Tabla4[[#This Row],[Agrupación social]],Tabla5[[#All],[name]:[id_1]],2,FALSE)</calculatedColumnFormula>
    </tableColumn>
    <tableColumn id="18" xr3:uid="{28F90810-C2F7-4AC5-877E-98D99181F5E4}" name="gender_id" dataDxfId="10">
      <calculatedColumnFormula>VLOOKUP(Tabla4[[#This Row],[Sexo]],Tabla8[[#All],[name]:[gender_id]],2,FALSE)</calculatedColumnFormula>
    </tableColumn>
    <tableColumn id="20" xr3:uid="{33D1819C-0D35-4F5C-A16B-EE259B2BC252}" name="state_id" dataDxfId="9">
      <calculatedColumnFormula>VLOOKUP(Tabla4[[#This Row],[Entidad]],Tabla3[[#All],[name]:[ID_2]],2,FALSE)</calculatedColumnFormula>
    </tableColumn>
    <tableColumn id="22" xr3:uid="{49416656-C4D0-495F-BBEC-F8342A8D8658}" name="center_id" dataDxfId="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2:L130" totalsRowShown="0" headerRowBorderDxfId="4">
  <autoFilter ref="A2:L130" xr:uid="{EAC00C4E-73F1-4642-8118-20AD61557C35}"/>
  <tableColumns count="12">
    <tableColumn id="11" xr3:uid="{19713AA2-F325-47E1-A12C-4A21FD0E56CB}" name="clave" dataDxfId="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"/>
    <tableColumn id="1" xr3:uid="{020B40CA-F4A7-468D-87B2-7AD625927556}" name="Año" dataDxfId="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51" headerRowBorderDxfId="50" tableBorderDxfId="49" totalsRowBorderDxfId="48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47"/>
    <tableColumn id="7" xr3:uid="{331A649C-88C6-439B-9544-91B76EFFB31D}" name="P1" dataDxfId="46"/>
    <tableColumn id="2" xr3:uid="{0F9E1E44-85C7-46E0-810E-F6CCB4FCD38B}" name="P2" dataDxfId="45"/>
    <tableColumn id="3" xr3:uid="{3C360704-A620-4712-9DFB-D18F18E1FFAA}" name="Agrupación" dataDxfId="44"/>
    <tableColumn id="4" xr3:uid="{B9C9E24E-431A-4E02-BD27-D9E2FED9D866}" name="Sexo" dataDxfId="43"/>
    <tableColumn id="5" xr3:uid="{A5539537-BC8F-4361-A685-E9D9E0D8D391}" name="Entidad" dataDxfId="42"/>
    <tableColumn id="6" xr3:uid="{7CF3C25D-B790-43EE-86CC-A8FE6753FAE7}" name="centros" dataDxfId="41"/>
    <tableColumn id="12" xr3:uid="{F98FBCDE-6892-487E-9494-975576D9AC0F}" name="CLAVE PI" dataDxfId="40">
      <calculatedColumnFormula>Tabla410[[#This Row],[P1]] &amp; "|" &amp; $E$1 &amp; "|" &amp; Tabla410[[#This Row],[Sexo]] &amp; "|" &amp; Tabla410[[#This Row],[Entidad]]</calculatedColumnFormula>
    </tableColumn>
    <tableColumn id="13" xr3:uid="{45D84198-86DD-489A-80EB-6C69661FFB46}" name="CLAVE PS" dataDxfId="39">
      <calculatedColumnFormula>Tabla410[[#This Row],[P2]] &amp; "|" &amp; $E$1 &amp; "|" &amp; Tabla410[[#This Row],[Sexo]] &amp; "|" &amp; Tabla410[[#This Row],[Entidad]]</calculatedColumnFormula>
    </tableColumn>
    <tableColumn id="19" xr3:uid="{1F439AF8-7D30-4309-B5ED-942819B0E864}" name="category_id" dataDxfId="38">
      <calculatedColumnFormula>VLOOKUP($E$1,Tabla5[[#All],[name]:[id_1]],2,FALSE)</calculatedColumnFormula>
    </tableColumn>
    <tableColumn id="17" xr3:uid="{4E0CDD5E-747E-42EB-82D7-D375E8508F69}" name="year_id" dataDxfId="37">
      <calculatedColumnFormula>VLOOKUP($B$1,Tabla6[[#All],[name]:[id_2]],2)</calculatedColumnFormula>
    </tableColumn>
    <tableColumn id="18" xr3:uid="{0F028C54-C26A-4FB1-AD19-C4819ED71F29}" name="gender_id" dataDxfId="36">
      <calculatedColumnFormula>VLOOKUP(Tabla410[[#This Row],[Sexo]],Tabla8[[#All],[name]:[gender_id]],2,FALSE)</calculatedColumnFormula>
    </tableColumn>
    <tableColumn id="22" xr3:uid="{127CB7B9-68C0-4B60-B118-CF52F42DA41C}" name="center_id" dataDxfId="35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4">
      <calculatedColumnFormula>VLOOKUP(Tabla410[[#This Row],[Entidad]],Tabla3[[#All],[name]:[ID_2]],2,FALSE)</calculatedColumnFormula>
    </tableColumn>
    <tableColumn id="8" xr3:uid="{04CA0156-0EBF-49BA-A619-A63810C9E4E0}" name="PI" dataDxfId="33">
      <calculatedColumnFormula>IFERROR(VLOOKUP(Tabla410[[#This Row],[CLAVE PI]], Tabla10[], 10, FALSE), 0)</calculatedColumnFormula>
    </tableColumn>
    <tableColumn id="9" xr3:uid="{9948CB1D-EA2E-464A-9025-644D9051E5F1}" name="PS" dataDxfId="32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C19" sqref="C19"/>
    </sheetView>
  </sheetViews>
  <sheetFormatPr baseColWidth="10" defaultRowHeight="14.4" x14ac:dyDescent="0.3"/>
  <sheetData>
    <row r="1" spans="1:4" x14ac:dyDescent="0.3">
      <c r="A1" t="s">
        <v>950</v>
      </c>
      <c r="B1" t="s">
        <v>952</v>
      </c>
      <c r="C1" t="s">
        <v>1028</v>
      </c>
      <c r="D1" t="s">
        <v>955</v>
      </c>
    </row>
    <row r="2" spans="1:4" x14ac:dyDescent="0.3">
      <c r="A2">
        <v>1</v>
      </c>
      <c r="B2">
        <v>2000</v>
      </c>
      <c r="C2">
        <v>1</v>
      </c>
      <c r="D2">
        <v>1</v>
      </c>
    </row>
    <row r="3" spans="1:4" x14ac:dyDescent="0.3">
      <c r="A3">
        <v>2</v>
      </c>
      <c r="B3">
        <v>2001</v>
      </c>
      <c r="C3">
        <v>2</v>
      </c>
      <c r="D3">
        <v>1</v>
      </c>
    </row>
    <row r="4" spans="1:4" x14ac:dyDescent="0.3">
      <c r="A4">
        <v>3</v>
      </c>
      <c r="B4">
        <v>2002</v>
      </c>
      <c r="C4">
        <v>3</v>
      </c>
      <c r="D4">
        <v>1</v>
      </c>
    </row>
    <row r="5" spans="1:4" x14ac:dyDescent="0.3">
      <c r="A5">
        <v>4</v>
      </c>
      <c r="B5">
        <v>2003</v>
      </c>
      <c r="C5">
        <v>4</v>
      </c>
      <c r="D5">
        <v>1</v>
      </c>
    </row>
    <row r="6" spans="1:4" x14ac:dyDescent="0.3">
      <c r="A6">
        <v>5</v>
      </c>
      <c r="B6">
        <v>2004</v>
      </c>
      <c r="C6">
        <v>5</v>
      </c>
      <c r="D6">
        <v>1</v>
      </c>
    </row>
    <row r="7" spans="1:4" x14ac:dyDescent="0.3">
      <c r="A7">
        <v>6</v>
      </c>
      <c r="B7">
        <v>2005</v>
      </c>
      <c r="C7">
        <v>6</v>
      </c>
      <c r="D7">
        <v>1</v>
      </c>
    </row>
    <row r="8" spans="1:4" x14ac:dyDescent="0.3">
      <c r="A8">
        <v>7</v>
      </c>
      <c r="B8">
        <v>2006</v>
      </c>
      <c r="C8">
        <v>7</v>
      </c>
      <c r="D8">
        <v>1</v>
      </c>
    </row>
    <row r="9" spans="1:4" x14ac:dyDescent="0.3">
      <c r="A9">
        <v>8</v>
      </c>
      <c r="B9">
        <v>2007</v>
      </c>
      <c r="C9">
        <v>8</v>
      </c>
      <c r="D9">
        <v>1</v>
      </c>
    </row>
    <row r="10" spans="1:4" x14ac:dyDescent="0.3">
      <c r="A10">
        <v>9</v>
      </c>
      <c r="B10">
        <v>2008</v>
      </c>
      <c r="C10">
        <v>9</v>
      </c>
      <c r="D10">
        <v>1</v>
      </c>
    </row>
    <row r="11" spans="1:4" x14ac:dyDescent="0.3">
      <c r="A11">
        <v>10</v>
      </c>
      <c r="B11">
        <v>2009</v>
      </c>
      <c r="C11">
        <v>10</v>
      </c>
      <c r="D11">
        <v>1</v>
      </c>
    </row>
    <row r="12" spans="1:4" x14ac:dyDescent="0.3">
      <c r="A12">
        <v>11</v>
      </c>
      <c r="B12">
        <v>2010</v>
      </c>
      <c r="C12">
        <v>11</v>
      </c>
      <c r="D12">
        <v>1</v>
      </c>
    </row>
    <row r="13" spans="1:4" x14ac:dyDescent="0.3">
      <c r="A13">
        <v>12</v>
      </c>
      <c r="B13">
        <v>2011</v>
      </c>
      <c r="C13">
        <v>12</v>
      </c>
      <c r="D13">
        <v>1</v>
      </c>
    </row>
    <row r="14" spans="1:4" x14ac:dyDescent="0.3">
      <c r="A14">
        <v>13</v>
      </c>
      <c r="B14">
        <v>2012</v>
      </c>
      <c r="C14">
        <v>13</v>
      </c>
      <c r="D14">
        <v>1</v>
      </c>
    </row>
    <row r="15" spans="1:4" x14ac:dyDescent="0.3">
      <c r="A15">
        <v>14</v>
      </c>
      <c r="B15">
        <v>2013</v>
      </c>
      <c r="C15">
        <v>14</v>
      </c>
      <c r="D15">
        <v>1</v>
      </c>
    </row>
    <row r="16" spans="1:4" x14ac:dyDescent="0.3">
      <c r="A16">
        <v>15</v>
      </c>
      <c r="B16">
        <v>2014</v>
      </c>
      <c r="C16">
        <v>15</v>
      </c>
      <c r="D16">
        <v>1</v>
      </c>
    </row>
    <row r="17" spans="1:4" x14ac:dyDescent="0.3">
      <c r="A17">
        <v>16</v>
      </c>
      <c r="B17">
        <v>2015</v>
      </c>
      <c r="C17">
        <v>16</v>
      </c>
      <c r="D17">
        <v>1</v>
      </c>
    </row>
    <row r="18" spans="1:4" x14ac:dyDescent="0.3">
      <c r="A18">
        <v>17</v>
      </c>
      <c r="B18">
        <v>2016</v>
      </c>
      <c r="C18">
        <v>17</v>
      </c>
      <c r="D18">
        <v>1</v>
      </c>
    </row>
    <row r="19" spans="1:4" x14ac:dyDescent="0.3">
      <c r="A19">
        <v>18</v>
      </c>
      <c r="B19">
        <v>2017</v>
      </c>
      <c r="C19">
        <v>18</v>
      </c>
      <c r="D19">
        <v>1</v>
      </c>
    </row>
    <row r="20" spans="1:4" x14ac:dyDescent="0.3">
      <c r="A20">
        <v>19</v>
      </c>
      <c r="B20">
        <v>2018</v>
      </c>
      <c r="C20">
        <v>19</v>
      </c>
      <c r="D20">
        <v>1</v>
      </c>
    </row>
    <row r="21" spans="1:4" x14ac:dyDescent="0.3">
      <c r="A21">
        <v>20</v>
      </c>
      <c r="B21">
        <v>2019</v>
      </c>
      <c r="C21">
        <v>20</v>
      </c>
      <c r="D21">
        <v>1</v>
      </c>
    </row>
    <row r="22" spans="1:4" x14ac:dyDescent="0.3">
      <c r="A22">
        <v>21</v>
      </c>
      <c r="B22">
        <v>2020</v>
      </c>
      <c r="C22">
        <v>21</v>
      </c>
      <c r="D22">
        <v>1</v>
      </c>
    </row>
    <row r="23" spans="1:4" x14ac:dyDescent="0.3">
      <c r="A23">
        <v>22</v>
      </c>
      <c r="B23">
        <v>2021</v>
      </c>
      <c r="C23">
        <v>22</v>
      </c>
      <c r="D23">
        <v>1</v>
      </c>
    </row>
    <row r="24" spans="1:4" x14ac:dyDescent="0.3">
      <c r="A24">
        <v>23</v>
      </c>
      <c r="B24">
        <v>2022</v>
      </c>
      <c r="C24">
        <v>23</v>
      </c>
      <c r="D24">
        <v>1</v>
      </c>
    </row>
    <row r="25" spans="1:4" x14ac:dyDescent="0.3">
      <c r="A25">
        <v>24</v>
      </c>
      <c r="B25">
        <v>2023</v>
      </c>
      <c r="C25">
        <v>24</v>
      </c>
      <c r="D25">
        <v>1</v>
      </c>
    </row>
    <row r="26" spans="1:4" x14ac:dyDescent="0.3">
      <c r="A26">
        <v>25</v>
      </c>
      <c r="B26">
        <v>2024</v>
      </c>
      <c r="C26">
        <v>25</v>
      </c>
      <c r="D26">
        <v>1</v>
      </c>
    </row>
    <row r="27" spans="1:4" x14ac:dyDescent="0.3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topLeftCell="A13" zoomScale="130" zoomScaleNormal="130" workbookViewId="0">
      <selection activeCell="A2" sqref="A2"/>
    </sheetView>
  </sheetViews>
  <sheetFormatPr baseColWidth="10" defaultRowHeight="14.4" x14ac:dyDescent="0.3"/>
  <cols>
    <col min="3" max="3" width="30.5546875" customWidth="1"/>
    <col min="4" max="4" width="9.109375" customWidth="1"/>
    <col min="5" max="5" width="28.44140625" customWidth="1"/>
  </cols>
  <sheetData>
    <row r="1" spans="1:8" x14ac:dyDescent="0.3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3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3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3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3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3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3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3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3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3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3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3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3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3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3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3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3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3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3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3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3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3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3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3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3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3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3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3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3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3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3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3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3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A7" sqref="A7"/>
    </sheetView>
  </sheetViews>
  <sheetFormatPr baseColWidth="10" defaultRowHeight="14.4" x14ac:dyDescent="0.3"/>
  <cols>
    <col min="2" max="2" width="25.88671875" customWidth="1"/>
    <col min="3" max="3" width="11.6640625" customWidth="1"/>
  </cols>
  <sheetData>
    <row r="1" spans="1:4" x14ac:dyDescent="0.3">
      <c r="A1" t="s">
        <v>950</v>
      </c>
      <c r="B1" t="s">
        <v>952</v>
      </c>
      <c r="C1" t="s">
        <v>1030</v>
      </c>
      <c r="D1" t="s">
        <v>955</v>
      </c>
    </row>
    <row r="2" spans="1:4" x14ac:dyDescent="0.3">
      <c r="A2">
        <v>1</v>
      </c>
      <c r="B2" t="s">
        <v>1042</v>
      </c>
      <c r="C2">
        <v>1</v>
      </c>
      <c r="D2">
        <v>1</v>
      </c>
    </row>
    <row r="3" spans="1:4" x14ac:dyDescent="0.3">
      <c r="A3">
        <v>2</v>
      </c>
      <c r="B3" t="s">
        <v>1043</v>
      </c>
      <c r="C3">
        <v>2</v>
      </c>
      <c r="D3">
        <v>1</v>
      </c>
    </row>
    <row r="4" spans="1:4" x14ac:dyDescent="0.3">
      <c r="A4">
        <v>3</v>
      </c>
      <c r="B4" t="s">
        <v>180</v>
      </c>
      <c r="C4">
        <v>3</v>
      </c>
      <c r="D4">
        <v>1</v>
      </c>
    </row>
    <row r="5" spans="1:4" x14ac:dyDescent="0.3">
      <c r="A5">
        <v>4</v>
      </c>
      <c r="B5" t="s">
        <v>168</v>
      </c>
      <c r="C5">
        <v>4</v>
      </c>
      <c r="D5">
        <v>1</v>
      </c>
    </row>
    <row r="6" spans="1:4" x14ac:dyDescent="0.3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24"/>
  <sheetViews>
    <sheetView workbookViewId="0">
      <selection activeCell="C24" sqref="C24"/>
    </sheetView>
  </sheetViews>
  <sheetFormatPr baseColWidth="10" defaultRowHeight="14.4" x14ac:dyDescent="0.3"/>
  <cols>
    <col min="2" max="2" width="13.6640625" customWidth="1"/>
    <col min="3" max="3" width="47.6640625" customWidth="1"/>
    <col min="4" max="4" width="11.6640625" customWidth="1"/>
  </cols>
  <sheetData>
    <row r="1" spans="1:7" x14ac:dyDescent="0.3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3">
      <c r="A2" s="44">
        <v>1</v>
      </c>
      <c r="C2" s="44" t="s">
        <v>14</v>
      </c>
      <c r="D2">
        <v>1</v>
      </c>
      <c r="G2">
        <v>384</v>
      </c>
    </row>
    <row r="3" spans="1:7" x14ac:dyDescent="0.3">
      <c r="A3" s="44">
        <v>2</v>
      </c>
      <c r="C3" s="44" t="s">
        <v>16</v>
      </c>
      <c r="D3">
        <v>2</v>
      </c>
      <c r="G3">
        <v>378</v>
      </c>
    </row>
    <row r="4" spans="1:7" x14ac:dyDescent="0.3">
      <c r="A4">
        <v>3</v>
      </c>
      <c r="C4" s="44" t="s">
        <v>140</v>
      </c>
      <c r="D4">
        <v>3</v>
      </c>
      <c r="G4">
        <v>192</v>
      </c>
    </row>
    <row r="5" spans="1:7" x14ac:dyDescent="0.3">
      <c r="A5">
        <v>4</v>
      </c>
      <c r="C5" t="s">
        <v>1054</v>
      </c>
      <c r="D5">
        <v>4</v>
      </c>
      <c r="G5">
        <v>378</v>
      </c>
    </row>
    <row r="6" spans="1:7" x14ac:dyDescent="0.3">
      <c r="A6">
        <v>5</v>
      </c>
      <c r="C6" s="44" t="s">
        <v>17</v>
      </c>
      <c r="D6">
        <v>5</v>
      </c>
      <c r="G6">
        <v>320</v>
      </c>
    </row>
    <row r="7" spans="1:7" x14ac:dyDescent="0.3">
      <c r="A7">
        <v>6</v>
      </c>
      <c r="C7" s="44" t="s">
        <v>20</v>
      </c>
      <c r="D7">
        <v>6</v>
      </c>
    </row>
    <row r="8" spans="1:7" x14ac:dyDescent="0.3">
      <c r="A8">
        <v>7</v>
      </c>
      <c r="D8">
        <v>7</v>
      </c>
    </row>
    <row r="9" spans="1:7" x14ac:dyDescent="0.3">
      <c r="A9">
        <v>8</v>
      </c>
      <c r="D9">
        <v>8</v>
      </c>
    </row>
    <row r="10" spans="1:7" x14ac:dyDescent="0.3">
      <c r="A10">
        <v>9</v>
      </c>
      <c r="D10">
        <v>9</v>
      </c>
    </row>
    <row r="11" spans="1:7" x14ac:dyDescent="0.3">
      <c r="A11">
        <v>10</v>
      </c>
      <c r="C11" s="44" t="s">
        <v>123</v>
      </c>
      <c r="D11">
        <v>10</v>
      </c>
    </row>
    <row r="12" spans="1:7" x14ac:dyDescent="0.3">
      <c r="A12">
        <v>11</v>
      </c>
      <c r="D12">
        <v>11</v>
      </c>
    </row>
    <row r="13" spans="1:7" x14ac:dyDescent="0.3">
      <c r="A13">
        <v>12</v>
      </c>
      <c r="D13">
        <v>12</v>
      </c>
    </row>
    <row r="14" spans="1:7" x14ac:dyDescent="0.3">
      <c r="A14">
        <v>13</v>
      </c>
      <c r="D14">
        <v>13</v>
      </c>
    </row>
    <row r="15" spans="1:7" x14ac:dyDescent="0.3">
      <c r="A15">
        <v>14</v>
      </c>
      <c r="D15">
        <v>14</v>
      </c>
    </row>
    <row r="16" spans="1:7" x14ac:dyDescent="0.3">
      <c r="A16">
        <v>15</v>
      </c>
      <c r="D16">
        <v>15</v>
      </c>
    </row>
    <row r="17" spans="1:4" x14ac:dyDescent="0.3">
      <c r="A17">
        <v>16</v>
      </c>
      <c r="D17">
        <v>16</v>
      </c>
    </row>
    <row r="18" spans="1:4" x14ac:dyDescent="0.3">
      <c r="A18">
        <v>17</v>
      </c>
      <c r="D18">
        <v>17</v>
      </c>
    </row>
    <row r="19" spans="1:4" x14ac:dyDescent="0.3">
      <c r="A19">
        <v>63</v>
      </c>
      <c r="C19" s="44" t="s">
        <v>178</v>
      </c>
      <c r="D19">
        <v>63</v>
      </c>
    </row>
    <row r="20" spans="1:4" x14ac:dyDescent="0.3">
      <c r="A20">
        <v>75</v>
      </c>
      <c r="C20" s="44" t="s">
        <v>26</v>
      </c>
      <c r="D20">
        <v>75</v>
      </c>
    </row>
    <row r="21" spans="1:4" x14ac:dyDescent="0.3">
      <c r="A21">
        <v>221</v>
      </c>
      <c r="C21" s="44" t="s">
        <v>73</v>
      </c>
      <c r="D21">
        <v>221</v>
      </c>
    </row>
    <row r="22" spans="1:4" x14ac:dyDescent="0.3">
      <c r="A22">
        <v>77</v>
      </c>
      <c r="C22" s="84" t="s">
        <v>25</v>
      </c>
      <c r="D22">
        <v>77</v>
      </c>
    </row>
    <row r="23" spans="1:4" x14ac:dyDescent="0.3">
      <c r="A23">
        <v>27</v>
      </c>
      <c r="C23" t="s">
        <v>264</v>
      </c>
      <c r="D23">
        <v>27</v>
      </c>
    </row>
    <row r="24" spans="1:4" x14ac:dyDescent="0.3">
      <c r="A24">
        <v>28</v>
      </c>
      <c r="C24" t="s">
        <v>143</v>
      </c>
      <c r="D24">
        <v>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4.4" x14ac:dyDescent="0.3"/>
  <cols>
    <col min="2" max="2" width="40" customWidth="1"/>
    <col min="3" max="3" width="80.33203125" customWidth="1"/>
    <col min="4" max="4" width="9.33203125" customWidth="1"/>
  </cols>
  <sheetData>
    <row r="1" spans="2:5" x14ac:dyDescent="0.3">
      <c r="B1" t="s">
        <v>500</v>
      </c>
      <c r="C1" t="s">
        <v>499</v>
      </c>
      <c r="D1" s="2" t="s">
        <v>1035</v>
      </c>
      <c r="E1" t="s">
        <v>949</v>
      </c>
    </row>
    <row r="2" spans="2:5" x14ac:dyDescent="0.3">
      <c r="B2" t="s">
        <v>755</v>
      </c>
      <c r="C2" t="s">
        <v>756</v>
      </c>
      <c r="E2">
        <f>LEN(Tabla2[[#This Row],[Centros]])</f>
        <v>11</v>
      </c>
    </row>
    <row r="3" spans="2:5" x14ac:dyDescent="0.3">
      <c r="B3" t="s">
        <v>749</v>
      </c>
      <c r="C3" t="s">
        <v>919</v>
      </c>
      <c r="E3">
        <f>LEN(Tabla2[[#This Row],[Centros]])</f>
        <v>8</v>
      </c>
    </row>
    <row r="4" spans="2:5" x14ac:dyDescent="0.3">
      <c r="B4" t="s">
        <v>785</v>
      </c>
      <c r="C4" t="s">
        <v>889</v>
      </c>
      <c r="E4">
        <f>LEN(Tabla2[[#This Row],[Centros]])</f>
        <v>8</v>
      </c>
    </row>
    <row r="5" spans="2:5" x14ac:dyDescent="0.3">
      <c r="B5" t="s">
        <v>755</v>
      </c>
      <c r="C5" t="s">
        <v>757</v>
      </c>
      <c r="E5">
        <f>LEN(Tabla2[[#This Row],[Centros]])</f>
        <v>7</v>
      </c>
    </row>
    <row r="6" spans="2:5" x14ac:dyDescent="0.3">
      <c r="B6" t="s">
        <v>698</v>
      </c>
      <c r="C6" t="s">
        <v>703</v>
      </c>
      <c r="E6">
        <f>LEN(Tabla2[[#This Row],[Centros]])</f>
        <v>28</v>
      </c>
    </row>
    <row r="7" spans="2:5" x14ac:dyDescent="0.3">
      <c r="B7" t="s">
        <v>755</v>
      </c>
      <c r="C7" t="s">
        <v>758</v>
      </c>
      <c r="E7">
        <f>LEN(Tabla2[[#This Row],[Centros]])</f>
        <v>10</v>
      </c>
    </row>
    <row r="8" spans="2:5" x14ac:dyDescent="0.3">
      <c r="B8" t="s">
        <v>785</v>
      </c>
      <c r="C8" t="s">
        <v>786</v>
      </c>
      <c r="E8">
        <f>LEN(Tabla2[[#This Row],[Centros]])</f>
        <v>14</v>
      </c>
    </row>
    <row r="9" spans="2:5" x14ac:dyDescent="0.3">
      <c r="B9" t="s">
        <v>785</v>
      </c>
      <c r="C9" t="s">
        <v>791</v>
      </c>
      <c r="E9">
        <f>LEN(Tabla2[[#This Row],[Centros]])</f>
        <v>15</v>
      </c>
    </row>
    <row r="10" spans="2:5" x14ac:dyDescent="0.3">
      <c r="B10" t="s">
        <v>785</v>
      </c>
      <c r="C10" t="s">
        <v>787</v>
      </c>
      <c r="E10">
        <f>LEN(Tabla2[[#This Row],[Centros]])</f>
        <v>18</v>
      </c>
    </row>
    <row r="11" spans="2:5" x14ac:dyDescent="0.3">
      <c r="B11" t="s">
        <v>785</v>
      </c>
      <c r="C11" t="s">
        <v>790</v>
      </c>
      <c r="E11">
        <f>LEN(Tabla2[[#This Row],[Centros]])</f>
        <v>13</v>
      </c>
    </row>
    <row r="12" spans="2:5" x14ac:dyDescent="0.3">
      <c r="B12" t="s">
        <v>785</v>
      </c>
      <c r="C12" t="s">
        <v>788</v>
      </c>
      <c r="E12">
        <f>LEN(Tabla2[[#This Row],[Centros]])</f>
        <v>10</v>
      </c>
    </row>
    <row r="13" spans="2:5" x14ac:dyDescent="0.3">
      <c r="B13" t="s">
        <v>785</v>
      </c>
      <c r="C13" t="s">
        <v>789</v>
      </c>
      <c r="E13">
        <f>LEN(Tabla2[[#This Row],[Centros]])</f>
        <v>14</v>
      </c>
    </row>
    <row r="14" spans="2:5" x14ac:dyDescent="0.3">
      <c r="B14" t="s">
        <v>785</v>
      </c>
      <c r="C14" t="s">
        <v>796</v>
      </c>
      <c r="E14">
        <f>LEN(Tabla2[[#This Row],[Centros]])</f>
        <v>15</v>
      </c>
    </row>
    <row r="15" spans="2:5" x14ac:dyDescent="0.3">
      <c r="B15" t="s">
        <v>647</v>
      </c>
      <c r="C15" t="s">
        <v>661</v>
      </c>
      <c r="E15">
        <f>LEN(Tabla2[[#This Row],[Centros]])</f>
        <v>46</v>
      </c>
    </row>
    <row r="16" spans="2:5" x14ac:dyDescent="0.3">
      <c r="B16" t="s">
        <v>619</v>
      </c>
      <c r="C16" t="s">
        <v>632</v>
      </c>
      <c r="E16">
        <f>LEN(Tabla2[[#This Row],[Centros]])</f>
        <v>48</v>
      </c>
    </row>
    <row r="17" spans="2:5" x14ac:dyDescent="0.3">
      <c r="B17" t="s">
        <v>698</v>
      </c>
      <c r="C17" t="s">
        <v>940</v>
      </c>
      <c r="E17">
        <f>LEN(Tabla2[[#This Row],[Centros]])</f>
        <v>74</v>
      </c>
    </row>
    <row r="18" spans="2:5" x14ac:dyDescent="0.3">
      <c r="B18" t="s">
        <v>582</v>
      </c>
      <c r="C18" t="s">
        <v>591</v>
      </c>
      <c r="E18">
        <f>LEN(Tabla2[[#This Row],[Centros]])</f>
        <v>54</v>
      </c>
    </row>
    <row r="19" spans="2:5" x14ac:dyDescent="0.3">
      <c r="B19" t="s">
        <v>582</v>
      </c>
      <c r="C19" t="s">
        <v>592</v>
      </c>
      <c r="E19">
        <f>LEN(Tabla2[[#This Row],[Centros]])</f>
        <v>56</v>
      </c>
    </row>
    <row r="20" spans="2:5" x14ac:dyDescent="0.3">
      <c r="B20" t="s">
        <v>749</v>
      </c>
      <c r="C20" t="s">
        <v>754</v>
      </c>
      <c r="E20">
        <f>LEN(Tabla2[[#This Row],[Centros]])</f>
        <v>39</v>
      </c>
    </row>
    <row r="21" spans="2:5" x14ac:dyDescent="0.3">
      <c r="B21" t="s">
        <v>731</v>
      </c>
      <c r="C21" t="s">
        <v>736</v>
      </c>
      <c r="E21">
        <f>LEN(Tabla2[[#This Row],[Centros]])</f>
        <v>144</v>
      </c>
    </row>
    <row r="22" spans="2:5" x14ac:dyDescent="0.3">
      <c r="B22" t="s">
        <v>797</v>
      </c>
      <c r="C22" t="s">
        <v>847</v>
      </c>
      <c r="E22">
        <f>LEN(Tabla2[[#This Row],[Centros]])</f>
        <v>79</v>
      </c>
    </row>
    <row r="23" spans="2:5" x14ac:dyDescent="0.3">
      <c r="B23" t="s">
        <v>797</v>
      </c>
      <c r="C23" t="s">
        <v>801</v>
      </c>
      <c r="E23">
        <f>LEN(Tabla2[[#This Row],[Centros]])</f>
        <v>102</v>
      </c>
    </row>
    <row r="24" spans="2:5" x14ac:dyDescent="0.3">
      <c r="B24" t="s">
        <v>802</v>
      </c>
      <c r="C24" t="s">
        <v>821</v>
      </c>
      <c r="E24">
        <f>LEN(Tabla2[[#This Row],[Centros]])</f>
        <v>50</v>
      </c>
    </row>
    <row r="25" spans="2:5" x14ac:dyDescent="0.3">
      <c r="B25" t="s">
        <v>538</v>
      </c>
      <c r="C25" t="s">
        <v>938</v>
      </c>
      <c r="E25">
        <f>LEN(Tabla2[[#This Row],[Centros]])</f>
        <v>70</v>
      </c>
    </row>
    <row r="26" spans="2:5" x14ac:dyDescent="0.3">
      <c r="B26" t="s">
        <v>538</v>
      </c>
      <c r="C26" t="s">
        <v>939</v>
      </c>
      <c r="E26">
        <f>LEN(Tabla2[[#This Row],[Centros]])</f>
        <v>70</v>
      </c>
    </row>
    <row r="27" spans="2:5" x14ac:dyDescent="0.3">
      <c r="B27" t="s">
        <v>528</v>
      </c>
      <c r="C27" t="s">
        <v>533</v>
      </c>
      <c r="E27">
        <f>LEN(Tabla2[[#This Row],[Centros]])</f>
        <v>55</v>
      </c>
    </row>
    <row r="28" spans="2:5" x14ac:dyDescent="0.3">
      <c r="B28" t="s">
        <v>538</v>
      </c>
      <c r="C28" t="s">
        <v>546</v>
      </c>
      <c r="E28">
        <f>LEN(Tabla2[[#This Row],[Centros]])</f>
        <v>72</v>
      </c>
    </row>
    <row r="29" spans="2:5" x14ac:dyDescent="0.3">
      <c r="B29" t="s">
        <v>538</v>
      </c>
      <c r="C29" t="s">
        <v>545</v>
      </c>
      <c r="E29">
        <f>LEN(Tabla2[[#This Row],[Centros]])</f>
        <v>72</v>
      </c>
    </row>
    <row r="30" spans="2:5" x14ac:dyDescent="0.3">
      <c r="B30" t="s">
        <v>553</v>
      </c>
      <c r="C30" t="s">
        <v>568</v>
      </c>
      <c r="E30">
        <f>LEN(Tabla2[[#This Row],[Centros]])</f>
        <v>68</v>
      </c>
    </row>
    <row r="31" spans="2:5" x14ac:dyDescent="0.3">
      <c r="B31" t="s">
        <v>553</v>
      </c>
      <c r="C31" t="s">
        <v>569</v>
      </c>
      <c r="E31">
        <f>LEN(Tabla2[[#This Row],[Centros]])</f>
        <v>66</v>
      </c>
    </row>
    <row r="32" spans="2:5" x14ac:dyDescent="0.3">
      <c r="B32" t="s">
        <v>534</v>
      </c>
      <c r="C32" t="s">
        <v>537</v>
      </c>
      <c r="E32">
        <f>LEN(Tabla2[[#This Row],[Centros]])</f>
        <v>41</v>
      </c>
    </row>
    <row r="33" spans="2:5" x14ac:dyDescent="0.3">
      <c r="B33" t="s">
        <v>606</v>
      </c>
      <c r="C33" t="s">
        <v>618</v>
      </c>
      <c r="E33">
        <f>LEN(Tabla2[[#This Row],[Centros]])</f>
        <v>55</v>
      </c>
    </row>
    <row r="34" spans="2:5" x14ac:dyDescent="0.3">
      <c r="B34" t="s">
        <v>633</v>
      </c>
      <c r="C34" t="s">
        <v>646</v>
      </c>
      <c r="E34">
        <f>LEN(Tabla2[[#This Row],[Centros]])</f>
        <v>63</v>
      </c>
    </row>
    <row r="35" spans="2:5" x14ac:dyDescent="0.3">
      <c r="B35" t="s">
        <v>519</v>
      </c>
      <c r="C35" t="s">
        <v>934</v>
      </c>
      <c r="E35">
        <f>LEN(Tabla2[[#This Row],[Centros]])</f>
        <v>50</v>
      </c>
    </row>
    <row r="36" spans="2:5" x14ac:dyDescent="0.3">
      <c r="B36" t="s">
        <v>519</v>
      </c>
      <c r="C36" t="s">
        <v>930</v>
      </c>
      <c r="E36">
        <f>LEN(Tabla2[[#This Row],[Centros]])</f>
        <v>50</v>
      </c>
    </row>
    <row r="37" spans="2:5" x14ac:dyDescent="0.3">
      <c r="B37" t="s">
        <v>662</v>
      </c>
      <c r="C37" t="s">
        <v>684</v>
      </c>
      <c r="E37">
        <f>LEN(Tabla2[[#This Row],[Centros]])</f>
        <v>59</v>
      </c>
    </row>
    <row r="38" spans="2:5" x14ac:dyDescent="0.3">
      <c r="B38" t="s">
        <v>519</v>
      </c>
      <c r="C38" t="s">
        <v>935</v>
      </c>
      <c r="E38">
        <f>LEN(Tabla2[[#This Row],[Centros]])</f>
        <v>49</v>
      </c>
    </row>
    <row r="39" spans="2:5" x14ac:dyDescent="0.3">
      <c r="B39" t="s">
        <v>705</v>
      </c>
      <c r="C39" t="s">
        <v>709</v>
      </c>
      <c r="E39">
        <f>LEN(Tabla2[[#This Row],[Centros]])</f>
        <v>72</v>
      </c>
    </row>
    <row r="40" spans="2:5" x14ac:dyDescent="0.3">
      <c r="B40" t="s">
        <v>710</v>
      </c>
      <c r="C40" t="s">
        <v>715</v>
      </c>
      <c r="E40">
        <f>LEN(Tabla2[[#This Row],[Centros]])</f>
        <v>54</v>
      </c>
    </row>
    <row r="41" spans="2:5" x14ac:dyDescent="0.3">
      <c r="B41" t="s">
        <v>827</v>
      </c>
      <c r="C41" t="s">
        <v>841</v>
      </c>
      <c r="E41">
        <f>LEN(Tabla2[[#This Row],[Centros]])</f>
        <v>51</v>
      </c>
    </row>
    <row r="42" spans="2:5" x14ac:dyDescent="0.3">
      <c r="B42" t="s">
        <v>710</v>
      </c>
      <c r="C42" t="s">
        <v>941</v>
      </c>
      <c r="E42">
        <f>LEN(Tabla2[[#This Row],[Centros]])</f>
        <v>67</v>
      </c>
    </row>
    <row r="43" spans="2:5" x14ac:dyDescent="0.3">
      <c r="B43" t="s">
        <v>647</v>
      </c>
      <c r="C43" t="s">
        <v>660</v>
      </c>
      <c r="E43">
        <f>LEN(Tabla2[[#This Row],[Centros]])</f>
        <v>49</v>
      </c>
    </row>
    <row r="44" spans="2:5" x14ac:dyDescent="0.3">
      <c r="B44" t="s">
        <v>619</v>
      </c>
      <c r="C44" t="s">
        <v>913</v>
      </c>
      <c r="E44">
        <f>LEN(Tabla2[[#This Row],[Centros]])</f>
        <v>37</v>
      </c>
    </row>
    <row r="45" spans="2:5" x14ac:dyDescent="0.3">
      <c r="B45" t="s">
        <v>802</v>
      </c>
      <c r="C45" t="s">
        <v>818</v>
      </c>
      <c r="E45">
        <f>LEN(Tabla2[[#This Row],[Centros]])</f>
        <v>37</v>
      </c>
    </row>
    <row r="46" spans="2:5" x14ac:dyDescent="0.3">
      <c r="B46" t="s">
        <v>633</v>
      </c>
      <c r="C46" t="s">
        <v>634</v>
      </c>
      <c r="E46">
        <f>LEN(Tabla2[[#This Row],[Centros]])</f>
        <v>36</v>
      </c>
    </row>
    <row r="47" spans="2:5" x14ac:dyDescent="0.3">
      <c r="B47" t="s">
        <v>802</v>
      </c>
      <c r="C47" t="s">
        <v>814</v>
      </c>
      <c r="E47">
        <f>LEN(Tabla2[[#This Row],[Centros]])</f>
        <v>36</v>
      </c>
    </row>
    <row r="48" spans="2:5" x14ac:dyDescent="0.3">
      <c r="B48" t="s">
        <v>633</v>
      </c>
      <c r="C48" t="s">
        <v>635</v>
      </c>
      <c r="E48">
        <f>LEN(Tabla2[[#This Row],[Centros]])</f>
        <v>33</v>
      </c>
    </row>
    <row r="49" spans="2:5" x14ac:dyDescent="0.3">
      <c r="B49" t="s">
        <v>797</v>
      </c>
      <c r="C49" t="s">
        <v>799</v>
      </c>
      <c r="E49">
        <f>LEN(Tabla2[[#This Row],[Centros]])</f>
        <v>36</v>
      </c>
    </row>
    <row r="50" spans="2:5" x14ac:dyDescent="0.3">
      <c r="B50" t="s">
        <v>698</v>
      </c>
      <c r="C50" t="s">
        <v>699</v>
      </c>
      <c r="E50">
        <f>LEN(Tabla2[[#This Row],[Centros]])</f>
        <v>41</v>
      </c>
    </row>
    <row r="51" spans="2:5" x14ac:dyDescent="0.3">
      <c r="B51" t="s">
        <v>619</v>
      </c>
      <c r="C51" t="s">
        <v>849</v>
      </c>
      <c r="E51">
        <f>LEN(Tabla2[[#This Row],[Centros]])</f>
        <v>35</v>
      </c>
    </row>
    <row r="52" spans="2:5" x14ac:dyDescent="0.3">
      <c r="B52" t="s">
        <v>705</v>
      </c>
      <c r="C52" t="s">
        <v>707</v>
      </c>
      <c r="E52">
        <f>LEN(Tabla2[[#This Row],[Centros]])</f>
        <v>37</v>
      </c>
    </row>
    <row r="53" spans="2:5" x14ac:dyDescent="0.3">
      <c r="B53" t="s">
        <v>802</v>
      </c>
      <c r="C53" t="s">
        <v>806</v>
      </c>
      <c r="E53">
        <f>LEN(Tabla2[[#This Row],[Centros]])</f>
        <v>40</v>
      </c>
    </row>
    <row r="54" spans="2:5" x14ac:dyDescent="0.3">
      <c r="B54" t="s">
        <v>619</v>
      </c>
      <c r="C54" t="s">
        <v>858</v>
      </c>
      <c r="E54">
        <f>LEN(Tabla2[[#This Row],[Centros]])</f>
        <v>36</v>
      </c>
    </row>
    <row r="55" spans="2:5" x14ac:dyDescent="0.3">
      <c r="B55" t="s">
        <v>619</v>
      </c>
      <c r="C55" t="s">
        <v>904</v>
      </c>
      <c r="E55">
        <f>LEN(Tabla2[[#This Row],[Centros]])</f>
        <v>41</v>
      </c>
    </row>
    <row r="56" spans="2:5" x14ac:dyDescent="0.3">
      <c r="B56" t="s">
        <v>802</v>
      </c>
      <c r="C56" t="s">
        <v>819</v>
      </c>
      <c r="E56">
        <f>LEN(Tabla2[[#This Row],[Centros]])</f>
        <v>42</v>
      </c>
    </row>
    <row r="57" spans="2:5" x14ac:dyDescent="0.3">
      <c r="B57" t="s">
        <v>802</v>
      </c>
      <c r="C57" t="s">
        <v>816</v>
      </c>
      <c r="E57">
        <f>LEN(Tabla2[[#This Row],[Centros]])</f>
        <v>41</v>
      </c>
    </row>
    <row r="58" spans="2:5" x14ac:dyDescent="0.3">
      <c r="B58" t="s">
        <v>619</v>
      </c>
      <c r="C58" t="s">
        <v>857</v>
      </c>
      <c r="E58">
        <f>LEN(Tabla2[[#This Row],[Centros]])</f>
        <v>46</v>
      </c>
    </row>
    <row r="59" spans="2:5" x14ac:dyDescent="0.3">
      <c r="B59" t="s">
        <v>737</v>
      </c>
      <c r="C59" t="s">
        <v>739</v>
      </c>
      <c r="E59">
        <f>LEN(Tabla2[[#This Row],[Centros]])</f>
        <v>38</v>
      </c>
    </row>
    <row r="60" spans="2:5" x14ac:dyDescent="0.3">
      <c r="B60" t="s">
        <v>775</v>
      </c>
      <c r="C60" t="s">
        <v>777</v>
      </c>
      <c r="E60">
        <f>LEN(Tabla2[[#This Row],[Centros]])</f>
        <v>40</v>
      </c>
    </row>
    <row r="61" spans="2:5" x14ac:dyDescent="0.3">
      <c r="B61" t="s">
        <v>737</v>
      </c>
      <c r="C61" t="s">
        <v>738</v>
      </c>
      <c r="E61">
        <f>LEN(Tabla2[[#This Row],[Centros]])</f>
        <v>40</v>
      </c>
    </row>
    <row r="62" spans="2:5" x14ac:dyDescent="0.3">
      <c r="B62" t="s">
        <v>547</v>
      </c>
      <c r="C62" t="s">
        <v>551</v>
      </c>
      <c r="E62">
        <f>LEN(Tabla2[[#This Row],[Centros]])</f>
        <v>38</v>
      </c>
    </row>
    <row r="63" spans="2:5" x14ac:dyDescent="0.3">
      <c r="B63" t="s">
        <v>775</v>
      </c>
      <c r="C63" t="s">
        <v>778</v>
      </c>
      <c r="E63">
        <f>LEN(Tabla2[[#This Row],[Centros]])</f>
        <v>42</v>
      </c>
    </row>
    <row r="64" spans="2:5" x14ac:dyDescent="0.3">
      <c r="B64" t="s">
        <v>737</v>
      </c>
      <c r="C64" t="s">
        <v>740</v>
      </c>
      <c r="E64">
        <f>LEN(Tabla2[[#This Row],[Centros]])</f>
        <v>39</v>
      </c>
    </row>
    <row r="65" spans="2:5" x14ac:dyDescent="0.3">
      <c r="B65" t="s">
        <v>775</v>
      </c>
      <c r="C65" t="s">
        <v>779</v>
      </c>
      <c r="E65">
        <f>LEN(Tabla2[[#This Row],[Centros]])</f>
        <v>44</v>
      </c>
    </row>
    <row r="66" spans="2:5" x14ac:dyDescent="0.3">
      <c r="B66" t="s">
        <v>775</v>
      </c>
      <c r="C66" t="s">
        <v>780</v>
      </c>
      <c r="E66">
        <f>LEN(Tabla2[[#This Row],[Centros]])</f>
        <v>41</v>
      </c>
    </row>
    <row r="67" spans="2:5" x14ac:dyDescent="0.3">
      <c r="B67" t="s">
        <v>547</v>
      </c>
      <c r="C67" t="s">
        <v>549</v>
      </c>
      <c r="E67">
        <f>LEN(Tabla2[[#This Row],[Centros]])</f>
        <v>42</v>
      </c>
    </row>
    <row r="68" spans="2:5" x14ac:dyDescent="0.3">
      <c r="B68" t="s">
        <v>822</v>
      </c>
      <c r="C68" t="s">
        <v>823</v>
      </c>
      <c r="E68">
        <f>LEN(Tabla2[[#This Row],[Centros]])</f>
        <v>38</v>
      </c>
    </row>
    <row r="69" spans="2:5" x14ac:dyDescent="0.3">
      <c r="B69" t="s">
        <v>775</v>
      </c>
      <c r="C69" t="s">
        <v>776</v>
      </c>
      <c r="E69">
        <f>LEN(Tabla2[[#This Row],[Centros]])</f>
        <v>45</v>
      </c>
    </row>
    <row r="70" spans="2:5" x14ac:dyDescent="0.3">
      <c r="B70" t="s">
        <v>822</v>
      </c>
      <c r="C70" t="s">
        <v>824</v>
      </c>
      <c r="E70">
        <f>LEN(Tabla2[[#This Row],[Centros]])</f>
        <v>37</v>
      </c>
    </row>
    <row r="71" spans="2:5" x14ac:dyDescent="0.3">
      <c r="B71" t="s">
        <v>775</v>
      </c>
      <c r="C71" t="s">
        <v>781</v>
      </c>
      <c r="E71">
        <f>LEN(Tabla2[[#This Row],[Centros]])</f>
        <v>41</v>
      </c>
    </row>
    <row r="72" spans="2:5" x14ac:dyDescent="0.3">
      <c r="B72" t="s">
        <v>822</v>
      </c>
      <c r="C72" t="s">
        <v>825</v>
      </c>
      <c r="E72">
        <f>LEN(Tabla2[[#This Row],[Centros]])</f>
        <v>42</v>
      </c>
    </row>
    <row r="73" spans="2:5" x14ac:dyDescent="0.3">
      <c r="B73" t="s">
        <v>727</v>
      </c>
      <c r="C73" t="s">
        <v>875</v>
      </c>
      <c r="E73">
        <f>LEN(Tabla2[[#This Row],[Centros]])</f>
        <v>49</v>
      </c>
    </row>
    <row r="74" spans="2:5" x14ac:dyDescent="0.3">
      <c r="B74" t="s">
        <v>727</v>
      </c>
      <c r="C74" t="s">
        <v>865</v>
      </c>
      <c r="E74">
        <f>LEN(Tabla2[[#This Row],[Centros]])</f>
        <v>54</v>
      </c>
    </row>
    <row r="75" spans="2:5" x14ac:dyDescent="0.3">
      <c r="B75" t="s">
        <v>727</v>
      </c>
      <c r="C75" t="s">
        <v>898</v>
      </c>
      <c r="E75">
        <f>LEN(Tabla2[[#This Row],[Centros]])</f>
        <v>53</v>
      </c>
    </row>
    <row r="76" spans="2:5" x14ac:dyDescent="0.3">
      <c r="B76" t="s">
        <v>727</v>
      </c>
      <c r="C76" t="s">
        <v>871</v>
      </c>
      <c r="E76">
        <f>LEN(Tabla2[[#This Row],[Centros]])</f>
        <v>48</v>
      </c>
    </row>
    <row r="77" spans="2:5" x14ac:dyDescent="0.3">
      <c r="B77" t="s">
        <v>727</v>
      </c>
      <c r="C77" t="s">
        <v>853</v>
      </c>
      <c r="E77">
        <f>LEN(Tabla2[[#This Row],[Centros]])</f>
        <v>59</v>
      </c>
    </row>
    <row r="78" spans="2:5" x14ac:dyDescent="0.3">
      <c r="B78" t="s">
        <v>727</v>
      </c>
      <c r="C78" t="s">
        <v>885</v>
      </c>
      <c r="E78">
        <f>LEN(Tabla2[[#This Row],[Centros]])</f>
        <v>54</v>
      </c>
    </row>
    <row r="79" spans="2:5" x14ac:dyDescent="0.3">
      <c r="B79" t="s">
        <v>727</v>
      </c>
      <c r="C79" t="s">
        <v>890</v>
      </c>
      <c r="E79">
        <f>LEN(Tabla2[[#This Row],[Centros]])</f>
        <v>49</v>
      </c>
    </row>
    <row r="80" spans="2:5" x14ac:dyDescent="0.3">
      <c r="B80" t="s">
        <v>727</v>
      </c>
      <c r="C80" t="s">
        <v>854</v>
      </c>
      <c r="E80">
        <f>LEN(Tabla2[[#This Row],[Centros]])</f>
        <v>58</v>
      </c>
    </row>
    <row r="81" spans="2:5" x14ac:dyDescent="0.3">
      <c r="B81" t="s">
        <v>727</v>
      </c>
      <c r="C81" t="s">
        <v>872</v>
      </c>
      <c r="E81">
        <f>LEN(Tabla2[[#This Row],[Centros]])</f>
        <v>51</v>
      </c>
    </row>
    <row r="82" spans="2:5" x14ac:dyDescent="0.3">
      <c r="B82" t="s">
        <v>727</v>
      </c>
      <c r="C82" t="s">
        <v>863</v>
      </c>
      <c r="E82">
        <f>LEN(Tabla2[[#This Row],[Centros]])</f>
        <v>57</v>
      </c>
    </row>
    <row r="83" spans="2:5" x14ac:dyDescent="0.3">
      <c r="B83" t="s">
        <v>727</v>
      </c>
      <c r="C83" t="s">
        <v>860</v>
      </c>
      <c r="E83">
        <f>LEN(Tabla2[[#This Row],[Centros]])</f>
        <v>51</v>
      </c>
    </row>
    <row r="84" spans="2:5" x14ac:dyDescent="0.3">
      <c r="B84" t="s">
        <v>727</v>
      </c>
      <c r="C84" t="s">
        <v>862</v>
      </c>
      <c r="E84">
        <f>LEN(Tabla2[[#This Row],[Centros]])</f>
        <v>53</v>
      </c>
    </row>
    <row r="85" spans="2:5" x14ac:dyDescent="0.3">
      <c r="B85" t="s">
        <v>727</v>
      </c>
      <c r="C85" t="s">
        <v>876</v>
      </c>
      <c r="E85">
        <f>LEN(Tabla2[[#This Row],[Centros]])</f>
        <v>50</v>
      </c>
    </row>
    <row r="86" spans="2:5" x14ac:dyDescent="0.3">
      <c r="B86" t="s">
        <v>685</v>
      </c>
      <c r="C86" t="s">
        <v>687</v>
      </c>
      <c r="E86">
        <f>LEN(Tabla2[[#This Row],[Centros]])</f>
        <v>73</v>
      </c>
    </row>
    <row r="87" spans="2:5" x14ac:dyDescent="0.3">
      <c r="B87" t="s">
        <v>685</v>
      </c>
      <c r="C87" t="s">
        <v>688</v>
      </c>
      <c r="E87">
        <f>LEN(Tabla2[[#This Row],[Centros]])</f>
        <v>63</v>
      </c>
    </row>
    <row r="88" spans="2:5" x14ac:dyDescent="0.3">
      <c r="B88" t="s">
        <v>685</v>
      </c>
      <c r="C88" t="s">
        <v>690</v>
      </c>
      <c r="E88">
        <f>LEN(Tabla2[[#This Row],[Centros]])</f>
        <v>62</v>
      </c>
    </row>
    <row r="89" spans="2:5" x14ac:dyDescent="0.3">
      <c r="B89" t="s">
        <v>570</v>
      </c>
      <c r="C89" t="s">
        <v>578</v>
      </c>
      <c r="E89">
        <f>LEN(Tabla2[[#This Row],[Centros]])</f>
        <v>49</v>
      </c>
    </row>
    <row r="90" spans="2:5" x14ac:dyDescent="0.3">
      <c r="B90" t="s">
        <v>570</v>
      </c>
      <c r="C90" t="s">
        <v>579</v>
      </c>
      <c r="E90">
        <f>LEN(Tabla2[[#This Row],[Centros]])</f>
        <v>49</v>
      </c>
    </row>
    <row r="91" spans="2:5" x14ac:dyDescent="0.3">
      <c r="B91" t="s">
        <v>570</v>
      </c>
      <c r="C91" t="s">
        <v>571</v>
      </c>
      <c r="E91">
        <f>LEN(Tabla2[[#This Row],[Centros]])</f>
        <v>41</v>
      </c>
    </row>
    <row r="92" spans="2:5" x14ac:dyDescent="0.3">
      <c r="B92" t="s">
        <v>570</v>
      </c>
      <c r="C92" t="s">
        <v>572</v>
      </c>
      <c r="E92">
        <f>LEN(Tabla2[[#This Row],[Centros]])</f>
        <v>41</v>
      </c>
    </row>
    <row r="93" spans="2:5" x14ac:dyDescent="0.3">
      <c r="B93" t="s">
        <v>570</v>
      </c>
      <c r="C93" t="s">
        <v>573</v>
      </c>
      <c r="E93">
        <f>LEN(Tabla2[[#This Row],[Centros]])</f>
        <v>41</v>
      </c>
    </row>
    <row r="94" spans="2:5" x14ac:dyDescent="0.3">
      <c r="B94" t="s">
        <v>570</v>
      </c>
      <c r="C94" t="s">
        <v>574</v>
      </c>
      <c r="E94">
        <f>LEN(Tabla2[[#This Row],[Centros]])</f>
        <v>41</v>
      </c>
    </row>
    <row r="95" spans="2:5" x14ac:dyDescent="0.3">
      <c r="B95" t="s">
        <v>570</v>
      </c>
      <c r="C95" t="s">
        <v>575</v>
      </c>
      <c r="E95">
        <f>LEN(Tabla2[[#This Row],[Centros]])</f>
        <v>41</v>
      </c>
    </row>
    <row r="96" spans="2:5" x14ac:dyDescent="0.3">
      <c r="B96" t="s">
        <v>570</v>
      </c>
      <c r="C96" t="s">
        <v>576</v>
      </c>
      <c r="E96">
        <f>LEN(Tabla2[[#This Row],[Centros]])</f>
        <v>41</v>
      </c>
    </row>
    <row r="97" spans="2:5" x14ac:dyDescent="0.3">
      <c r="B97" t="s">
        <v>570</v>
      </c>
      <c r="C97" t="s">
        <v>577</v>
      </c>
      <c r="E97">
        <f>LEN(Tabla2[[#This Row],[Centros]])</f>
        <v>41</v>
      </c>
    </row>
    <row r="98" spans="2:5" x14ac:dyDescent="0.3">
      <c r="B98" t="s">
        <v>710</v>
      </c>
      <c r="C98" t="s">
        <v>714</v>
      </c>
      <c r="E98">
        <f>LEN(Tabla2[[#This Row],[Centros]])</f>
        <v>36</v>
      </c>
    </row>
    <row r="99" spans="2:5" x14ac:dyDescent="0.3">
      <c r="B99" t="s">
        <v>698</v>
      </c>
      <c r="C99" t="s">
        <v>700</v>
      </c>
      <c r="E99">
        <f>LEN(Tabla2[[#This Row],[Centros]])</f>
        <v>49</v>
      </c>
    </row>
    <row r="100" spans="2:5" x14ac:dyDescent="0.3">
      <c r="B100" t="s">
        <v>797</v>
      </c>
      <c r="C100" t="s">
        <v>800</v>
      </c>
      <c r="E100">
        <f>LEN(Tabla2[[#This Row],[Centros]])</f>
        <v>59</v>
      </c>
    </row>
    <row r="101" spans="2:5" x14ac:dyDescent="0.3">
      <c r="B101" t="s">
        <v>705</v>
      </c>
      <c r="C101" t="s">
        <v>708</v>
      </c>
      <c r="E101">
        <f>LEN(Tabla2[[#This Row],[Centros]])</f>
        <v>49</v>
      </c>
    </row>
    <row r="102" spans="2:5" x14ac:dyDescent="0.3">
      <c r="B102" t="s">
        <v>570</v>
      </c>
      <c r="C102" t="s">
        <v>899</v>
      </c>
      <c r="E102">
        <f>LEN(Tabla2[[#This Row],[Centros]])</f>
        <v>41</v>
      </c>
    </row>
    <row r="103" spans="2:5" x14ac:dyDescent="0.3">
      <c r="B103" t="s">
        <v>570</v>
      </c>
      <c r="C103" t="s">
        <v>910</v>
      </c>
      <c r="E103">
        <f>LEN(Tabla2[[#This Row],[Centros]])</f>
        <v>41</v>
      </c>
    </row>
    <row r="104" spans="2:5" x14ac:dyDescent="0.3">
      <c r="B104" t="s">
        <v>633</v>
      </c>
      <c r="C104" t="s">
        <v>636</v>
      </c>
      <c r="E104">
        <f>LEN(Tabla2[[#This Row],[Centros]])</f>
        <v>37</v>
      </c>
    </row>
    <row r="105" spans="2:5" x14ac:dyDescent="0.3">
      <c r="B105" t="s">
        <v>802</v>
      </c>
      <c r="C105" t="s">
        <v>809</v>
      </c>
      <c r="E105">
        <f>LEN(Tabla2[[#This Row],[Centros]])</f>
        <v>41</v>
      </c>
    </row>
    <row r="106" spans="2:5" x14ac:dyDescent="0.3">
      <c r="B106" t="s">
        <v>633</v>
      </c>
      <c r="C106" t="s">
        <v>637</v>
      </c>
      <c r="E106">
        <f>LEN(Tabla2[[#This Row],[Centros]])</f>
        <v>38</v>
      </c>
    </row>
    <row r="107" spans="2:5" x14ac:dyDescent="0.3">
      <c r="B107" t="s">
        <v>619</v>
      </c>
      <c r="C107" t="s">
        <v>886</v>
      </c>
      <c r="E107">
        <f>LEN(Tabla2[[#This Row],[Centros]])</f>
        <v>35</v>
      </c>
    </row>
    <row r="108" spans="2:5" x14ac:dyDescent="0.3">
      <c r="B108" t="s">
        <v>633</v>
      </c>
      <c r="C108" t="s">
        <v>638</v>
      </c>
      <c r="E108">
        <f>LEN(Tabla2[[#This Row],[Centros]])</f>
        <v>40</v>
      </c>
    </row>
    <row r="109" spans="2:5" x14ac:dyDescent="0.3">
      <c r="B109" t="s">
        <v>633</v>
      </c>
      <c r="C109" t="s">
        <v>639</v>
      </c>
      <c r="E109">
        <f>LEN(Tabla2[[#This Row],[Centros]])</f>
        <v>35</v>
      </c>
    </row>
    <row r="110" spans="2:5" x14ac:dyDescent="0.3">
      <c r="B110" t="s">
        <v>802</v>
      </c>
      <c r="C110" t="s">
        <v>812</v>
      </c>
      <c r="E110">
        <f>LEN(Tabla2[[#This Row],[Centros]])</f>
        <v>38</v>
      </c>
    </row>
    <row r="111" spans="2:5" x14ac:dyDescent="0.3">
      <c r="B111" t="s">
        <v>685</v>
      </c>
      <c r="C111" t="s">
        <v>689</v>
      </c>
      <c r="E111">
        <f>LEN(Tabla2[[#This Row],[Centros]])</f>
        <v>38</v>
      </c>
    </row>
    <row r="112" spans="2:5" x14ac:dyDescent="0.3">
      <c r="B112" t="s">
        <v>619</v>
      </c>
      <c r="C112" t="s">
        <v>855</v>
      </c>
      <c r="E112">
        <f>LEN(Tabla2[[#This Row],[Centros]])</f>
        <v>37</v>
      </c>
    </row>
    <row r="113" spans="2:5" x14ac:dyDescent="0.3">
      <c r="B113" t="s">
        <v>685</v>
      </c>
      <c r="C113" t="s">
        <v>695</v>
      </c>
      <c r="E113">
        <f>LEN(Tabla2[[#This Row],[Centros]])</f>
        <v>52</v>
      </c>
    </row>
    <row r="114" spans="2:5" x14ac:dyDescent="0.3">
      <c r="B114" t="s">
        <v>685</v>
      </c>
      <c r="C114" t="s">
        <v>692</v>
      </c>
      <c r="E114">
        <f>LEN(Tabla2[[#This Row],[Centros]])</f>
        <v>38</v>
      </c>
    </row>
    <row r="115" spans="2:5" x14ac:dyDescent="0.3">
      <c r="B115" t="s">
        <v>802</v>
      </c>
      <c r="C115" t="s">
        <v>811</v>
      </c>
      <c r="E115">
        <f>LEN(Tabla2[[#This Row],[Centros]])</f>
        <v>37</v>
      </c>
    </row>
    <row r="116" spans="2:5" x14ac:dyDescent="0.3">
      <c r="B116" t="s">
        <v>633</v>
      </c>
      <c r="C116" t="s">
        <v>640</v>
      </c>
      <c r="E116">
        <f>LEN(Tabla2[[#This Row],[Centros]])</f>
        <v>41</v>
      </c>
    </row>
    <row r="117" spans="2:5" x14ac:dyDescent="0.3">
      <c r="B117" t="s">
        <v>633</v>
      </c>
      <c r="C117" t="s">
        <v>641</v>
      </c>
      <c r="E117">
        <f>LEN(Tabla2[[#This Row],[Centros]])</f>
        <v>36</v>
      </c>
    </row>
    <row r="118" spans="2:5" x14ac:dyDescent="0.3">
      <c r="B118" t="s">
        <v>570</v>
      </c>
      <c r="C118" t="s">
        <v>923</v>
      </c>
      <c r="E118">
        <f>LEN(Tabla2[[#This Row],[Centros]])</f>
        <v>33</v>
      </c>
    </row>
    <row r="119" spans="2:5" x14ac:dyDescent="0.3">
      <c r="B119" t="s">
        <v>570</v>
      </c>
      <c r="C119" t="s">
        <v>848</v>
      </c>
      <c r="E119">
        <f>LEN(Tabla2[[#This Row],[Centros]])</f>
        <v>33</v>
      </c>
    </row>
    <row r="120" spans="2:5" x14ac:dyDescent="0.3">
      <c r="B120" t="s">
        <v>570</v>
      </c>
      <c r="C120" t="s">
        <v>926</v>
      </c>
      <c r="E120">
        <f>LEN(Tabla2[[#This Row],[Centros]])</f>
        <v>33</v>
      </c>
    </row>
    <row r="121" spans="2:5" x14ac:dyDescent="0.3">
      <c r="B121" t="s">
        <v>570</v>
      </c>
      <c r="C121" t="s">
        <v>908</v>
      </c>
      <c r="E121">
        <f>LEN(Tabla2[[#This Row],[Centros]])</f>
        <v>33</v>
      </c>
    </row>
    <row r="122" spans="2:5" x14ac:dyDescent="0.3">
      <c r="B122" t="s">
        <v>570</v>
      </c>
      <c r="C122" t="s">
        <v>887</v>
      </c>
      <c r="E122">
        <f>LEN(Tabla2[[#This Row],[Centros]])</f>
        <v>33</v>
      </c>
    </row>
    <row r="123" spans="2:5" x14ac:dyDescent="0.3">
      <c r="B123" t="s">
        <v>570</v>
      </c>
      <c r="C123" t="s">
        <v>907</v>
      </c>
      <c r="E123">
        <f>LEN(Tabla2[[#This Row],[Centros]])</f>
        <v>33</v>
      </c>
    </row>
    <row r="124" spans="2:5" x14ac:dyDescent="0.3">
      <c r="B124" t="s">
        <v>570</v>
      </c>
      <c r="C124" t="s">
        <v>864</v>
      </c>
      <c r="E124">
        <f>LEN(Tabla2[[#This Row],[Centros]])</f>
        <v>33</v>
      </c>
    </row>
    <row r="125" spans="2:5" x14ac:dyDescent="0.3">
      <c r="B125" t="s">
        <v>600</v>
      </c>
      <c r="C125" t="s">
        <v>601</v>
      </c>
      <c r="E125">
        <f>LEN(Tabla2[[#This Row],[Centros]])</f>
        <v>45</v>
      </c>
    </row>
    <row r="126" spans="2:5" x14ac:dyDescent="0.3">
      <c r="B126" t="s">
        <v>710</v>
      </c>
      <c r="C126" t="s">
        <v>711</v>
      </c>
      <c r="E126">
        <f>LEN(Tabla2[[#This Row],[Centros]])</f>
        <v>43</v>
      </c>
    </row>
    <row r="127" spans="2:5" x14ac:dyDescent="0.3">
      <c r="B127" t="s">
        <v>710</v>
      </c>
      <c r="C127" t="s">
        <v>712</v>
      </c>
      <c r="E127">
        <f>LEN(Tabla2[[#This Row],[Centros]])</f>
        <v>43</v>
      </c>
    </row>
    <row r="128" spans="2:5" x14ac:dyDescent="0.3">
      <c r="B128" t="s">
        <v>710</v>
      </c>
      <c r="C128" t="s">
        <v>713</v>
      </c>
      <c r="E128">
        <f>LEN(Tabla2[[#This Row],[Centros]])</f>
        <v>45</v>
      </c>
    </row>
    <row r="129" spans="2:5" x14ac:dyDescent="0.3">
      <c r="B129" t="s">
        <v>619</v>
      </c>
      <c r="C129" t="s">
        <v>874</v>
      </c>
      <c r="E129">
        <f>LEN(Tabla2[[#This Row],[Centros]])</f>
        <v>37</v>
      </c>
    </row>
    <row r="130" spans="2:5" x14ac:dyDescent="0.3">
      <c r="B130" t="s">
        <v>802</v>
      </c>
      <c r="C130" t="s">
        <v>804</v>
      </c>
      <c r="E130">
        <f>LEN(Tabla2[[#This Row],[Centros]])</f>
        <v>37</v>
      </c>
    </row>
    <row r="131" spans="2:5" x14ac:dyDescent="0.3">
      <c r="B131" t="s">
        <v>633</v>
      </c>
      <c r="C131" t="s">
        <v>642</v>
      </c>
      <c r="E131">
        <f>LEN(Tabla2[[#This Row],[Centros]])</f>
        <v>36</v>
      </c>
    </row>
    <row r="132" spans="2:5" x14ac:dyDescent="0.3">
      <c r="B132" t="s">
        <v>802</v>
      </c>
      <c r="C132" t="s">
        <v>803</v>
      </c>
      <c r="E132">
        <f>LEN(Tabla2[[#This Row],[Centros]])</f>
        <v>35</v>
      </c>
    </row>
    <row r="133" spans="2:5" x14ac:dyDescent="0.3">
      <c r="B133" t="s">
        <v>802</v>
      </c>
      <c r="C133" t="s">
        <v>810</v>
      </c>
      <c r="E133">
        <f>LEN(Tabla2[[#This Row],[Centros]])</f>
        <v>37</v>
      </c>
    </row>
    <row r="134" spans="2:5" x14ac:dyDescent="0.3">
      <c r="B134" t="s">
        <v>802</v>
      </c>
      <c r="C134" t="s">
        <v>808</v>
      </c>
      <c r="E134">
        <f>LEN(Tabla2[[#This Row],[Centros]])</f>
        <v>49</v>
      </c>
    </row>
    <row r="135" spans="2:5" x14ac:dyDescent="0.3">
      <c r="B135" t="s">
        <v>727</v>
      </c>
      <c r="C135" t="s">
        <v>883</v>
      </c>
      <c r="E135">
        <f>LEN(Tabla2[[#This Row],[Centros]])</f>
        <v>53</v>
      </c>
    </row>
    <row r="136" spans="2:5" x14ac:dyDescent="0.3">
      <c r="B136" t="s">
        <v>727</v>
      </c>
      <c r="C136" t="s">
        <v>906</v>
      </c>
      <c r="E136">
        <f>LEN(Tabla2[[#This Row],[Centros]])</f>
        <v>58</v>
      </c>
    </row>
    <row r="137" spans="2:5" x14ac:dyDescent="0.3">
      <c r="B137" t="s">
        <v>727</v>
      </c>
      <c r="C137" t="s">
        <v>917</v>
      </c>
      <c r="E137">
        <f>LEN(Tabla2[[#This Row],[Centros]])</f>
        <v>49</v>
      </c>
    </row>
    <row r="138" spans="2:5" x14ac:dyDescent="0.3">
      <c r="B138" t="s">
        <v>685</v>
      </c>
      <c r="C138" t="s">
        <v>691</v>
      </c>
      <c r="E138">
        <f>LEN(Tabla2[[#This Row],[Centros]])</f>
        <v>52</v>
      </c>
    </row>
    <row r="139" spans="2:5" x14ac:dyDescent="0.3">
      <c r="B139" t="s">
        <v>802</v>
      </c>
      <c r="C139" t="s">
        <v>817</v>
      </c>
      <c r="E139">
        <f>LEN(Tabla2[[#This Row],[Centros]])</f>
        <v>46</v>
      </c>
    </row>
    <row r="140" spans="2:5" x14ac:dyDescent="0.3">
      <c r="B140" t="s">
        <v>685</v>
      </c>
      <c r="C140" t="s">
        <v>694</v>
      </c>
      <c r="E140">
        <f>LEN(Tabla2[[#This Row],[Centros]])</f>
        <v>38</v>
      </c>
    </row>
    <row r="141" spans="2:5" x14ac:dyDescent="0.3">
      <c r="B141" t="s">
        <v>802</v>
      </c>
      <c r="C141" t="s">
        <v>805</v>
      </c>
      <c r="E141">
        <f>LEN(Tabla2[[#This Row],[Centros]])</f>
        <v>38</v>
      </c>
    </row>
    <row r="142" spans="2:5" x14ac:dyDescent="0.3">
      <c r="B142" t="s">
        <v>619</v>
      </c>
      <c r="C142" t="s">
        <v>861</v>
      </c>
      <c r="E142">
        <f>LEN(Tabla2[[#This Row],[Centros]])</f>
        <v>34</v>
      </c>
    </row>
    <row r="143" spans="2:5" x14ac:dyDescent="0.3">
      <c r="B143" t="s">
        <v>619</v>
      </c>
      <c r="C143" t="s">
        <v>866</v>
      </c>
      <c r="E143">
        <f>LEN(Tabla2[[#This Row],[Centros]])</f>
        <v>35</v>
      </c>
    </row>
    <row r="144" spans="2:5" x14ac:dyDescent="0.3">
      <c r="B144" t="s">
        <v>633</v>
      </c>
      <c r="C144" t="s">
        <v>643</v>
      </c>
      <c r="E144">
        <f>LEN(Tabla2[[#This Row],[Centros]])</f>
        <v>36</v>
      </c>
    </row>
    <row r="145" spans="2:5" x14ac:dyDescent="0.3">
      <c r="B145" t="s">
        <v>619</v>
      </c>
      <c r="C145" t="s">
        <v>870</v>
      </c>
      <c r="E145">
        <f>LEN(Tabla2[[#This Row],[Centros]])</f>
        <v>34</v>
      </c>
    </row>
    <row r="146" spans="2:5" x14ac:dyDescent="0.3">
      <c r="B146" t="s">
        <v>797</v>
      </c>
      <c r="C146" t="s">
        <v>798</v>
      </c>
      <c r="E146">
        <f>LEN(Tabla2[[#This Row],[Centros]])</f>
        <v>37</v>
      </c>
    </row>
    <row r="147" spans="2:5" x14ac:dyDescent="0.3">
      <c r="B147" t="s">
        <v>633</v>
      </c>
      <c r="C147" t="s">
        <v>644</v>
      </c>
      <c r="E147">
        <f>LEN(Tabla2[[#This Row],[Centros]])</f>
        <v>33</v>
      </c>
    </row>
    <row r="148" spans="2:5" x14ac:dyDescent="0.3">
      <c r="B148" t="s">
        <v>633</v>
      </c>
      <c r="C148" t="s">
        <v>645</v>
      </c>
      <c r="E148">
        <f>LEN(Tabla2[[#This Row],[Centros]])</f>
        <v>39</v>
      </c>
    </row>
    <row r="149" spans="2:5" x14ac:dyDescent="0.3">
      <c r="B149" t="s">
        <v>802</v>
      </c>
      <c r="C149" t="s">
        <v>807</v>
      </c>
      <c r="E149">
        <f>LEN(Tabla2[[#This Row],[Centros]])</f>
        <v>35</v>
      </c>
    </row>
    <row r="150" spans="2:5" x14ac:dyDescent="0.3">
      <c r="B150" t="s">
        <v>705</v>
      </c>
      <c r="C150" t="s">
        <v>706</v>
      </c>
      <c r="E150">
        <f>LEN(Tabla2[[#This Row],[Centros]])</f>
        <v>48</v>
      </c>
    </row>
    <row r="151" spans="2:5" x14ac:dyDescent="0.3">
      <c r="B151" t="s">
        <v>802</v>
      </c>
      <c r="C151" t="s">
        <v>813</v>
      </c>
      <c r="E151">
        <f>LEN(Tabla2[[#This Row],[Centros]])</f>
        <v>47</v>
      </c>
    </row>
    <row r="152" spans="2:5" x14ac:dyDescent="0.3">
      <c r="B152" t="s">
        <v>685</v>
      </c>
      <c r="C152" t="s">
        <v>693</v>
      </c>
      <c r="E152">
        <f>LEN(Tabla2[[#This Row],[Centros]])</f>
        <v>35</v>
      </c>
    </row>
    <row r="153" spans="2:5" x14ac:dyDescent="0.3">
      <c r="B153" t="s">
        <v>619</v>
      </c>
      <c r="C153" t="s">
        <v>873</v>
      </c>
      <c r="E153">
        <f>LEN(Tabla2[[#This Row],[Centros]])</f>
        <v>40</v>
      </c>
    </row>
    <row r="154" spans="2:5" x14ac:dyDescent="0.3">
      <c r="B154" t="s">
        <v>802</v>
      </c>
      <c r="C154" t="s">
        <v>815</v>
      </c>
      <c r="E154">
        <f>LEN(Tabla2[[#This Row],[Centros]])</f>
        <v>38</v>
      </c>
    </row>
    <row r="155" spans="2:5" x14ac:dyDescent="0.3">
      <c r="B155" t="s">
        <v>737</v>
      </c>
      <c r="C155" t="s">
        <v>922</v>
      </c>
      <c r="E155">
        <f>LEN(Tabla2[[#This Row],[Centros]])</f>
        <v>44</v>
      </c>
    </row>
    <row r="156" spans="2:5" x14ac:dyDescent="0.3">
      <c r="B156" t="s">
        <v>600</v>
      </c>
      <c r="C156" t="s">
        <v>602</v>
      </c>
      <c r="E156">
        <f>LEN(Tabla2[[#This Row],[Centros]])</f>
        <v>69</v>
      </c>
    </row>
    <row r="157" spans="2:5" x14ac:dyDescent="0.3">
      <c r="B157" t="s">
        <v>600</v>
      </c>
      <c r="C157" t="s">
        <v>603</v>
      </c>
      <c r="E157">
        <f>LEN(Tabla2[[#This Row],[Centros]])</f>
        <v>68</v>
      </c>
    </row>
    <row r="158" spans="2:5" x14ac:dyDescent="0.3">
      <c r="B158" t="s">
        <v>698</v>
      </c>
      <c r="C158" t="s">
        <v>932</v>
      </c>
      <c r="E158">
        <f>LEN(Tabla2[[#This Row],[Centros]])</f>
        <v>62</v>
      </c>
    </row>
    <row r="159" spans="2:5" x14ac:dyDescent="0.3">
      <c r="B159" t="s">
        <v>698</v>
      </c>
      <c r="C159" t="s">
        <v>704</v>
      </c>
      <c r="E159">
        <f>LEN(Tabla2[[#This Row],[Centros]])</f>
        <v>88</v>
      </c>
    </row>
    <row r="160" spans="2:5" x14ac:dyDescent="0.3">
      <c r="B160" t="s">
        <v>755</v>
      </c>
      <c r="C160" t="s">
        <v>773</v>
      </c>
      <c r="E160">
        <f>LEN(Tabla2[[#This Row],[Centros]])</f>
        <v>81</v>
      </c>
    </row>
    <row r="161" spans="2:5" x14ac:dyDescent="0.3">
      <c r="B161" t="s">
        <v>755</v>
      </c>
      <c r="C161" t="s">
        <v>771</v>
      </c>
      <c r="E161">
        <f>LEN(Tabla2[[#This Row],[Centros]])</f>
        <v>63</v>
      </c>
    </row>
    <row r="162" spans="2:5" x14ac:dyDescent="0.3">
      <c r="B162" t="s">
        <v>755</v>
      </c>
      <c r="C162" t="s">
        <v>769</v>
      </c>
      <c r="E162">
        <f>LEN(Tabla2[[#This Row],[Centros]])</f>
        <v>68</v>
      </c>
    </row>
    <row r="163" spans="2:5" x14ac:dyDescent="0.3">
      <c r="B163" t="s">
        <v>755</v>
      </c>
      <c r="C163" t="s">
        <v>943</v>
      </c>
      <c r="E163">
        <f>LEN(Tabla2[[#This Row],[Centros]])</f>
        <v>69</v>
      </c>
    </row>
    <row r="164" spans="2:5" x14ac:dyDescent="0.3">
      <c r="B164" t="s">
        <v>755</v>
      </c>
      <c r="C164" t="s">
        <v>770</v>
      </c>
      <c r="E164">
        <f>LEN(Tabla2[[#This Row],[Centros]])</f>
        <v>77</v>
      </c>
    </row>
    <row r="165" spans="2:5" x14ac:dyDescent="0.3">
      <c r="B165" t="s">
        <v>755</v>
      </c>
      <c r="C165" t="s">
        <v>774</v>
      </c>
      <c r="E165">
        <f>LEN(Tabla2[[#This Row],[Centros]])</f>
        <v>91</v>
      </c>
    </row>
    <row r="166" spans="2:5" x14ac:dyDescent="0.3">
      <c r="B166" t="s">
        <v>755</v>
      </c>
      <c r="C166" t="s">
        <v>942</v>
      </c>
      <c r="E166">
        <f>LEN(Tabla2[[#This Row],[Centros]])</f>
        <v>63</v>
      </c>
    </row>
    <row r="167" spans="2:5" x14ac:dyDescent="0.3">
      <c r="B167" t="s">
        <v>582</v>
      </c>
      <c r="C167" t="s">
        <v>598</v>
      </c>
      <c r="E167">
        <f>LEN(Tabla2[[#This Row],[Centros]])</f>
        <v>66</v>
      </c>
    </row>
    <row r="168" spans="2:5" x14ac:dyDescent="0.3">
      <c r="B168" t="s">
        <v>755</v>
      </c>
      <c r="C168" t="s">
        <v>772</v>
      </c>
      <c r="E168">
        <f>LEN(Tabla2[[#This Row],[Centros]])</f>
        <v>93</v>
      </c>
    </row>
    <row r="169" spans="2:5" x14ac:dyDescent="0.3">
      <c r="B169" t="s">
        <v>570</v>
      </c>
      <c r="C169" t="s">
        <v>928</v>
      </c>
      <c r="E169">
        <f>LEN(Tabla2[[#This Row],[Centros]])</f>
        <v>81</v>
      </c>
    </row>
    <row r="170" spans="2:5" x14ac:dyDescent="0.3">
      <c r="B170" t="s">
        <v>570</v>
      </c>
      <c r="C170" t="s">
        <v>933</v>
      </c>
      <c r="E170">
        <f>LEN(Tabla2[[#This Row],[Centros]])</f>
        <v>81</v>
      </c>
    </row>
    <row r="171" spans="2:5" x14ac:dyDescent="0.3">
      <c r="B171" t="s">
        <v>570</v>
      </c>
      <c r="C171" t="s">
        <v>937</v>
      </c>
      <c r="E171">
        <f>LEN(Tabla2[[#This Row],[Centros]])</f>
        <v>69</v>
      </c>
    </row>
    <row r="172" spans="2:5" x14ac:dyDescent="0.3">
      <c r="B172" t="s">
        <v>570</v>
      </c>
      <c r="C172" t="s">
        <v>936</v>
      </c>
      <c r="E172">
        <f>LEN(Tabla2[[#This Row],[Centros]])</f>
        <v>69</v>
      </c>
    </row>
    <row r="173" spans="2:5" x14ac:dyDescent="0.3">
      <c r="B173" t="s">
        <v>600</v>
      </c>
      <c r="C173" t="s">
        <v>604</v>
      </c>
      <c r="E173">
        <f>LEN(Tabla2[[#This Row],[Centros]])</f>
        <v>93</v>
      </c>
    </row>
    <row r="174" spans="2:5" x14ac:dyDescent="0.3">
      <c r="B174" t="s">
        <v>600</v>
      </c>
      <c r="C174" t="s">
        <v>605</v>
      </c>
      <c r="E174">
        <f>LEN(Tabla2[[#This Row],[Centros]])</f>
        <v>99</v>
      </c>
    </row>
    <row r="175" spans="2:5" x14ac:dyDescent="0.3">
      <c r="B175" t="s">
        <v>822</v>
      </c>
      <c r="C175" t="s">
        <v>826</v>
      </c>
      <c r="E175">
        <f>LEN(Tabla2[[#This Row],[Centros]])</f>
        <v>66</v>
      </c>
    </row>
    <row r="176" spans="2:5" x14ac:dyDescent="0.3">
      <c r="B176" t="s">
        <v>716</v>
      </c>
      <c r="C176" t="s">
        <v>719</v>
      </c>
      <c r="E176">
        <f>LEN(Tabla2[[#This Row],[Centros]])</f>
        <v>55</v>
      </c>
    </row>
    <row r="177" spans="2:5" x14ac:dyDescent="0.3">
      <c r="B177" t="s">
        <v>570</v>
      </c>
      <c r="C177" t="s">
        <v>580</v>
      </c>
      <c r="E177">
        <f>LEN(Tabla2[[#This Row],[Centros]])</f>
        <v>77</v>
      </c>
    </row>
    <row r="178" spans="2:5" x14ac:dyDescent="0.3">
      <c r="B178" t="s">
        <v>570</v>
      </c>
      <c r="C178" t="s">
        <v>581</v>
      </c>
      <c r="E178">
        <f>LEN(Tabla2[[#This Row],[Centros]])</f>
        <v>77</v>
      </c>
    </row>
    <row r="179" spans="2:5" x14ac:dyDescent="0.3">
      <c r="B179" t="s">
        <v>582</v>
      </c>
      <c r="C179" t="s">
        <v>599</v>
      </c>
      <c r="E179">
        <f>LEN(Tabla2[[#This Row],[Centros]])</f>
        <v>67</v>
      </c>
    </row>
    <row r="180" spans="2:5" x14ac:dyDescent="0.3">
      <c r="B180" t="s">
        <v>582</v>
      </c>
      <c r="C180" t="s">
        <v>597</v>
      </c>
      <c r="E180">
        <f>LEN(Tabla2[[#This Row],[Centros]])</f>
        <v>51</v>
      </c>
    </row>
    <row r="181" spans="2:5" x14ac:dyDescent="0.3">
      <c r="B181" t="s">
        <v>582</v>
      </c>
      <c r="C181" t="s">
        <v>596</v>
      </c>
      <c r="E181">
        <f>LEN(Tabla2[[#This Row],[Centros]])</f>
        <v>46</v>
      </c>
    </row>
    <row r="182" spans="2:5" x14ac:dyDescent="0.3">
      <c r="B182" t="s">
        <v>606</v>
      </c>
      <c r="C182" t="s">
        <v>612</v>
      </c>
      <c r="E182">
        <f>LEN(Tabla2[[#This Row],[Centros]])</f>
        <v>61</v>
      </c>
    </row>
    <row r="183" spans="2:5" x14ac:dyDescent="0.3">
      <c r="B183" t="s">
        <v>606</v>
      </c>
      <c r="C183" t="s">
        <v>608</v>
      </c>
      <c r="E183">
        <f>LEN(Tabla2[[#This Row],[Centros]])</f>
        <v>45</v>
      </c>
    </row>
    <row r="184" spans="2:5" x14ac:dyDescent="0.3">
      <c r="B184" t="s">
        <v>606</v>
      </c>
      <c r="C184" t="s">
        <v>610</v>
      </c>
      <c r="E184">
        <f>LEN(Tabla2[[#This Row],[Centros]])</f>
        <v>47</v>
      </c>
    </row>
    <row r="185" spans="2:5" x14ac:dyDescent="0.3">
      <c r="B185" t="s">
        <v>606</v>
      </c>
      <c r="C185" t="s">
        <v>614</v>
      </c>
      <c r="E185">
        <f>LEN(Tabla2[[#This Row],[Centros]])</f>
        <v>56</v>
      </c>
    </row>
    <row r="186" spans="2:5" x14ac:dyDescent="0.3">
      <c r="B186" t="s">
        <v>606</v>
      </c>
      <c r="C186" t="s">
        <v>615</v>
      </c>
      <c r="E186">
        <f>LEN(Tabla2[[#This Row],[Centros]])</f>
        <v>77</v>
      </c>
    </row>
    <row r="187" spans="2:5" x14ac:dyDescent="0.3">
      <c r="B187" t="s">
        <v>606</v>
      </c>
      <c r="C187" t="s">
        <v>613</v>
      </c>
      <c r="E187">
        <f>LEN(Tabla2[[#This Row],[Centros]])</f>
        <v>62</v>
      </c>
    </row>
    <row r="188" spans="2:5" x14ac:dyDescent="0.3">
      <c r="B188" t="s">
        <v>606</v>
      </c>
      <c r="C188" t="s">
        <v>607</v>
      </c>
      <c r="E188">
        <f>LEN(Tabla2[[#This Row],[Centros]])</f>
        <v>61</v>
      </c>
    </row>
    <row r="189" spans="2:5" x14ac:dyDescent="0.3">
      <c r="B189" t="s">
        <v>606</v>
      </c>
      <c r="C189" t="s">
        <v>609</v>
      </c>
      <c r="E189">
        <f>LEN(Tabla2[[#This Row],[Centros]])</f>
        <v>63</v>
      </c>
    </row>
    <row r="190" spans="2:5" x14ac:dyDescent="0.3">
      <c r="B190" t="s">
        <v>606</v>
      </c>
      <c r="C190" t="s">
        <v>611</v>
      </c>
      <c r="E190">
        <f>LEN(Tabla2[[#This Row],[Centros]])</f>
        <v>57</v>
      </c>
    </row>
    <row r="191" spans="2:5" x14ac:dyDescent="0.3">
      <c r="B191" t="s">
        <v>606</v>
      </c>
      <c r="C191" t="s">
        <v>617</v>
      </c>
      <c r="E191">
        <f>LEN(Tabla2[[#This Row],[Centros]])</f>
        <v>75</v>
      </c>
    </row>
    <row r="192" spans="2:5" x14ac:dyDescent="0.3">
      <c r="B192" t="s">
        <v>606</v>
      </c>
      <c r="C192" t="s">
        <v>616</v>
      </c>
      <c r="E192">
        <f>LEN(Tabla2[[#This Row],[Centros]])</f>
        <v>75</v>
      </c>
    </row>
    <row r="193" spans="2:5" x14ac:dyDescent="0.3">
      <c r="B193" t="s">
        <v>741</v>
      </c>
      <c r="C193" t="s">
        <v>744</v>
      </c>
      <c r="E193">
        <f>LEN(Tabla2[[#This Row],[Centros]])</f>
        <v>53</v>
      </c>
    </row>
    <row r="194" spans="2:5" x14ac:dyDescent="0.3">
      <c r="B194" t="s">
        <v>741</v>
      </c>
      <c r="C194" t="s">
        <v>743</v>
      </c>
      <c r="E194">
        <f>LEN(Tabla2[[#This Row],[Centros]])</f>
        <v>49</v>
      </c>
    </row>
    <row r="195" spans="2:5" x14ac:dyDescent="0.3">
      <c r="B195" t="s">
        <v>741</v>
      </c>
      <c r="C195" t="s">
        <v>745</v>
      </c>
      <c r="E195">
        <f>LEN(Tabla2[[#This Row],[Centros]])</f>
        <v>48</v>
      </c>
    </row>
    <row r="196" spans="2:5" x14ac:dyDescent="0.3">
      <c r="B196" t="s">
        <v>741</v>
      </c>
      <c r="C196" t="s">
        <v>742</v>
      </c>
      <c r="E196">
        <f>LEN(Tabla2[[#This Row],[Centros]])</f>
        <v>55</v>
      </c>
    </row>
    <row r="197" spans="2:5" x14ac:dyDescent="0.3">
      <c r="B197" t="s">
        <v>553</v>
      </c>
      <c r="C197" t="s">
        <v>560</v>
      </c>
      <c r="E197">
        <f>LEN(Tabla2[[#This Row],[Centros]])</f>
        <v>83</v>
      </c>
    </row>
    <row r="198" spans="2:5" x14ac:dyDescent="0.3">
      <c r="B198" t="s">
        <v>553</v>
      </c>
      <c r="C198" t="s">
        <v>561</v>
      </c>
      <c r="E198">
        <f>LEN(Tabla2[[#This Row],[Centros]])</f>
        <v>73</v>
      </c>
    </row>
    <row r="199" spans="2:5" x14ac:dyDescent="0.3">
      <c r="B199" t="s">
        <v>553</v>
      </c>
      <c r="C199" t="s">
        <v>562</v>
      </c>
      <c r="E199">
        <f>LEN(Tabla2[[#This Row],[Centros]])</f>
        <v>70</v>
      </c>
    </row>
    <row r="200" spans="2:5" x14ac:dyDescent="0.3">
      <c r="B200" t="s">
        <v>553</v>
      </c>
      <c r="C200" t="s">
        <v>563</v>
      </c>
      <c r="E200">
        <f>LEN(Tabla2[[#This Row],[Centros]])</f>
        <v>69</v>
      </c>
    </row>
    <row r="201" spans="2:5" x14ac:dyDescent="0.3">
      <c r="B201" t="s">
        <v>553</v>
      </c>
      <c r="C201" t="s">
        <v>564</v>
      </c>
      <c r="E201">
        <f>LEN(Tabla2[[#This Row],[Centros]])</f>
        <v>81</v>
      </c>
    </row>
    <row r="202" spans="2:5" x14ac:dyDescent="0.3">
      <c r="B202" t="s">
        <v>553</v>
      </c>
      <c r="C202" t="s">
        <v>565</v>
      </c>
      <c r="E202">
        <f>LEN(Tabla2[[#This Row],[Centros]])</f>
        <v>72</v>
      </c>
    </row>
    <row r="203" spans="2:5" x14ac:dyDescent="0.3">
      <c r="B203" t="s">
        <v>553</v>
      </c>
      <c r="C203" t="s">
        <v>566</v>
      </c>
      <c r="E203">
        <f>LEN(Tabla2[[#This Row],[Centros]])</f>
        <v>81</v>
      </c>
    </row>
    <row r="204" spans="2:5" x14ac:dyDescent="0.3">
      <c r="B204" t="s">
        <v>553</v>
      </c>
      <c r="C204" t="s">
        <v>567</v>
      </c>
      <c r="E204">
        <f>LEN(Tabla2[[#This Row],[Centros]])</f>
        <v>80</v>
      </c>
    </row>
    <row r="205" spans="2:5" x14ac:dyDescent="0.3">
      <c r="B205" t="s">
        <v>553</v>
      </c>
      <c r="C205" t="s">
        <v>555</v>
      </c>
      <c r="E205">
        <f>LEN(Tabla2[[#This Row],[Centros]])</f>
        <v>71</v>
      </c>
    </row>
    <row r="206" spans="2:5" x14ac:dyDescent="0.3">
      <c r="B206" t="s">
        <v>553</v>
      </c>
      <c r="C206" t="s">
        <v>556</v>
      </c>
      <c r="E206">
        <f>LEN(Tabla2[[#This Row],[Centros]])</f>
        <v>71</v>
      </c>
    </row>
    <row r="207" spans="2:5" x14ac:dyDescent="0.3">
      <c r="B207" t="s">
        <v>553</v>
      </c>
      <c r="C207" t="s">
        <v>557</v>
      </c>
      <c r="E207">
        <f>LEN(Tabla2[[#This Row],[Centros]])</f>
        <v>88</v>
      </c>
    </row>
    <row r="208" spans="2:5" x14ac:dyDescent="0.3">
      <c r="B208" t="s">
        <v>553</v>
      </c>
      <c r="C208" t="s">
        <v>558</v>
      </c>
      <c r="E208">
        <f>LEN(Tabla2[[#This Row],[Centros]])</f>
        <v>69</v>
      </c>
    </row>
    <row r="209" spans="2:5" x14ac:dyDescent="0.3">
      <c r="B209" t="s">
        <v>553</v>
      </c>
      <c r="C209" t="s">
        <v>559</v>
      </c>
      <c r="E209">
        <f>LEN(Tabla2[[#This Row],[Centros]])</f>
        <v>73</v>
      </c>
    </row>
    <row r="210" spans="2:5" x14ac:dyDescent="0.3">
      <c r="B210" t="s">
        <v>741</v>
      </c>
      <c r="C210" t="s">
        <v>746</v>
      </c>
      <c r="E210">
        <f>LEN(Tabla2[[#This Row],[Centros]])</f>
        <v>52</v>
      </c>
    </row>
    <row r="211" spans="2:5" x14ac:dyDescent="0.3">
      <c r="B211" t="s">
        <v>741</v>
      </c>
      <c r="C211" t="s">
        <v>747</v>
      </c>
      <c r="E211">
        <f>LEN(Tabla2[[#This Row],[Centros]])</f>
        <v>51</v>
      </c>
    </row>
    <row r="212" spans="2:5" x14ac:dyDescent="0.3">
      <c r="B212" t="s">
        <v>827</v>
      </c>
      <c r="C212" t="s">
        <v>832</v>
      </c>
      <c r="E212">
        <f>LEN(Tabla2[[#This Row],[Centros]])</f>
        <v>57</v>
      </c>
    </row>
    <row r="213" spans="2:5" x14ac:dyDescent="0.3">
      <c r="B213" t="s">
        <v>698</v>
      </c>
      <c r="C213" t="s">
        <v>701</v>
      </c>
      <c r="E213">
        <f>LEN(Tabla2[[#This Row],[Centros]])</f>
        <v>55</v>
      </c>
    </row>
    <row r="214" spans="2:5" x14ac:dyDescent="0.3">
      <c r="B214" t="s">
        <v>698</v>
      </c>
      <c r="C214" t="s">
        <v>702</v>
      </c>
      <c r="E214">
        <f>LEN(Tabla2[[#This Row],[Centros]])</f>
        <v>55</v>
      </c>
    </row>
    <row r="215" spans="2:5" x14ac:dyDescent="0.3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3">
      <c r="B216" t="s">
        <v>553</v>
      </c>
      <c r="C216" t="s">
        <v>554</v>
      </c>
      <c r="E216">
        <f>LEN(Tabla2[[#This Row],[Centros]])</f>
        <v>60</v>
      </c>
    </row>
    <row r="217" spans="2:5" x14ac:dyDescent="0.3">
      <c r="B217" t="s">
        <v>502</v>
      </c>
      <c r="C217" t="s">
        <v>893</v>
      </c>
      <c r="E217">
        <f>LEN(Tabla2[[#This Row],[Centros]])</f>
        <v>53</v>
      </c>
    </row>
    <row r="218" spans="2:5" x14ac:dyDescent="0.3">
      <c r="B218" t="s">
        <v>502</v>
      </c>
      <c r="C218" t="s">
        <v>914</v>
      </c>
      <c r="E218">
        <f>LEN(Tabla2[[#This Row],[Centros]])</f>
        <v>55</v>
      </c>
    </row>
    <row r="219" spans="2:5" x14ac:dyDescent="0.3">
      <c r="B219" t="s">
        <v>502</v>
      </c>
      <c r="C219" t="s">
        <v>918</v>
      </c>
      <c r="E219">
        <f>LEN(Tabla2[[#This Row],[Centros]])</f>
        <v>59</v>
      </c>
    </row>
    <row r="220" spans="2:5" x14ac:dyDescent="0.3">
      <c r="B220" t="s">
        <v>502</v>
      </c>
      <c r="C220" t="s">
        <v>909</v>
      </c>
      <c r="E220">
        <f>LEN(Tabla2[[#This Row],[Centros]])</f>
        <v>55</v>
      </c>
    </row>
    <row r="221" spans="2:5" x14ac:dyDescent="0.3">
      <c r="B221" t="s">
        <v>502</v>
      </c>
      <c r="C221" t="s">
        <v>916</v>
      </c>
      <c r="E221">
        <f>LEN(Tabla2[[#This Row],[Centros]])</f>
        <v>56</v>
      </c>
    </row>
    <row r="222" spans="2:5" x14ac:dyDescent="0.3">
      <c r="B222" t="s">
        <v>502</v>
      </c>
      <c r="C222" t="s">
        <v>850</v>
      </c>
      <c r="E222">
        <f>LEN(Tabla2[[#This Row],[Centros]])</f>
        <v>56</v>
      </c>
    </row>
    <row r="223" spans="2:5" x14ac:dyDescent="0.3">
      <c r="B223" t="s">
        <v>502</v>
      </c>
      <c r="C223" t="s">
        <v>903</v>
      </c>
      <c r="E223">
        <f>LEN(Tabla2[[#This Row],[Centros]])</f>
        <v>64</v>
      </c>
    </row>
    <row r="224" spans="2:5" x14ac:dyDescent="0.3">
      <c r="B224" t="s">
        <v>502</v>
      </c>
      <c r="C224" t="s">
        <v>878</v>
      </c>
      <c r="E224">
        <f>LEN(Tabla2[[#This Row],[Centros]])</f>
        <v>58</v>
      </c>
    </row>
    <row r="225" spans="2:5" x14ac:dyDescent="0.3">
      <c r="B225" t="s">
        <v>502</v>
      </c>
      <c r="C225" t="s">
        <v>868</v>
      </c>
      <c r="E225">
        <f>LEN(Tabla2[[#This Row],[Centros]])</f>
        <v>52</v>
      </c>
    </row>
    <row r="226" spans="2:5" x14ac:dyDescent="0.3">
      <c r="B226" t="s">
        <v>502</v>
      </c>
      <c r="C226" t="s">
        <v>867</v>
      </c>
      <c r="E226">
        <f>LEN(Tabla2[[#This Row],[Centros]])</f>
        <v>51</v>
      </c>
    </row>
    <row r="227" spans="2:5" x14ac:dyDescent="0.3">
      <c r="B227" t="s">
        <v>502</v>
      </c>
      <c r="C227" t="s">
        <v>851</v>
      </c>
      <c r="E227">
        <f>LEN(Tabla2[[#This Row],[Centros]])</f>
        <v>56</v>
      </c>
    </row>
    <row r="228" spans="2:5" x14ac:dyDescent="0.3">
      <c r="B228" t="s">
        <v>502</v>
      </c>
      <c r="C228" t="s">
        <v>852</v>
      </c>
      <c r="E228">
        <f>LEN(Tabla2[[#This Row],[Centros]])</f>
        <v>56</v>
      </c>
    </row>
    <row r="229" spans="2:5" x14ac:dyDescent="0.3">
      <c r="B229" t="s">
        <v>502</v>
      </c>
      <c r="C229" t="s">
        <v>503</v>
      </c>
      <c r="E229">
        <f>LEN(Tabla2[[#This Row],[Centros]])</f>
        <v>56</v>
      </c>
    </row>
    <row r="230" spans="2:5" x14ac:dyDescent="0.3">
      <c r="B230" t="s">
        <v>502</v>
      </c>
      <c r="C230" t="s">
        <v>509</v>
      </c>
      <c r="E230">
        <f>LEN(Tabla2[[#This Row],[Centros]])</f>
        <v>58</v>
      </c>
    </row>
    <row r="231" spans="2:5" x14ac:dyDescent="0.3">
      <c r="B231" t="s">
        <v>502</v>
      </c>
      <c r="C231" t="s">
        <v>510</v>
      </c>
      <c r="E231">
        <f>LEN(Tabla2[[#This Row],[Centros]])</f>
        <v>62</v>
      </c>
    </row>
    <row r="232" spans="2:5" x14ac:dyDescent="0.3">
      <c r="B232" t="s">
        <v>502</v>
      </c>
      <c r="C232" t="s">
        <v>511</v>
      </c>
      <c r="E232">
        <f>LEN(Tabla2[[#This Row],[Centros]])</f>
        <v>58</v>
      </c>
    </row>
    <row r="233" spans="2:5" x14ac:dyDescent="0.3">
      <c r="B233" t="s">
        <v>502</v>
      </c>
      <c r="C233" t="s">
        <v>512</v>
      </c>
      <c r="E233">
        <f>LEN(Tabla2[[#This Row],[Centros]])</f>
        <v>59</v>
      </c>
    </row>
    <row r="234" spans="2:5" x14ac:dyDescent="0.3">
      <c r="B234" t="s">
        <v>502</v>
      </c>
      <c r="C234" t="s">
        <v>513</v>
      </c>
      <c r="E234">
        <f>LEN(Tabla2[[#This Row],[Centros]])</f>
        <v>59</v>
      </c>
    </row>
    <row r="235" spans="2:5" x14ac:dyDescent="0.3">
      <c r="B235" t="s">
        <v>502</v>
      </c>
      <c r="C235" t="s">
        <v>514</v>
      </c>
      <c r="E235">
        <f>LEN(Tabla2[[#This Row],[Centros]])</f>
        <v>67</v>
      </c>
    </row>
    <row r="236" spans="2:5" x14ac:dyDescent="0.3">
      <c r="B236" t="s">
        <v>502</v>
      </c>
      <c r="C236" t="s">
        <v>515</v>
      </c>
      <c r="E236">
        <f>LEN(Tabla2[[#This Row],[Centros]])</f>
        <v>61</v>
      </c>
    </row>
    <row r="237" spans="2:5" x14ac:dyDescent="0.3">
      <c r="B237" t="s">
        <v>502</v>
      </c>
      <c r="C237" t="s">
        <v>504</v>
      </c>
      <c r="E237">
        <f>LEN(Tabla2[[#This Row],[Centros]])</f>
        <v>55</v>
      </c>
    </row>
    <row r="238" spans="2:5" x14ac:dyDescent="0.3">
      <c r="B238" t="s">
        <v>502</v>
      </c>
      <c r="C238" t="s">
        <v>505</v>
      </c>
      <c r="E238">
        <f>LEN(Tabla2[[#This Row],[Centros]])</f>
        <v>54</v>
      </c>
    </row>
    <row r="239" spans="2:5" x14ac:dyDescent="0.3">
      <c r="B239" t="s">
        <v>502</v>
      </c>
      <c r="C239" t="s">
        <v>506</v>
      </c>
      <c r="E239">
        <f>LEN(Tabla2[[#This Row],[Centros]])</f>
        <v>59</v>
      </c>
    </row>
    <row r="240" spans="2:5" x14ac:dyDescent="0.3">
      <c r="B240" t="s">
        <v>502</v>
      </c>
      <c r="C240" t="s">
        <v>507</v>
      </c>
      <c r="E240">
        <f>LEN(Tabla2[[#This Row],[Centros]])</f>
        <v>59</v>
      </c>
    </row>
    <row r="241" spans="2:5" x14ac:dyDescent="0.3">
      <c r="B241" t="s">
        <v>502</v>
      </c>
      <c r="C241" t="s">
        <v>517</v>
      </c>
      <c r="E241">
        <f>LEN(Tabla2[[#This Row],[Centros]])</f>
        <v>44</v>
      </c>
    </row>
    <row r="242" spans="2:5" x14ac:dyDescent="0.3">
      <c r="B242" t="s">
        <v>582</v>
      </c>
      <c r="C242" t="s">
        <v>590</v>
      </c>
      <c r="E242">
        <f>LEN(Tabla2[[#This Row],[Centros]])</f>
        <v>59</v>
      </c>
    </row>
    <row r="243" spans="2:5" x14ac:dyDescent="0.3">
      <c r="B243" t="s">
        <v>547</v>
      </c>
      <c r="C243" t="s">
        <v>550</v>
      </c>
      <c r="E243">
        <f>LEN(Tabla2[[#This Row],[Centros]])</f>
        <v>57</v>
      </c>
    </row>
    <row r="244" spans="2:5" x14ac:dyDescent="0.3">
      <c r="B244" t="s">
        <v>582</v>
      </c>
      <c r="C244" t="s">
        <v>589</v>
      </c>
      <c r="E244">
        <f>LEN(Tabla2[[#This Row],[Centros]])</f>
        <v>58</v>
      </c>
    </row>
    <row r="245" spans="2:5" x14ac:dyDescent="0.3">
      <c r="B245" t="s">
        <v>785</v>
      </c>
      <c r="C245" t="s">
        <v>795</v>
      </c>
      <c r="E245">
        <f>LEN(Tabla2[[#This Row],[Centros]])</f>
        <v>13</v>
      </c>
    </row>
    <row r="246" spans="2:5" x14ac:dyDescent="0.3">
      <c r="B246" t="s">
        <v>647</v>
      </c>
      <c r="C246" t="s">
        <v>656</v>
      </c>
      <c r="E246">
        <f>LEN(Tabla2[[#This Row],[Centros]])</f>
        <v>42</v>
      </c>
    </row>
    <row r="247" spans="2:5" x14ac:dyDescent="0.3">
      <c r="B247" t="s">
        <v>647</v>
      </c>
      <c r="C247" t="s">
        <v>659</v>
      </c>
      <c r="E247">
        <f>LEN(Tabla2[[#This Row],[Centros]])</f>
        <v>43</v>
      </c>
    </row>
    <row r="248" spans="2:5" x14ac:dyDescent="0.3">
      <c r="B248" t="s">
        <v>647</v>
      </c>
      <c r="C248" t="s">
        <v>658</v>
      </c>
      <c r="E248">
        <f>LEN(Tabla2[[#This Row],[Centros]])</f>
        <v>44</v>
      </c>
    </row>
    <row r="249" spans="2:5" x14ac:dyDescent="0.3">
      <c r="B249" t="s">
        <v>647</v>
      </c>
      <c r="C249" t="s">
        <v>657</v>
      </c>
      <c r="E249">
        <f>LEN(Tabla2[[#This Row],[Centros]])</f>
        <v>52</v>
      </c>
    </row>
    <row r="250" spans="2:5" x14ac:dyDescent="0.3">
      <c r="B250" t="s">
        <v>647</v>
      </c>
      <c r="C250" t="s">
        <v>654</v>
      </c>
      <c r="E250">
        <f>LEN(Tabla2[[#This Row],[Centros]])</f>
        <v>47</v>
      </c>
    </row>
    <row r="251" spans="2:5" x14ac:dyDescent="0.3">
      <c r="B251" t="s">
        <v>647</v>
      </c>
      <c r="C251" t="s">
        <v>655</v>
      </c>
      <c r="E251">
        <f>LEN(Tabla2[[#This Row],[Centros]])</f>
        <v>44</v>
      </c>
    </row>
    <row r="252" spans="2:5" x14ac:dyDescent="0.3">
      <c r="B252" t="s">
        <v>785</v>
      </c>
      <c r="C252" t="s">
        <v>792</v>
      </c>
      <c r="E252">
        <f>LEN(Tabla2[[#This Row],[Centros]])</f>
        <v>13</v>
      </c>
    </row>
    <row r="253" spans="2:5" x14ac:dyDescent="0.3">
      <c r="B253" t="s">
        <v>785</v>
      </c>
      <c r="C253" t="s">
        <v>794</v>
      </c>
      <c r="E253">
        <f>LEN(Tabla2[[#This Row],[Centros]])</f>
        <v>16</v>
      </c>
    </row>
    <row r="254" spans="2:5" x14ac:dyDescent="0.3">
      <c r="B254" t="s">
        <v>749</v>
      </c>
      <c r="C254" t="s">
        <v>750</v>
      </c>
      <c r="E254">
        <f>LEN(Tabla2[[#This Row],[Centros]])</f>
        <v>29</v>
      </c>
    </row>
    <row r="255" spans="2:5" x14ac:dyDescent="0.3">
      <c r="B255" t="s">
        <v>685</v>
      </c>
      <c r="C255" t="s">
        <v>895</v>
      </c>
      <c r="E255">
        <f>LEN(Tabla2[[#This Row],[Centros]])</f>
        <v>31</v>
      </c>
    </row>
    <row r="256" spans="2:5" x14ac:dyDescent="0.3">
      <c r="B256" t="s">
        <v>534</v>
      </c>
      <c r="C256" t="s">
        <v>536</v>
      </c>
      <c r="E256">
        <f>LEN(Tabla2[[#This Row],[Centros]])</f>
        <v>27</v>
      </c>
    </row>
    <row r="257" spans="2:5" x14ac:dyDescent="0.3">
      <c r="B257" t="s">
        <v>528</v>
      </c>
      <c r="C257" t="s">
        <v>531</v>
      </c>
      <c r="E257">
        <f>LEN(Tabla2[[#This Row],[Centros]])</f>
        <v>40</v>
      </c>
    </row>
    <row r="258" spans="2:5" x14ac:dyDescent="0.3">
      <c r="B258" t="s">
        <v>731</v>
      </c>
      <c r="C258" t="s">
        <v>732</v>
      </c>
      <c r="E258">
        <f>LEN(Tabla2[[#This Row],[Centros]])</f>
        <v>32</v>
      </c>
    </row>
    <row r="259" spans="2:5" x14ac:dyDescent="0.3">
      <c r="B259" t="s">
        <v>731</v>
      </c>
      <c r="C259" t="s">
        <v>733</v>
      </c>
      <c r="E259">
        <f>LEN(Tabla2[[#This Row],[Centros]])</f>
        <v>32</v>
      </c>
    </row>
    <row r="260" spans="2:5" x14ac:dyDescent="0.3">
      <c r="B260" t="s">
        <v>731</v>
      </c>
      <c r="C260" t="s">
        <v>734</v>
      </c>
      <c r="E260">
        <f>LEN(Tabla2[[#This Row],[Centros]])</f>
        <v>32</v>
      </c>
    </row>
    <row r="261" spans="2:5" x14ac:dyDescent="0.3">
      <c r="B261" t="s">
        <v>731</v>
      </c>
      <c r="C261" t="s">
        <v>735</v>
      </c>
      <c r="E261">
        <f>LEN(Tabla2[[#This Row],[Centros]])</f>
        <v>32</v>
      </c>
    </row>
    <row r="262" spans="2:5" x14ac:dyDescent="0.3">
      <c r="B262" t="s">
        <v>685</v>
      </c>
      <c r="C262" t="s">
        <v>892</v>
      </c>
      <c r="E262">
        <f>LEN(Tabla2[[#This Row],[Centros]])</f>
        <v>71</v>
      </c>
    </row>
    <row r="263" spans="2:5" x14ac:dyDescent="0.3">
      <c r="B263" t="s">
        <v>685</v>
      </c>
      <c r="C263" t="s">
        <v>686</v>
      </c>
      <c r="E263">
        <f>LEN(Tabla2[[#This Row],[Centros]])</f>
        <v>76</v>
      </c>
    </row>
    <row r="264" spans="2:5" x14ac:dyDescent="0.3">
      <c r="B264" t="s">
        <v>727</v>
      </c>
      <c r="C264" t="s">
        <v>730</v>
      </c>
      <c r="E264">
        <f>LEN(Tabla2[[#This Row],[Centros]])</f>
        <v>37</v>
      </c>
    </row>
    <row r="265" spans="2:5" x14ac:dyDescent="0.3">
      <c r="B265" t="s">
        <v>716</v>
      </c>
      <c r="C265" t="s">
        <v>723</v>
      </c>
      <c r="E265">
        <f>LEN(Tabla2[[#This Row],[Centros]])</f>
        <v>51</v>
      </c>
    </row>
    <row r="266" spans="2:5" x14ac:dyDescent="0.3">
      <c r="B266" t="s">
        <v>727</v>
      </c>
      <c r="C266" t="s">
        <v>728</v>
      </c>
      <c r="E266">
        <f>LEN(Tabla2[[#This Row],[Centros]])</f>
        <v>30</v>
      </c>
    </row>
    <row r="267" spans="2:5" x14ac:dyDescent="0.3">
      <c r="B267" t="s">
        <v>716</v>
      </c>
      <c r="C267" t="s">
        <v>725</v>
      </c>
      <c r="E267">
        <f>LEN(Tabla2[[#This Row],[Centros]])</f>
        <v>51</v>
      </c>
    </row>
    <row r="268" spans="2:5" x14ac:dyDescent="0.3">
      <c r="B268" t="s">
        <v>716</v>
      </c>
      <c r="C268" t="s">
        <v>722</v>
      </c>
      <c r="E268">
        <f>LEN(Tabla2[[#This Row],[Centros]])</f>
        <v>50</v>
      </c>
    </row>
    <row r="269" spans="2:5" x14ac:dyDescent="0.3">
      <c r="B269" t="s">
        <v>716</v>
      </c>
      <c r="C269" t="s">
        <v>724</v>
      </c>
      <c r="E269">
        <f>LEN(Tabla2[[#This Row],[Centros]])</f>
        <v>46</v>
      </c>
    </row>
    <row r="270" spans="2:5" x14ac:dyDescent="0.3">
      <c r="B270" t="s">
        <v>716</v>
      </c>
      <c r="C270" t="s">
        <v>721</v>
      </c>
      <c r="E270">
        <f>LEN(Tabla2[[#This Row],[Centros]])</f>
        <v>49</v>
      </c>
    </row>
    <row r="271" spans="2:5" x14ac:dyDescent="0.3">
      <c r="B271" t="s">
        <v>727</v>
      </c>
      <c r="C271" t="s">
        <v>729</v>
      </c>
      <c r="E271">
        <f>LEN(Tabla2[[#This Row],[Centros]])</f>
        <v>43</v>
      </c>
    </row>
    <row r="272" spans="2:5" x14ac:dyDescent="0.3">
      <c r="B272" t="s">
        <v>716</v>
      </c>
      <c r="C272" t="s">
        <v>720</v>
      </c>
      <c r="E272">
        <f>LEN(Tabla2[[#This Row],[Centros]])</f>
        <v>37</v>
      </c>
    </row>
    <row r="273" spans="2:5" x14ac:dyDescent="0.3">
      <c r="B273" t="s">
        <v>827</v>
      </c>
      <c r="C273" t="s">
        <v>835</v>
      </c>
      <c r="E273">
        <f>LEN(Tabla2[[#This Row],[Centros]])</f>
        <v>37</v>
      </c>
    </row>
    <row r="274" spans="2:5" x14ac:dyDescent="0.3">
      <c r="B274" t="s">
        <v>827</v>
      </c>
      <c r="C274" t="s">
        <v>840</v>
      </c>
      <c r="E274">
        <f>LEN(Tabla2[[#This Row],[Centros]])</f>
        <v>49</v>
      </c>
    </row>
    <row r="275" spans="2:5" x14ac:dyDescent="0.3">
      <c r="B275" t="s">
        <v>827</v>
      </c>
      <c r="C275" t="s">
        <v>837</v>
      </c>
      <c r="E275">
        <f>LEN(Tabla2[[#This Row],[Centros]])</f>
        <v>36</v>
      </c>
    </row>
    <row r="276" spans="2:5" x14ac:dyDescent="0.3">
      <c r="B276" t="s">
        <v>827</v>
      </c>
      <c r="C276" t="s">
        <v>830</v>
      </c>
      <c r="E276">
        <f>LEN(Tabla2[[#This Row],[Centros]])</f>
        <v>36</v>
      </c>
    </row>
    <row r="277" spans="2:5" x14ac:dyDescent="0.3">
      <c r="B277" t="s">
        <v>827</v>
      </c>
      <c r="C277" t="s">
        <v>834</v>
      </c>
      <c r="E277">
        <f>LEN(Tabla2[[#This Row],[Centros]])</f>
        <v>42</v>
      </c>
    </row>
    <row r="278" spans="2:5" x14ac:dyDescent="0.3">
      <c r="B278" t="s">
        <v>827</v>
      </c>
      <c r="C278" t="s">
        <v>833</v>
      </c>
      <c r="E278">
        <f>LEN(Tabla2[[#This Row],[Centros]])</f>
        <v>36</v>
      </c>
    </row>
    <row r="279" spans="2:5" x14ac:dyDescent="0.3">
      <c r="B279" t="s">
        <v>827</v>
      </c>
      <c r="C279" t="s">
        <v>831</v>
      </c>
      <c r="E279">
        <f>LEN(Tabla2[[#This Row],[Centros]])</f>
        <v>41</v>
      </c>
    </row>
    <row r="280" spans="2:5" x14ac:dyDescent="0.3">
      <c r="B280" t="s">
        <v>827</v>
      </c>
      <c r="C280" t="s">
        <v>836</v>
      </c>
      <c r="E280">
        <f>LEN(Tabla2[[#This Row],[Centros]])</f>
        <v>41</v>
      </c>
    </row>
    <row r="281" spans="2:5" x14ac:dyDescent="0.3">
      <c r="B281" t="s">
        <v>827</v>
      </c>
      <c r="C281" t="s">
        <v>838</v>
      </c>
      <c r="E281">
        <f>LEN(Tabla2[[#This Row],[Centros]])</f>
        <v>42</v>
      </c>
    </row>
    <row r="282" spans="2:5" x14ac:dyDescent="0.3">
      <c r="B282" t="s">
        <v>827</v>
      </c>
      <c r="C282" t="s">
        <v>839</v>
      </c>
      <c r="E282">
        <f>LEN(Tabla2[[#This Row],[Centros]])</f>
        <v>41</v>
      </c>
    </row>
    <row r="283" spans="2:5" x14ac:dyDescent="0.3">
      <c r="B283" t="s">
        <v>749</v>
      </c>
      <c r="C283" t="s">
        <v>751</v>
      </c>
      <c r="E283">
        <f>LEN(Tabla2[[#This Row],[Centros]])</f>
        <v>32</v>
      </c>
    </row>
    <row r="284" spans="2:5" x14ac:dyDescent="0.3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3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3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3">
      <c r="B287" t="s">
        <v>502</v>
      </c>
      <c r="C287" t="s">
        <v>915</v>
      </c>
      <c r="E287">
        <f>LEN(Tabla2[[#This Row],[Centros]])</f>
        <v>48</v>
      </c>
    </row>
    <row r="288" spans="2:5" x14ac:dyDescent="0.3">
      <c r="B288" t="s">
        <v>502</v>
      </c>
      <c r="C288" t="s">
        <v>508</v>
      </c>
      <c r="E288">
        <f>LEN(Tabla2[[#This Row],[Centros]])</f>
        <v>51</v>
      </c>
    </row>
    <row r="289" spans="2:5" x14ac:dyDescent="0.3">
      <c r="B289" t="s">
        <v>502</v>
      </c>
      <c r="C289" t="s">
        <v>842</v>
      </c>
      <c r="E289">
        <f>LEN(Tabla2[[#This Row],[Centros]])</f>
        <v>51</v>
      </c>
    </row>
    <row r="290" spans="2:5" x14ac:dyDescent="0.3">
      <c r="B290" t="s">
        <v>502</v>
      </c>
      <c r="C290" t="s">
        <v>516</v>
      </c>
      <c r="E290">
        <f>LEN(Tabla2[[#This Row],[Centros]])</f>
        <v>51</v>
      </c>
    </row>
    <row r="291" spans="2:5" x14ac:dyDescent="0.3">
      <c r="B291" t="s">
        <v>538</v>
      </c>
      <c r="C291" t="s">
        <v>544</v>
      </c>
      <c r="E291">
        <f>LEN(Tabla2[[#This Row],[Centros]])</f>
        <v>54</v>
      </c>
    </row>
    <row r="292" spans="2:5" x14ac:dyDescent="0.3">
      <c r="B292" t="s">
        <v>716</v>
      </c>
      <c r="C292" t="s">
        <v>718</v>
      </c>
      <c r="E292">
        <f>LEN(Tabla2[[#This Row],[Centros]])</f>
        <v>53</v>
      </c>
    </row>
    <row r="293" spans="2:5" x14ac:dyDescent="0.3">
      <c r="B293" t="s">
        <v>538</v>
      </c>
      <c r="C293" t="s">
        <v>539</v>
      </c>
      <c r="E293">
        <f>LEN(Tabla2[[#This Row],[Centros]])</f>
        <v>43</v>
      </c>
    </row>
    <row r="294" spans="2:5" x14ac:dyDescent="0.3">
      <c r="B294" t="s">
        <v>538</v>
      </c>
      <c r="C294" t="s">
        <v>541</v>
      </c>
      <c r="E294">
        <f>LEN(Tabla2[[#This Row],[Centros]])</f>
        <v>37</v>
      </c>
    </row>
    <row r="295" spans="2:5" x14ac:dyDescent="0.3">
      <c r="B295" t="s">
        <v>538</v>
      </c>
      <c r="C295" t="s">
        <v>882</v>
      </c>
      <c r="E295">
        <f>LEN(Tabla2[[#This Row],[Centros]])</f>
        <v>38</v>
      </c>
    </row>
    <row r="296" spans="2:5" x14ac:dyDescent="0.3">
      <c r="B296" t="s">
        <v>749</v>
      </c>
      <c r="C296" t="s">
        <v>752</v>
      </c>
      <c r="E296">
        <f>LEN(Tabla2[[#This Row],[Centros]])</f>
        <v>29</v>
      </c>
    </row>
    <row r="297" spans="2:5" x14ac:dyDescent="0.3">
      <c r="B297" t="s">
        <v>685</v>
      </c>
      <c r="C297" t="s">
        <v>896</v>
      </c>
      <c r="E297">
        <f>LEN(Tabla2[[#This Row],[Centros]])</f>
        <v>41</v>
      </c>
    </row>
    <row r="298" spans="2:5" x14ac:dyDescent="0.3">
      <c r="B298" t="s">
        <v>528</v>
      </c>
      <c r="C298" t="s">
        <v>529</v>
      </c>
      <c r="E298">
        <f>LEN(Tabla2[[#This Row],[Centros]])</f>
        <v>27</v>
      </c>
    </row>
    <row r="299" spans="2:5" x14ac:dyDescent="0.3">
      <c r="B299" t="s">
        <v>685</v>
      </c>
      <c r="C299" t="s">
        <v>881</v>
      </c>
      <c r="E299">
        <f>LEN(Tabla2[[#This Row],[Centros]])</f>
        <v>30</v>
      </c>
    </row>
    <row r="300" spans="2:5" x14ac:dyDescent="0.3">
      <c r="B300" t="s">
        <v>685</v>
      </c>
      <c r="C300" t="s">
        <v>877</v>
      </c>
      <c r="E300">
        <f>LEN(Tabla2[[#This Row],[Centros]])</f>
        <v>44</v>
      </c>
    </row>
    <row r="301" spans="2:5" x14ac:dyDescent="0.3">
      <c r="B301" t="s">
        <v>685</v>
      </c>
      <c r="C301" t="s">
        <v>879</v>
      </c>
      <c r="E301">
        <f>LEN(Tabla2[[#This Row],[Centros]])</f>
        <v>44</v>
      </c>
    </row>
    <row r="302" spans="2:5" x14ac:dyDescent="0.3">
      <c r="B302" t="s">
        <v>685</v>
      </c>
      <c r="C302" t="s">
        <v>920</v>
      </c>
      <c r="E302">
        <f>LEN(Tabla2[[#This Row],[Centros]])</f>
        <v>47</v>
      </c>
    </row>
    <row r="303" spans="2:5" x14ac:dyDescent="0.3">
      <c r="B303" t="s">
        <v>685</v>
      </c>
      <c r="C303" t="s">
        <v>902</v>
      </c>
      <c r="E303">
        <f>LEN(Tabla2[[#This Row],[Centros]])</f>
        <v>45</v>
      </c>
    </row>
    <row r="304" spans="2:5" x14ac:dyDescent="0.3">
      <c r="B304" t="s">
        <v>685</v>
      </c>
      <c r="C304" t="s">
        <v>859</v>
      </c>
      <c r="E304">
        <f>LEN(Tabla2[[#This Row],[Centros]])</f>
        <v>30</v>
      </c>
    </row>
    <row r="305" spans="2:5" x14ac:dyDescent="0.3">
      <c r="B305" t="s">
        <v>727</v>
      </c>
      <c r="C305" t="s">
        <v>856</v>
      </c>
      <c r="E305">
        <f>LEN(Tabla2[[#This Row],[Centros]])</f>
        <v>50</v>
      </c>
    </row>
    <row r="306" spans="2:5" x14ac:dyDescent="0.3">
      <c r="B306" t="s">
        <v>538</v>
      </c>
      <c r="C306" t="s">
        <v>540</v>
      </c>
      <c r="E306">
        <f>LEN(Tabla2[[#This Row],[Centros]])</f>
        <v>35</v>
      </c>
    </row>
    <row r="307" spans="2:5" x14ac:dyDescent="0.3">
      <c r="B307" t="s">
        <v>749</v>
      </c>
      <c r="C307" t="s">
        <v>753</v>
      </c>
      <c r="E307">
        <f>LEN(Tabla2[[#This Row],[Centros]])</f>
        <v>37</v>
      </c>
    </row>
    <row r="308" spans="2:5" x14ac:dyDescent="0.3">
      <c r="B308" t="s">
        <v>775</v>
      </c>
      <c r="C308" t="s">
        <v>884</v>
      </c>
      <c r="E308">
        <f>LEN(Tabla2[[#This Row],[Centros]])</f>
        <v>42</v>
      </c>
    </row>
    <row r="309" spans="2:5" x14ac:dyDescent="0.3">
      <c r="B309" t="s">
        <v>775</v>
      </c>
      <c r="C309" t="s">
        <v>891</v>
      </c>
      <c r="E309">
        <f>LEN(Tabla2[[#This Row],[Centros]])</f>
        <v>42</v>
      </c>
    </row>
    <row r="310" spans="2:5" x14ac:dyDescent="0.3">
      <c r="B310" t="s">
        <v>534</v>
      </c>
      <c r="C310" t="s">
        <v>535</v>
      </c>
      <c r="E310">
        <f>LEN(Tabla2[[#This Row],[Centros]])</f>
        <v>40</v>
      </c>
    </row>
    <row r="311" spans="2:5" x14ac:dyDescent="0.3">
      <c r="B311" t="s">
        <v>528</v>
      </c>
      <c r="C311" t="s">
        <v>530</v>
      </c>
      <c r="E311">
        <f>LEN(Tabla2[[#This Row],[Centros]])</f>
        <v>38</v>
      </c>
    </row>
    <row r="312" spans="2:5" x14ac:dyDescent="0.3">
      <c r="B312" t="s">
        <v>528</v>
      </c>
      <c r="C312" t="s">
        <v>532</v>
      </c>
      <c r="E312">
        <f>LEN(Tabla2[[#This Row],[Centros]])</f>
        <v>34</v>
      </c>
    </row>
    <row r="313" spans="2:5" x14ac:dyDescent="0.3">
      <c r="B313" t="s">
        <v>685</v>
      </c>
      <c r="C313" t="s">
        <v>869</v>
      </c>
      <c r="E313">
        <f>LEN(Tabla2[[#This Row],[Centros]])</f>
        <v>30</v>
      </c>
    </row>
    <row r="314" spans="2:5" x14ac:dyDescent="0.3">
      <c r="B314" t="s">
        <v>538</v>
      </c>
      <c r="C314" t="s">
        <v>543</v>
      </c>
      <c r="E314">
        <f>LEN(Tabla2[[#This Row],[Centros]])</f>
        <v>28</v>
      </c>
    </row>
    <row r="315" spans="2:5" x14ac:dyDescent="0.3">
      <c r="B315" t="s">
        <v>716</v>
      </c>
      <c r="C315" t="s">
        <v>717</v>
      </c>
      <c r="E315">
        <f>LEN(Tabla2[[#This Row],[Centros]])</f>
        <v>53</v>
      </c>
    </row>
    <row r="316" spans="2:5" x14ac:dyDescent="0.3">
      <c r="B316" t="s">
        <v>538</v>
      </c>
      <c r="C316" t="s">
        <v>894</v>
      </c>
      <c r="E316">
        <f>LEN(Tabla2[[#This Row],[Centros]])</f>
        <v>37</v>
      </c>
    </row>
    <row r="317" spans="2:5" x14ac:dyDescent="0.3">
      <c r="B317" t="s">
        <v>538</v>
      </c>
      <c r="C317" t="s">
        <v>924</v>
      </c>
      <c r="E317">
        <f>LEN(Tabla2[[#This Row],[Centros]])</f>
        <v>43</v>
      </c>
    </row>
    <row r="318" spans="2:5" x14ac:dyDescent="0.3">
      <c r="B318" t="s">
        <v>538</v>
      </c>
      <c r="C318" t="s">
        <v>542</v>
      </c>
      <c r="E318">
        <f>LEN(Tabla2[[#This Row],[Centros]])</f>
        <v>37</v>
      </c>
    </row>
    <row r="319" spans="2:5" x14ac:dyDescent="0.3">
      <c r="B319" t="s">
        <v>538</v>
      </c>
      <c r="C319" t="s">
        <v>925</v>
      </c>
      <c r="E319">
        <f>LEN(Tabla2[[#This Row],[Centros]])</f>
        <v>36</v>
      </c>
    </row>
    <row r="320" spans="2:5" x14ac:dyDescent="0.3">
      <c r="B320" t="s">
        <v>662</v>
      </c>
      <c r="C320" t="s">
        <v>664</v>
      </c>
      <c r="E320">
        <f>LEN(Tabla2[[#This Row],[Centros]])</f>
        <v>51</v>
      </c>
    </row>
    <row r="321" spans="2:5" x14ac:dyDescent="0.3">
      <c r="B321" t="s">
        <v>662</v>
      </c>
      <c r="C321" t="s">
        <v>663</v>
      </c>
      <c r="E321">
        <f>LEN(Tabla2[[#This Row],[Centros]])</f>
        <v>55</v>
      </c>
    </row>
    <row r="322" spans="2:5" x14ac:dyDescent="0.3">
      <c r="B322" t="s">
        <v>662</v>
      </c>
      <c r="C322" t="s">
        <v>665</v>
      </c>
      <c r="E322">
        <f>LEN(Tabla2[[#This Row],[Centros]])</f>
        <v>53</v>
      </c>
    </row>
    <row r="323" spans="2:5" x14ac:dyDescent="0.3">
      <c r="B323" t="s">
        <v>662</v>
      </c>
      <c r="C323" t="s">
        <v>666</v>
      </c>
      <c r="E323">
        <f>LEN(Tabla2[[#This Row],[Centros]])</f>
        <v>51</v>
      </c>
    </row>
    <row r="324" spans="2:5" x14ac:dyDescent="0.3">
      <c r="B324" t="s">
        <v>662</v>
      </c>
      <c r="C324" t="s">
        <v>667</v>
      </c>
      <c r="E324">
        <f>LEN(Tabla2[[#This Row],[Centros]])</f>
        <v>55</v>
      </c>
    </row>
    <row r="325" spans="2:5" x14ac:dyDescent="0.3">
      <c r="B325" t="s">
        <v>662</v>
      </c>
      <c r="C325" t="s">
        <v>668</v>
      </c>
      <c r="E325">
        <f>LEN(Tabla2[[#This Row],[Centros]])</f>
        <v>54</v>
      </c>
    </row>
    <row r="326" spans="2:5" x14ac:dyDescent="0.3">
      <c r="B326" t="s">
        <v>662</v>
      </c>
      <c r="C326" t="s">
        <v>669</v>
      </c>
      <c r="E326">
        <f>LEN(Tabla2[[#This Row],[Centros]])</f>
        <v>50</v>
      </c>
    </row>
    <row r="327" spans="2:5" x14ac:dyDescent="0.3">
      <c r="B327" t="s">
        <v>662</v>
      </c>
      <c r="C327" t="s">
        <v>670</v>
      </c>
      <c r="E327">
        <f>LEN(Tabla2[[#This Row],[Centros]])</f>
        <v>74</v>
      </c>
    </row>
    <row r="328" spans="2:5" x14ac:dyDescent="0.3">
      <c r="B328" t="s">
        <v>662</v>
      </c>
      <c r="C328" t="s">
        <v>671</v>
      </c>
      <c r="E328">
        <f>LEN(Tabla2[[#This Row],[Centros]])</f>
        <v>65</v>
      </c>
    </row>
    <row r="329" spans="2:5" x14ac:dyDescent="0.3">
      <c r="B329" t="s">
        <v>662</v>
      </c>
      <c r="C329" t="s">
        <v>672</v>
      </c>
      <c r="E329">
        <f>LEN(Tabla2[[#This Row],[Centros]])</f>
        <v>63</v>
      </c>
    </row>
    <row r="330" spans="2:5" x14ac:dyDescent="0.3">
      <c r="B330" t="s">
        <v>662</v>
      </c>
      <c r="C330" t="s">
        <v>673</v>
      </c>
      <c r="E330">
        <f>LEN(Tabla2[[#This Row],[Centros]])</f>
        <v>61</v>
      </c>
    </row>
    <row r="331" spans="2:5" x14ac:dyDescent="0.3">
      <c r="B331" t="s">
        <v>662</v>
      </c>
      <c r="C331" t="s">
        <v>674</v>
      </c>
      <c r="E331">
        <f>LEN(Tabla2[[#This Row],[Centros]])</f>
        <v>56</v>
      </c>
    </row>
    <row r="332" spans="2:5" x14ac:dyDescent="0.3">
      <c r="B332" t="s">
        <v>662</v>
      </c>
      <c r="C332" t="s">
        <v>675</v>
      </c>
      <c r="E332">
        <f>LEN(Tabla2[[#This Row],[Centros]])</f>
        <v>53</v>
      </c>
    </row>
    <row r="333" spans="2:5" x14ac:dyDescent="0.3">
      <c r="B333" t="s">
        <v>662</v>
      </c>
      <c r="C333" t="s">
        <v>676</v>
      </c>
      <c r="E333">
        <f>LEN(Tabla2[[#This Row],[Centros]])</f>
        <v>55</v>
      </c>
    </row>
    <row r="334" spans="2:5" x14ac:dyDescent="0.3">
      <c r="B334" t="s">
        <v>662</v>
      </c>
      <c r="C334" t="s">
        <v>677</v>
      </c>
      <c r="E334">
        <f>LEN(Tabla2[[#This Row],[Centros]])</f>
        <v>59</v>
      </c>
    </row>
    <row r="335" spans="2:5" x14ac:dyDescent="0.3">
      <c r="B335" t="s">
        <v>662</v>
      </c>
      <c r="C335" t="s">
        <v>678</v>
      </c>
      <c r="E335">
        <f>LEN(Tabla2[[#This Row],[Centros]])</f>
        <v>62</v>
      </c>
    </row>
    <row r="336" spans="2:5" x14ac:dyDescent="0.3">
      <c r="B336" t="s">
        <v>662</v>
      </c>
      <c r="C336" t="s">
        <v>679</v>
      </c>
      <c r="E336">
        <f>LEN(Tabla2[[#This Row],[Centros]])</f>
        <v>52</v>
      </c>
    </row>
    <row r="337" spans="2:5" x14ac:dyDescent="0.3">
      <c r="B337" t="s">
        <v>662</v>
      </c>
      <c r="C337" t="s">
        <v>680</v>
      </c>
      <c r="E337">
        <f>LEN(Tabla2[[#This Row],[Centros]])</f>
        <v>57</v>
      </c>
    </row>
    <row r="338" spans="2:5" x14ac:dyDescent="0.3">
      <c r="B338" t="s">
        <v>662</v>
      </c>
      <c r="C338" t="s">
        <v>681</v>
      </c>
      <c r="E338">
        <f>LEN(Tabla2[[#This Row],[Centros]])</f>
        <v>59</v>
      </c>
    </row>
    <row r="339" spans="2:5" x14ac:dyDescent="0.3">
      <c r="B339" t="s">
        <v>662</v>
      </c>
      <c r="C339" t="s">
        <v>682</v>
      </c>
      <c r="E339">
        <f>LEN(Tabla2[[#This Row],[Centros]])</f>
        <v>53</v>
      </c>
    </row>
    <row r="340" spans="2:5" x14ac:dyDescent="0.3">
      <c r="B340" t="s">
        <v>685</v>
      </c>
      <c r="C340" t="s">
        <v>901</v>
      </c>
      <c r="E340">
        <f>LEN(Tabla2[[#This Row],[Centros]])</f>
        <v>27</v>
      </c>
    </row>
    <row r="341" spans="2:5" x14ac:dyDescent="0.3">
      <c r="B341" t="s">
        <v>685</v>
      </c>
      <c r="C341" t="s">
        <v>696</v>
      </c>
      <c r="E341">
        <f>LEN(Tabla2[[#This Row],[Centros]])</f>
        <v>50</v>
      </c>
    </row>
    <row r="342" spans="2:5" x14ac:dyDescent="0.3">
      <c r="B342" t="s">
        <v>775</v>
      </c>
      <c r="C342" t="s">
        <v>782</v>
      </c>
      <c r="E342">
        <f>LEN(Tabla2[[#This Row],[Centros]])</f>
        <v>28</v>
      </c>
    </row>
    <row r="343" spans="2:5" x14ac:dyDescent="0.3">
      <c r="B343" t="s">
        <v>785</v>
      </c>
      <c r="C343" t="s">
        <v>944</v>
      </c>
      <c r="E343">
        <f>LEN(Tabla2[[#This Row],[Centros]])</f>
        <v>69</v>
      </c>
    </row>
    <row r="344" spans="2:5" x14ac:dyDescent="0.3">
      <c r="B344" t="s">
        <v>785</v>
      </c>
      <c r="C344" t="s">
        <v>945</v>
      </c>
      <c r="E344">
        <f>LEN(Tabla2[[#This Row],[Centros]])</f>
        <v>67</v>
      </c>
    </row>
    <row r="345" spans="2:5" x14ac:dyDescent="0.3">
      <c r="B345" t="s">
        <v>785</v>
      </c>
      <c r="C345" t="s">
        <v>946</v>
      </c>
      <c r="E345">
        <f>LEN(Tabla2[[#This Row],[Centros]])</f>
        <v>70</v>
      </c>
    </row>
    <row r="346" spans="2:5" x14ac:dyDescent="0.3">
      <c r="B346" t="s">
        <v>785</v>
      </c>
      <c r="C346" t="s">
        <v>948</v>
      </c>
      <c r="E346">
        <f>LEN(Tabla2[[#This Row],[Centros]])</f>
        <v>73</v>
      </c>
    </row>
    <row r="347" spans="2:5" x14ac:dyDescent="0.3">
      <c r="B347" t="s">
        <v>785</v>
      </c>
      <c r="C347" t="s">
        <v>947</v>
      </c>
      <c r="E347">
        <f>LEN(Tabla2[[#This Row],[Centros]])</f>
        <v>68</v>
      </c>
    </row>
    <row r="348" spans="2:5" x14ac:dyDescent="0.3">
      <c r="B348" t="s">
        <v>827</v>
      </c>
      <c r="C348" t="s">
        <v>829</v>
      </c>
      <c r="E348">
        <f>LEN(Tabla2[[#This Row],[Centros]])</f>
        <v>47</v>
      </c>
    </row>
    <row r="349" spans="2:5" x14ac:dyDescent="0.3">
      <c r="B349" t="s">
        <v>827</v>
      </c>
      <c r="C349" t="s">
        <v>828</v>
      </c>
      <c r="E349">
        <f>LEN(Tabla2[[#This Row],[Centros]])</f>
        <v>58</v>
      </c>
    </row>
    <row r="350" spans="2:5" x14ac:dyDescent="0.3">
      <c r="B350" t="s">
        <v>775</v>
      </c>
      <c r="C350" t="s">
        <v>783</v>
      </c>
      <c r="E350">
        <f>LEN(Tabla2[[#This Row],[Centros]])</f>
        <v>28</v>
      </c>
    </row>
    <row r="351" spans="2:5" x14ac:dyDescent="0.3">
      <c r="B351" t="s">
        <v>785</v>
      </c>
      <c r="C351" t="s">
        <v>793</v>
      </c>
      <c r="E351">
        <f>LEN(Tabla2[[#This Row],[Centros]])</f>
        <v>14</v>
      </c>
    </row>
    <row r="352" spans="2:5" x14ac:dyDescent="0.3">
      <c r="B352" t="s">
        <v>582</v>
      </c>
      <c r="C352" t="s">
        <v>588</v>
      </c>
      <c r="E352">
        <f>LEN(Tabla2[[#This Row],[Centros]])</f>
        <v>67</v>
      </c>
    </row>
    <row r="353" spans="2:5" x14ac:dyDescent="0.3">
      <c r="B353" t="s">
        <v>582</v>
      </c>
      <c r="C353" t="s">
        <v>587</v>
      </c>
      <c r="E353">
        <f>LEN(Tabla2[[#This Row],[Centros]])</f>
        <v>58</v>
      </c>
    </row>
    <row r="354" spans="2:5" x14ac:dyDescent="0.3">
      <c r="B354" t="s">
        <v>582</v>
      </c>
      <c r="C354" t="s">
        <v>593</v>
      </c>
      <c r="E354">
        <f>LEN(Tabla2[[#This Row],[Centros]])</f>
        <v>43</v>
      </c>
    </row>
    <row r="355" spans="2:5" x14ac:dyDescent="0.3">
      <c r="B355" t="s">
        <v>582</v>
      </c>
      <c r="C355" t="s">
        <v>594</v>
      </c>
      <c r="E355">
        <f>LEN(Tabla2[[#This Row],[Centros]])</f>
        <v>44</v>
      </c>
    </row>
    <row r="356" spans="2:5" x14ac:dyDescent="0.3">
      <c r="B356" t="s">
        <v>619</v>
      </c>
      <c r="C356" t="s">
        <v>620</v>
      </c>
      <c r="E356">
        <f>LEN(Tabla2[[#This Row],[Centros]])</f>
        <v>15</v>
      </c>
    </row>
    <row r="357" spans="2:5" x14ac:dyDescent="0.3">
      <c r="B357" t="s">
        <v>619</v>
      </c>
      <c r="C357" t="s">
        <v>625</v>
      </c>
      <c r="E357">
        <f>LEN(Tabla2[[#This Row],[Centros]])</f>
        <v>13</v>
      </c>
    </row>
    <row r="358" spans="2:5" x14ac:dyDescent="0.3">
      <c r="B358" t="s">
        <v>619</v>
      </c>
      <c r="C358" t="s">
        <v>627</v>
      </c>
      <c r="E358">
        <f>LEN(Tabla2[[#This Row],[Centros]])</f>
        <v>14</v>
      </c>
    </row>
    <row r="359" spans="2:5" x14ac:dyDescent="0.3">
      <c r="B359" t="s">
        <v>619</v>
      </c>
      <c r="C359" t="s">
        <v>621</v>
      </c>
      <c r="E359">
        <f>LEN(Tabla2[[#This Row],[Centros]])</f>
        <v>19</v>
      </c>
    </row>
    <row r="360" spans="2:5" x14ac:dyDescent="0.3">
      <c r="B360" t="s">
        <v>619</v>
      </c>
      <c r="C360" t="s">
        <v>626</v>
      </c>
      <c r="E360">
        <f>LEN(Tabla2[[#This Row],[Centros]])</f>
        <v>24</v>
      </c>
    </row>
    <row r="361" spans="2:5" x14ac:dyDescent="0.3">
      <c r="B361" t="s">
        <v>519</v>
      </c>
      <c r="C361" t="s">
        <v>523</v>
      </c>
      <c r="E361">
        <f>LEN(Tabla2[[#This Row],[Centros]])</f>
        <v>15</v>
      </c>
    </row>
    <row r="362" spans="2:5" x14ac:dyDescent="0.3">
      <c r="B362" t="s">
        <v>519</v>
      </c>
      <c r="C362" t="s">
        <v>524</v>
      </c>
      <c r="E362">
        <f>LEN(Tabla2[[#This Row],[Centros]])</f>
        <v>18</v>
      </c>
    </row>
    <row r="363" spans="2:5" x14ac:dyDescent="0.3">
      <c r="B363" t="s">
        <v>519</v>
      </c>
      <c r="C363" t="s">
        <v>522</v>
      </c>
      <c r="E363">
        <f>LEN(Tabla2[[#This Row],[Centros]])</f>
        <v>15</v>
      </c>
    </row>
    <row r="364" spans="2:5" x14ac:dyDescent="0.3">
      <c r="B364" t="s">
        <v>619</v>
      </c>
      <c r="C364" t="s">
        <v>622</v>
      </c>
      <c r="E364">
        <f>LEN(Tabla2[[#This Row],[Centros]])</f>
        <v>13</v>
      </c>
    </row>
    <row r="365" spans="2:5" x14ac:dyDescent="0.3">
      <c r="B365" t="s">
        <v>619</v>
      </c>
      <c r="C365" t="s">
        <v>624</v>
      </c>
      <c r="E365">
        <f>LEN(Tabla2[[#This Row],[Centros]])</f>
        <v>15</v>
      </c>
    </row>
    <row r="366" spans="2:5" x14ac:dyDescent="0.3">
      <c r="B366" t="s">
        <v>519</v>
      </c>
      <c r="C366" t="s">
        <v>520</v>
      </c>
      <c r="E366">
        <f>LEN(Tabla2[[#This Row],[Centros]])</f>
        <v>15</v>
      </c>
    </row>
    <row r="367" spans="2:5" x14ac:dyDescent="0.3">
      <c r="B367" t="s">
        <v>619</v>
      </c>
      <c r="C367" t="s">
        <v>628</v>
      </c>
      <c r="E367">
        <f>LEN(Tabla2[[#This Row],[Centros]])</f>
        <v>15</v>
      </c>
    </row>
    <row r="368" spans="2:5" x14ac:dyDescent="0.3">
      <c r="B368" t="s">
        <v>619</v>
      </c>
      <c r="C368" t="s">
        <v>629</v>
      </c>
      <c r="E368">
        <f>LEN(Tabla2[[#This Row],[Centros]])</f>
        <v>12</v>
      </c>
    </row>
    <row r="369" spans="2:5" x14ac:dyDescent="0.3">
      <c r="B369" t="s">
        <v>619</v>
      </c>
      <c r="C369" t="s">
        <v>630</v>
      </c>
      <c r="E369">
        <f>LEN(Tabla2[[#This Row],[Centros]])</f>
        <v>13</v>
      </c>
    </row>
    <row r="370" spans="2:5" x14ac:dyDescent="0.3">
      <c r="B370" t="s">
        <v>519</v>
      </c>
      <c r="C370" t="s">
        <v>521</v>
      </c>
      <c r="E370">
        <f>LEN(Tabla2[[#This Row],[Centros]])</f>
        <v>14</v>
      </c>
    </row>
    <row r="371" spans="2:5" x14ac:dyDescent="0.3">
      <c r="B371" t="s">
        <v>619</v>
      </c>
      <c r="C371" t="s">
        <v>623</v>
      </c>
      <c r="E371">
        <f>LEN(Tabla2[[#This Row],[Centros]])</f>
        <v>12</v>
      </c>
    </row>
    <row r="372" spans="2:5" x14ac:dyDescent="0.3">
      <c r="B372" t="s">
        <v>619</v>
      </c>
      <c r="C372" t="s">
        <v>631</v>
      </c>
      <c r="E372">
        <f>LEN(Tabla2[[#This Row],[Centros]])</f>
        <v>18</v>
      </c>
    </row>
    <row r="373" spans="2:5" x14ac:dyDescent="0.3">
      <c r="B373" t="s">
        <v>519</v>
      </c>
      <c r="C373" t="s">
        <v>527</v>
      </c>
      <c r="E373">
        <f>LEN(Tabla2[[#This Row],[Centros]])</f>
        <v>12</v>
      </c>
    </row>
    <row r="374" spans="2:5" x14ac:dyDescent="0.3">
      <c r="B374" t="s">
        <v>519</v>
      </c>
      <c r="C374" t="s">
        <v>525</v>
      </c>
      <c r="E374">
        <f>LEN(Tabla2[[#This Row],[Centros]])</f>
        <v>12</v>
      </c>
    </row>
    <row r="375" spans="2:5" x14ac:dyDescent="0.3">
      <c r="B375" t="s">
        <v>519</v>
      </c>
      <c r="C375" t="s">
        <v>526</v>
      </c>
      <c r="E375">
        <f>LEN(Tabla2[[#This Row],[Centros]])</f>
        <v>11</v>
      </c>
    </row>
    <row r="376" spans="2:5" x14ac:dyDescent="0.3">
      <c r="B376" t="s">
        <v>755</v>
      </c>
      <c r="C376" t="s">
        <v>921</v>
      </c>
      <c r="E376">
        <f>LEN(Tabla2[[#This Row],[Centros]])</f>
        <v>14</v>
      </c>
    </row>
    <row r="377" spans="2:5" x14ac:dyDescent="0.3">
      <c r="B377" t="s">
        <v>647</v>
      </c>
      <c r="C377" t="s">
        <v>648</v>
      </c>
      <c r="E377">
        <f>LEN(Tabla2[[#This Row],[Centros]])</f>
        <v>31</v>
      </c>
    </row>
    <row r="378" spans="2:5" x14ac:dyDescent="0.3">
      <c r="B378" t="s">
        <v>647</v>
      </c>
      <c r="C378" t="s">
        <v>649</v>
      </c>
      <c r="E378">
        <f>LEN(Tabla2[[#This Row],[Centros]])</f>
        <v>25</v>
      </c>
    </row>
    <row r="379" spans="2:5" x14ac:dyDescent="0.3">
      <c r="B379" t="s">
        <v>647</v>
      </c>
      <c r="C379" t="s">
        <v>650</v>
      </c>
      <c r="E379">
        <f>LEN(Tabla2[[#This Row],[Centros]])</f>
        <v>32</v>
      </c>
    </row>
    <row r="380" spans="2:5" x14ac:dyDescent="0.3">
      <c r="B380" t="s">
        <v>647</v>
      </c>
      <c r="C380" t="s">
        <v>651</v>
      </c>
      <c r="E380">
        <f>LEN(Tabla2[[#This Row],[Centros]])</f>
        <v>38</v>
      </c>
    </row>
    <row r="381" spans="2:5" x14ac:dyDescent="0.3">
      <c r="B381" t="s">
        <v>741</v>
      </c>
      <c r="C381" t="s">
        <v>931</v>
      </c>
      <c r="E381">
        <f>LEN(Tabla2[[#This Row],[Centros]])</f>
        <v>62</v>
      </c>
    </row>
    <row r="382" spans="2:5" x14ac:dyDescent="0.3">
      <c r="B382" t="s">
        <v>785</v>
      </c>
      <c r="C382" t="s">
        <v>846</v>
      </c>
      <c r="E382">
        <f>LEN(Tabla2[[#This Row],[Centros]])</f>
        <v>17</v>
      </c>
    </row>
    <row r="383" spans="2:5" x14ac:dyDescent="0.3">
      <c r="B383" t="s">
        <v>785</v>
      </c>
      <c r="C383" t="s">
        <v>929</v>
      </c>
      <c r="E383">
        <f>LEN(Tabla2[[#This Row],[Centros]])</f>
        <v>15</v>
      </c>
    </row>
    <row r="384" spans="2:5" x14ac:dyDescent="0.3">
      <c r="B384" t="s">
        <v>785</v>
      </c>
      <c r="C384" t="s">
        <v>845</v>
      </c>
      <c r="E384">
        <f>LEN(Tabla2[[#This Row],[Centros]])</f>
        <v>18</v>
      </c>
    </row>
    <row r="385" spans="2:5" x14ac:dyDescent="0.3">
      <c r="B385" t="s">
        <v>785</v>
      </c>
      <c r="C385" t="s">
        <v>843</v>
      </c>
      <c r="E385">
        <f>LEN(Tabla2[[#This Row],[Centros]])</f>
        <v>21</v>
      </c>
    </row>
    <row r="386" spans="2:5" x14ac:dyDescent="0.3">
      <c r="B386" t="s">
        <v>785</v>
      </c>
      <c r="C386" t="s">
        <v>844</v>
      </c>
      <c r="E386">
        <f>LEN(Tabla2[[#This Row],[Centros]])</f>
        <v>16</v>
      </c>
    </row>
    <row r="387" spans="2:5" x14ac:dyDescent="0.3">
      <c r="B387" t="s">
        <v>775</v>
      </c>
      <c r="C387" t="s">
        <v>784</v>
      </c>
      <c r="E387">
        <f>LEN(Tabla2[[#This Row],[Centros]])</f>
        <v>68</v>
      </c>
    </row>
    <row r="388" spans="2:5" x14ac:dyDescent="0.3">
      <c r="B388" t="s">
        <v>716</v>
      </c>
      <c r="C388" t="s">
        <v>726</v>
      </c>
      <c r="E388">
        <f>LEN(Tabla2[[#This Row],[Centros]])</f>
        <v>51</v>
      </c>
    </row>
    <row r="389" spans="2:5" x14ac:dyDescent="0.3">
      <c r="B389" t="s">
        <v>662</v>
      </c>
      <c r="C389" t="s">
        <v>683</v>
      </c>
      <c r="E389">
        <f>LEN(Tabla2[[#This Row],[Centros]])</f>
        <v>33</v>
      </c>
    </row>
    <row r="390" spans="2:5" x14ac:dyDescent="0.3">
      <c r="B390" t="s">
        <v>741</v>
      </c>
      <c r="C390" t="s">
        <v>748</v>
      </c>
      <c r="E390">
        <f>LEN(Tabla2[[#This Row],[Centros]])</f>
        <v>84</v>
      </c>
    </row>
    <row r="391" spans="2:5" x14ac:dyDescent="0.3">
      <c r="B391" t="s">
        <v>749</v>
      </c>
      <c r="C391" t="s">
        <v>912</v>
      </c>
      <c r="E391">
        <f>LEN(Tabla2[[#This Row],[Centros]])</f>
        <v>11</v>
      </c>
    </row>
    <row r="392" spans="2:5" x14ac:dyDescent="0.3">
      <c r="B392" t="s">
        <v>749</v>
      </c>
      <c r="C392" t="s">
        <v>911</v>
      </c>
      <c r="E392">
        <f>LEN(Tabla2[[#This Row],[Centros]])</f>
        <v>8</v>
      </c>
    </row>
    <row r="393" spans="2:5" x14ac:dyDescent="0.3">
      <c r="B393" t="s">
        <v>755</v>
      </c>
      <c r="C393" t="s">
        <v>759</v>
      </c>
      <c r="E393">
        <f>LEN(Tabla2[[#This Row],[Centros]])</f>
        <v>7</v>
      </c>
    </row>
    <row r="394" spans="2:5" x14ac:dyDescent="0.3">
      <c r="B394" t="s">
        <v>755</v>
      </c>
      <c r="C394" t="s">
        <v>760</v>
      </c>
      <c r="E394">
        <f>LEN(Tabla2[[#This Row],[Centros]])</f>
        <v>12</v>
      </c>
    </row>
    <row r="395" spans="2:5" x14ac:dyDescent="0.3">
      <c r="B395" t="s">
        <v>755</v>
      </c>
      <c r="C395" t="s">
        <v>761</v>
      </c>
      <c r="E395">
        <f>LEN(Tabla2[[#This Row],[Centros]])</f>
        <v>13</v>
      </c>
    </row>
    <row r="396" spans="2:5" x14ac:dyDescent="0.3">
      <c r="B396" t="s">
        <v>755</v>
      </c>
      <c r="C396" t="s">
        <v>762</v>
      </c>
      <c r="E396">
        <f>LEN(Tabla2[[#This Row],[Centros]])</f>
        <v>10</v>
      </c>
    </row>
    <row r="397" spans="2:5" x14ac:dyDescent="0.3">
      <c r="B397" t="s">
        <v>582</v>
      </c>
      <c r="C397" t="s">
        <v>595</v>
      </c>
      <c r="E397">
        <f>LEN(Tabla2[[#This Row],[Centros]])</f>
        <v>40</v>
      </c>
    </row>
    <row r="398" spans="2:5" x14ac:dyDescent="0.3">
      <c r="B398" t="s">
        <v>547</v>
      </c>
      <c r="C398" t="s">
        <v>552</v>
      </c>
      <c r="E398">
        <f>LEN(Tabla2[[#This Row],[Centros]])</f>
        <v>68</v>
      </c>
    </row>
    <row r="399" spans="2:5" x14ac:dyDescent="0.3">
      <c r="B399" t="s">
        <v>755</v>
      </c>
      <c r="C399" t="s">
        <v>763</v>
      </c>
      <c r="E399">
        <f>LEN(Tabla2[[#This Row],[Centros]])</f>
        <v>9</v>
      </c>
    </row>
    <row r="400" spans="2:5" x14ac:dyDescent="0.3">
      <c r="B400" t="s">
        <v>785</v>
      </c>
      <c r="C400" t="s">
        <v>897</v>
      </c>
      <c r="E400">
        <f>LEN(Tabla2[[#This Row],[Centros]])</f>
        <v>9</v>
      </c>
    </row>
    <row r="401" spans="2:5" x14ac:dyDescent="0.3">
      <c r="B401" t="s">
        <v>802</v>
      </c>
      <c r="C401" t="s">
        <v>820</v>
      </c>
      <c r="E401">
        <f>LEN(Tabla2[[#This Row],[Centros]])</f>
        <v>37</v>
      </c>
    </row>
    <row r="402" spans="2:5" x14ac:dyDescent="0.3">
      <c r="B402" t="s">
        <v>755</v>
      </c>
      <c r="C402" t="s">
        <v>768</v>
      </c>
      <c r="E402">
        <f>LEN(Tabla2[[#This Row],[Centros]])</f>
        <v>7</v>
      </c>
    </row>
    <row r="403" spans="2:5" x14ac:dyDescent="0.3">
      <c r="B403" t="s">
        <v>755</v>
      </c>
      <c r="C403" t="s">
        <v>764</v>
      </c>
      <c r="E403">
        <f>LEN(Tabla2[[#This Row],[Centros]])</f>
        <v>15</v>
      </c>
    </row>
    <row r="404" spans="2:5" x14ac:dyDescent="0.3">
      <c r="B404" t="s">
        <v>755</v>
      </c>
      <c r="C404" t="s">
        <v>765</v>
      </c>
      <c r="E404">
        <f>LEN(Tabla2[[#This Row],[Centros]])</f>
        <v>15</v>
      </c>
    </row>
    <row r="405" spans="2:5" x14ac:dyDescent="0.3">
      <c r="B405" t="s">
        <v>785</v>
      </c>
      <c r="C405" t="s">
        <v>880</v>
      </c>
      <c r="E405">
        <f>LEN(Tabla2[[#This Row],[Centros]])</f>
        <v>12</v>
      </c>
    </row>
    <row r="406" spans="2:5" x14ac:dyDescent="0.3">
      <c r="B406" t="s">
        <v>582</v>
      </c>
      <c r="C406" t="s">
        <v>586</v>
      </c>
      <c r="E406">
        <f>LEN(Tabla2[[#This Row],[Centros]])</f>
        <v>36</v>
      </c>
    </row>
    <row r="407" spans="2:5" x14ac:dyDescent="0.3">
      <c r="B407" t="s">
        <v>755</v>
      </c>
      <c r="C407" t="s">
        <v>766</v>
      </c>
      <c r="E407">
        <f>LEN(Tabla2[[#This Row],[Centros]])</f>
        <v>14</v>
      </c>
    </row>
    <row r="408" spans="2:5" x14ac:dyDescent="0.3">
      <c r="B408" t="s">
        <v>647</v>
      </c>
      <c r="C408" t="s">
        <v>653</v>
      </c>
      <c r="E408">
        <f>LEN(Tabla2[[#This Row],[Centros]])</f>
        <v>24</v>
      </c>
    </row>
    <row r="409" spans="2:5" x14ac:dyDescent="0.3">
      <c r="B409" t="s">
        <v>547</v>
      </c>
      <c r="C409" t="s">
        <v>548</v>
      </c>
      <c r="E409">
        <f>LEN(Tabla2[[#This Row],[Centros]])</f>
        <v>43</v>
      </c>
    </row>
    <row r="410" spans="2:5" x14ac:dyDescent="0.3">
      <c r="B410" t="s">
        <v>582</v>
      </c>
      <c r="C410" t="s">
        <v>583</v>
      </c>
      <c r="E410">
        <f>LEN(Tabla2[[#This Row],[Centros]])</f>
        <v>35</v>
      </c>
    </row>
    <row r="411" spans="2:5" x14ac:dyDescent="0.3">
      <c r="B411" t="s">
        <v>582</v>
      </c>
      <c r="C411" t="s">
        <v>584</v>
      </c>
      <c r="E411">
        <f>LEN(Tabla2[[#This Row],[Centros]])</f>
        <v>37</v>
      </c>
    </row>
    <row r="412" spans="2:5" x14ac:dyDescent="0.3">
      <c r="B412" t="s">
        <v>582</v>
      </c>
      <c r="C412" t="s">
        <v>585</v>
      </c>
      <c r="E412">
        <f>LEN(Tabla2[[#This Row],[Centros]])</f>
        <v>33</v>
      </c>
    </row>
    <row r="413" spans="2:5" x14ac:dyDescent="0.3">
      <c r="B413" t="s">
        <v>647</v>
      </c>
      <c r="C413" t="s">
        <v>652</v>
      </c>
      <c r="E413">
        <f>LEN(Tabla2[[#This Row],[Centros]])</f>
        <v>26</v>
      </c>
    </row>
    <row r="414" spans="2:5" x14ac:dyDescent="0.3">
      <c r="B414" t="s">
        <v>749</v>
      </c>
      <c r="C414" t="s">
        <v>888</v>
      </c>
      <c r="E414">
        <f>LEN(Tabla2[[#This Row],[Centros]])</f>
        <v>16</v>
      </c>
    </row>
    <row r="415" spans="2:5" x14ac:dyDescent="0.3">
      <c r="B415" t="s">
        <v>785</v>
      </c>
      <c r="C415" t="s">
        <v>900</v>
      </c>
      <c r="E415">
        <f>LEN(Tabla2[[#This Row],[Centros]])</f>
        <v>7</v>
      </c>
    </row>
    <row r="416" spans="2:5" x14ac:dyDescent="0.3">
      <c r="B416" t="s">
        <v>755</v>
      </c>
      <c r="C416" t="s">
        <v>767</v>
      </c>
      <c r="E416">
        <f>LEN(Tabla2[[#This Row],[Centros]])</f>
        <v>21</v>
      </c>
    </row>
    <row r="417" spans="2:5" x14ac:dyDescent="0.3">
      <c r="B417" t="s">
        <v>501</v>
      </c>
      <c r="C417" t="s">
        <v>24</v>
      </c>
      <c r="E417">
        <f>LEN(Tabla2[[#This Row],[Centros]])</f>
        <v>5</v>
      </c>
    </row>
    <row r="418" spans="2:5" x14ac:dyDescent="0.3">
      <c r="B418" t="s">
        <v>534</v>
      </c>
      <c r="C418" t="s">
        <v>927</v>
      </c>
      <c r="E418">
        <f>LEN(Tabla2[[#This Row],[Centros]])</f>
        <v>39</v>
      </c>
    </row>
    <row r="419" spans="2:5" x14ac:dyDescent="0.3">
      <c r="B419" t="s">
        <v>685</v>
      </c>
      <c r="C419" t="s">
        <v>697</v>
      </c>
      <c r="E419">
        <f>LEN(Tabla2[[#This Row],[Centros]])</f>
        <v>56</v>
      </c>
    </row>
    <row r="420" spans="2:5" x14ac:dyDescent="0.3">
      <c r="B420" t="s">
        <v>785</v>
      </c>
      <c r="C420" t="s">
        <v>905</v>
      </c>
      <c r="E420">
        <f>LEN(Tabla2[[#This Row],[Centros]])</f>
        <v>8</v>
      </c>
    </row>
    <row r="421" spans="2:5" x14ac:dyDescent="0.3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4.4" x14ac:dyDescent="0.3"/>
  <cols>
    <col min="1" max="1" width="10.109375" customWidth="1"/>
    <col min="3" max="3" width="17.6640625" customWidth="1"/>
    <col min="5" max="5" width="30.88671875" customWidth="1"/>
    <col min="6" max="6" width="16.44140625" customWidth="1"/>
    <col min="9" max="9" width="12" customWidth="1"/>
    <col min="16" max="16" width="136" customWidth="1"/>
  </cols>
  <sheetData>
    <row r="1" spans="1:16" ht="27.75" customHeight="1" x14ac:dyDescent="0.3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" customHeight="1" x14ac:dyDescent="0.3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" customHeight="1" x14ac:dyDescent="0.3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" customHeight="1" x14ac:dyDescent="0.3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" customHeight="1" x14ac:dyDescent="0.3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" customHeight="1" x14ac:dyDescent="0.3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" customHeight="1" x14ac:dyDescent="0.3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" customHeight="1" x14ac:dyDescent="0.3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" customHeight="1" x14ac:dyDescent="0.3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" customHeight="1" x14ac:dyDescent="0.3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" customHeight="1" x14ac:dyDescent="0.3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" customHeight="1" x14ac:dyDescent="0.3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" customHeight="1" x14ac:dyDescent="0.3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" customHeight="1" x14ac:dyDescent="0.3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" customHeight="1" x14ac:dyDescent="0.3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" customHeight="1" x14ac:dyDescent="0.3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" customHeight="1" x14ac:dyDescent="0.3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" customHeight="1" x14ac:dyDescent="0.3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" customHeight="1" x14ac:dyDescent="0.3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" customHeight="1" x14ac:dyDescent="0.3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" customHeight="1" x14ac:dyDescent="0.3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" customHeight="1" x14ac:dyDescent="0.3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" customHeight="1" x14ac:dyDescent="0.3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" customHeight="1" x14ac:dyDescent="0.3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" customHeight="1" x14ac:dyDescent="0.3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" customHeight="1" x14ac:dyDescent="0.3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" customHeight="1" x14ac:dyDescent="0.3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" customHeight="1" x14ac:dyDescent="0.3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" customHeight="1" x14ac:dyDescent="0.3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" customHeight="1" x14ac:dyDescent="0.3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" customHeight="1" x14ac:dyDescent="0.3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" customHeight="1" x14ac:dyDescent="0.3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" customHeight="1" x14ac:dyDescent="0.3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4.4" x14ac:dyDescent="0.3"/>
  <cols>
    <col min="2" max="2" width="85.5546875" customWidth="1"/>
    <col min="3" max="3" width="52.33203125" customWidth="1"/>
    <col min="4" max="4" width="20.5546875" customWidth="1"/>
  </cols>
  <sheetData>
    <row r="1" spans="2:5" x14ac:dyDescent="0.3">
      <c r="B1" t="s">
        <v>0</v>
      </c>
      <c r="C1" t="s">
        <v>1</v>
      </c>
      <c r="D1" t="s">
        <v>323</v>
      </c>
      <c r="E1" t="s">
        <v>494</v>
      </c>
    </row>
    <row r="2" spans="2:5" x14ac:dyDescent="0.3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3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3">
      <c r="B4" t="s">
        <v>443</v>
      </c>
      <c r="C4" t="s">
        <v>14</v>
      </c>
      <c r="E4">
        <f>LEN(Tabla1[[#This Row],[Categorías]])</f>
        <v>6</v>
      </c>
    </row>
    <row r="5" spans="2:5" x14ac:dyDescent="0.3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3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3">
      <c r="B7" t="s">
        <v>443</v>
      </c>
      <c r="C7" t="s">
        <v>15</v>
      </c>
      <c r="E7">
        <f>LEN(Tabla1[[#This Row],[Categorías]])</f>
        <v>18</v>
      </c>
    </row>
    <row r="8" spans="2:5" x14ac:dyDescent="0.3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3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3">
      <c r="B10" t="s">
        <v>443</v>
      </c>
      <c r="C10" t="s">
        <v>16</v>
      </c>
      <c r="E10">
        <f>LEN(Tabla1[[#This Row],[Categorías]])</f>
        <v>18</v>
      </c>
    </row>
    <row r="11" spans="2:5" x14ac:dyDescent="0.3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3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3">
      <c r="B13" t="s">
        <v>443</v>
      </c>
      <c r="C13" t="s">
        <v>17</v>
      </c>
      <c r="E13">
        <f>LEN(Tabla1[[#This Row],[Categorías]])</f>
        <v>12</v>
      </c>
    </row>
    <row r="14" spans="2:5" x14ac:dyDescent="0.3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3">
      <c r="B15" t="s">
        <v>443</v>
      </c>
      <c r="C15" t="s">
        <v>18</v>
      </c>
      <c r="E15">
        <f>LEN(Tabla1[[#This Row],[Categorías]])</f>
        <v>48</v>
      </c>
    </row>
    <row r="16" spans="2:5" x14ac:dyDescent="0.3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3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3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3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3">
      <c r="B20" t="s">
        <v>443</v>
      </c>
      <c r="C20" t="s">
        <v>20</v>
      </c>
      <c r="E20">
        <f>LEN(Tabla1[[#This Row],[Categorías]])</f>
        <v>12</v>
      </c>
    </row>
    <row r="21" spans="2:5" x14ac:dyDescent="0.3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3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3">
      <c r="B23" t="s">
        <v>443</v>
      </c>
      <c r="C23" t="s">
        <v>21</v>
      </c>
      <c r="E23">
        <f>LEN(Tabla1[[#This Row],[Categorías]])</f>
        <v>22</v>
      </c>
    </row>
    <row r="24" spans="2:5" x14ac:dyDescent="0.3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3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3">
      <c r="B26" t="s">
        <v>443</v>
      </c>
      <c r="C26" t="s">
        <v>22</v>
      </c>
      <c r="E26">
        <f>LEN(Tabla1[[#This Row],[Categorías]])</f>
        <v>8</v>
      </c>
    </row>
    <row r="27" spans="2:5" x14ac:dyDescent="0.3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3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3">
      <c r="B29" t="s">
        <v>443</v>
      </c>
      <c r="C29" t="s">
        <v>23</v>
      </c>
      <c r="E29">
        <f>LEN(Tabla1[[#This Row],[Categorías]])</f>
        <v>48</v>
      </c>
    </row>
    <row r="30" spans="2:5" x14ac:dyDescent="0.3">
      <c r="B30" t="s">
        <v>462</v>
      </c>
      <c r="C30" t="s">
        <v>473</v>
      </c>
      <c r="E30">
        <f>LEN(Tabla1[[#This Row],[Categorías]])</f>
        <v>9</v>
      </c>
    </row>
    <row r="31" spans="2:5" x14ac:dyDescent="0.3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3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3">
      <c r="B33" t="s">
        <v>443</v>
      </c>
      <c r="C33" t="s">
        <v>283</v>
      </c>
      <c r="E33">
        <f>LEN(Tabla1[[#This Row],[Categorías]])</f>
        <v>26</v>
      </c>
    </row>
    <row r="34" spans="2:5" x14ac:dyDescent="0.3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3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3">
      <c r="B36" t="s">
        <v>443</v>
      </c>
      <c r="C36" t="s">
        <v>122</v>
      </c>
      <c r="E36">
        <f>LEN(Tabla1[[#This Row],[Categorías]])</f>
        <v>21</v>
      </c>
    </row>
    <row r="37" spans="2:5" x14ac:dyDescent="0.3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3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3">
      <c r="B39" t="s">
        <v>462</v>
      </c>
      <c r="C39" t="s">
        <v>466</v>
      </c>
      <c r="E39">
        <f>LEN(Tabla1[[#This Row],[Categorías]])</f>
        <v>8</v>
      </c>
    </row>
    <row r="40" spans="2:5" x14ac:dyDescent="0.3">
      <c r="B40" t="s">
        <v>462</v>
      </c>
      <c r="C40" t="s">
        <v>474</v>
      </c>
      <c r="E40">
        <f>LEN(Tabla1[[#This Row],[Categorías]])</f>
        <v>9</v>
      </c>
    </row>
    <row r="41" spans="2:5" x14ac:dyDescent="0.3">
      <c r="B41" t="s">
        <v>462</v>
      </c>
      <c r="C41" t="s">
        <v>465</v>
      </c>
      <c r="E41">
        <f>LEN(Tabla1[[#This Row],[Categorías]])</f>
        <v>10</v>
      </c>
    </row>
    <row r="42" spans="2:5" x14ac:dyDescent="0.3">
      <c r="B42" t="s">
        <v>485</v>
      </c>
      <c r="C42" t="s">
        <v>490</v>
      </c>
      <c r="E42">
        <f>LEN(Tabla1[[#This Row],[Categorías]])</f>
        <v>35</v>
      </c>
    </row>
    <row r="43" spans="2:5" x14ac:dyDescent="0.3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3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3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3">
      <c r="B46" t="s">
        <v>443</v>
      </c>
      <c r="C46" t="s">
        <v>265</v>
      </c>
      <c r="E46">
        <f>LEN(Tabla1[[#This Row],[Categorías]])</f>
        <v>112</v>
      </c>
    </row>
    <row r="47" spans="2:5" x14ac:dyDescent="0.3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3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3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3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3">
      <c r="B51" t="s">
        <v>443</v>
      </c>
      <c r="C51" t="s">
        <v>255</v>
      </c>
      <c r="E51">
        <f>LEN(Tabla1[[#This Row],[Categorías]])</f>
        <v>7</v>
      </c>
    </row>
    <row r="52" spans="2:5" x14ac:dyDescent="0.3">
      <c r="B52" t="s">
        <v>462</v>
      </c>
      <c r="C52" t="s">
        <v>475</v>
      </c>
      <c r="E52">
        <f>LEN(Tabla1[[#This Row],[Categorías]])</f>
        <v>10</v>
      </c>
    </row>
    <row r="53" spans="2:5" x14ac:dyDescent="0.3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3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3">
      <c r="B55" t="s">
        <v>443</v>
      </c>
      <c r="C55" t="s">
        <v>264</v>
      </c>
      <c r="E55">
        <f>LEN(Tabla1[[#This Row],[Categorías]])</f>
        <v>103</v>
      </c>
    </row>
    <row r="56" spans="2:5" x14ac:dyDescent="0.3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3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3">
      <c r="B58" t="s">
        <v>443</v>
      </c>
      <c r="C58" t="s">
        <v>295</v>
      </c>
      <c r="E58">
        <f>LEN(Tabla1[[#This Row],[Categorías]])</f>
        <v>22</v>
      </c>
    </row>
    <row r="59" spans="2:5" x14ac:dyDescent="0.3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3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3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3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3">
      <c r="B63" t="s">
        <v>443</v>
      </c>
      <c r="C63" t="s">
        <v>285</v>
      </c>
      <c r="E63">
        <f>LEN(Tabla1[[#This Row],[Categorías]])</f>
        <v>36</v>
      </c>
    </row>
    <row r="64" spans="2:5" x14ac:dyDescent="0.3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3">
      <c r="B65" t="s">
        <v>443</v>
      </c>
      <c r="C65" t="s">
        <v>330</v>
      </c>
      <c r="E65">
        <f>LEN(Tabla1[[#This Row],[Categorías]])</f>
        <v>33</v>
      </c>
    </row>
    <row r="66" spans="2:5" x14ac:dyDescent="0.3">
      <c r="B66" t="s">
        <v>9</v>
      </c>
      <c r="C66" t="s">
        <v>10</v>
      </c>
      <c r="E66">
        <f>LEN(Tabla1[[#This Row],[Categorías]])</f>
        <v>39</v>
      </c>
    </row>
    <row r="67" spans="2:5" x14ac:dyDescent="0.3">
      <c r="B67" t="s">
        <v>9</v>
      </c>
      <c r="C67" t="s">
        <v>11</v>
      </c>
      <c r="E67">
        <f>LEN(Tabla1[[#This Row],[Categorías]])</f>
        <v>16</v>
      </c>
    </row>
    <row r="68" spans="2:5" x14ac:dyDescent="0.3">
      <c r="B68" t="s">
        <v>455</v>
      </c>
      <c r="C68" t="s">
        <v>460</v>
      </c>
      <c r="E68">
        <f>LEN(Tabla1[[#This Row],[Categorías]])</f>
        <v>35</v>
      </c>
    </row>
    <row r="69" spans="2:5" x14ac:dyDescent="0.3">
      <c r="B69" t="s">
        <v>461</v>
      </c>
      <c r="C69" t="s">
        <v>460</v>
      </c>
      <c r="E69">
        <f>LEN(Tabla1[[#This Row],[Categorías]])</f>
        <v>35</v>
      </c>
    </row>
    <row r="70" spans="2:5" x14ac:dyDescent="0.3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3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3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3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3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3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3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3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3">
      <c r="B78" t="s">
        <v>443</v>
      </c>
      <c r="C78" t="s">
        <v>199</v>
      </c>
      <c r="E78">
        <f>LEN(Tabla1[[#This Row],[Categorías]])</f>
        <v>47</v>
      </c>
    </row>
    <row r="79" spans="2:5" x14ac:dyDescent="0.3">
      <c r="B79" t="s">
        <v>443</v>
      </c>
      <c r="C79" t="s">
        <v>444</v>
      </c>
      <c r="E79">
        <f>LEN(Tabla1[[#This Row],[Categorías]])</f>
        <v>44</v>
      </c>
    </row>
    <row r="80" spans="2:5" x14ac:dyDescent="0.3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3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3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3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3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3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3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3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3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3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3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3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3">
      <c r="B92" t="s">
        <v>443</v>
      </c>
      <c r="C92" t="s">
        <v>194</v>
      </c>
      <c r="E92">
        <f>LEN(Tabla1[[#This Row],[Categorías]])</f>
        <v>21</v>
      </c>
    </row>
    <row r="93" spans="2:5" x14ac:dyDescent="0.3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3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3">
      <c r="B95" t="s">
        <v>443</v>
      </c>
      <c r="C95" t="s">
        <v>237</v>
      </c>
      <c r="E95">
        <f>LEN(Tabla1[[#This Row],[Categorías]])</f>
        <v>33</v>
      </c>
    </row>
    <row r="96" spans="2:5" x14ac:dyDescent="0.3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3">
      <c r="B97" t="s">
        <v>443</v>
      </c>
      <c r="C97" t="s">
        <v>393</v>
      </c>
      <c r="E97">
        <f>LEN(Tabla1[[#This Row],[Categorías]])</f>
        <v>31</v>
      </c>
    </row>
    <row r="98" spans="2:5" x14ac:dyDescent="0.3">
      <c r="B98" t="s">
        <v>462</v>
      </c>
      <c r="C98" t="s">
        <v>467</v>
      </c>
      <c r="E98">
        <f>LEN(Tabla1[[#This Row],[Categorías]])</f>
        <v>13</v>
      </c>
    </row>
    <row r="99" spans="2:5" x14ac:dyDescent="0.3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3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3">
      <c r="B101" t="s">
        <v>443</v>
      </c>
      <c r="C101" t="s">
        <v>77</v>
      </c>
      <c r="E101">
        <f>LEN(Tabla1[[#This Row],[Categorías]])</f>
        <v>19</v>
      </c>
    </row>
    <row r="102" spans="2:5" x14ac:dyDescent="0.3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3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3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3">
      <c r="B105" t="s">
        <v>447</v>
      </c>
      <c r="C105" t="s">
        <v>453</v>
      </c>
      <c r="E105">
        <f>LEN(Tabla1[[#This Row],[Categorías]])</f>
        <v>42</v>
      </c>
    </row>
    <row r="106" spans="2:5" x14ac:dyDescent="0.3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3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3">
      <c r="B108" t="s">
        <v>443</v>
      </c>
      <c r="C108" t="s">
        <v>267</v>
      </c>
      <c r="E108">
        <f>LEN(Tabla1[[#This Row],[Categorías]])</f>
        <v>39</v>
      </c>
    </row>
    <row r="109" spans="2:5" x14ac:dyDescent="0.3">
      <c r="B109" t="s">
        <v>462</v>
      </c>
      <c r="C109" t="s">
        <v>480</v>
      </c>
      <c r="E109">
        <f>LEN(Tabla1[[#This Row],[Categorías]])</f>
        <v>22</v>
      </c>
    </row>
    <row r="110" spans="2:5" x14ac:dyDescent="0.3">
      <c r="B110" t="s">
        <v>462</v>
      </c>
      <c r="C110" t="s">
        <v>479</v>
      </c>
      <c r="E110">
        <f>LEN(Tabla1[[#This Row],[Categorías]])</f>
        <v>22</v>
      </c>
    </row>
    <row r="111" spans="2:5" x14ac:dyDescent="0.3">
      <c r="B111" t="s">
        <v>462</v>
      </c>
      <c r="C111" t="s">
        <v>483</v>
      </c>
      <c r="E111">
        <f>LEN(Tabla1[[#This Row],[Categorías]])</f>
        <v>23</v>
      </c>
    </row>
    <row r="112" spans="2:5" x14ac:dyDescent="0.3">
      <c r="B112" t="s">
        <v>462</v>
      </c>
      <c r="C112" t="s">
        <v>481</v>
      </c>
      <c r="E112">
        <f>LEN(Tabla1[[#This Row],[Categorías]])</f>
        <v>24</v>
      </c>
    </row>
    <row r="113" spans="2:5" x14ac:dyDescent="0.3">
      <c r="B113" t="s">
        <v>462</v>
      </c>
      <c r="C113" t="s">
        <v>484</v>
      </c>
      <c r="E113">
        <f>LEN(Tabla1[[#This Row],[Categorías]])</f>
        <v>25</v>
      </c>
    </row>
    <row r="114" spans="2:5" x14ac:dyDescent="0.3">
      <c r="B114" t="s">
        <v>462</v>
      </c>
      <c r="C114" t="s">
        <v>477</v>
      </c>
      <c r="E114">
        <f>LEN(Tabla1[[#This Row],[Categorías]])</f>
        <v>25</v>
      </c>
    </row>
    <row r="115" spans="2:5" x14ac:dyDescent="0.3">
      <c r="B115" t="s">
        <v>462</v>
      </c>
      <c r="C115" t="s">
        <v>478</v>
      </c>
      <c r="E115">
        <f>LEN(Tabla1[[#This Row],[Categorías]])</f>
        <v>21</v>
      </c>
    </row>
    <row r="116" spans="2:5" x14ac:dyDescent="0.3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3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3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3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3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3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3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3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3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3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3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3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3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3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3">
      <c r="B130" t="s">
        <v>443</v>
      </c>
      <c r="C130" t="s">
        <v>83</v>
      </c>
      <c r="E130">
        <f>LEN(Tabla1[[#This Row],[Categorías]])</f>
        <v>89</v>
      </c>
    </row>
    <row r="131" spans="2:5" x14ac:dyDescent="0.3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3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3">
      <c r="B133" t="s">
        <v>443</v>
      </c>
      <c r="C133" t="s">
        <v>206</v>
      </c>
      <c r="E133">
        <f>LEN(Tabla1[[#This Row],[Categorías]])</f>
        <v>71</v>
      </c>
    </row>
    <row r="134" spans="2:5" x14ac:dyDescent="0.3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3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3">
      <c r="B136" t="s">
        <v>443</v>
      </c>
      <c r="C136" t="s">
        <v>89</v>
      </c>
      <c r="E136">
        <f>LEN(Tabla1[[#This Row],[Categorías]])</f>
        <v>71</v>
      </c>
    </row>
    <row r="137" spans="2:5" x14ac:dyDescent="0.3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3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3">
      <c r="B139" t="s">
        <v>443</v>
      </c>
      <c r="C139" t="s">
        <v>88</v>
      </c>
      <c r="E139">
        <f>LEN(Tabla1[[#This Row],[Categorías]])</f>
        <v>115</v>
      </c>
    </row>
    <row r="140" spans="2:5" x14ac:dyDescent="0.3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3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3">
      <c r="B142" t="s">
        <v>443</v>
      </c>
      <c r="C142" t="s">
        <v>87</v>
      </c>
      <c r="E142">
        <f>LEN(Tabla1[[#This Row],[Categorías]])</f>
        <v>66</v>
      </c>
    </row>
    <row r="143" spans="2:5" x14ac:dyDescent="0.3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3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3">
      <c r="B145" t="s">
        <v>443</v>
      </c>
      <c r="C145" t="s">
        <v>85</v>
      </c>
      <c r="E145">
        <f>LEN(Tabla1[[#This Row],[Categorías]])</f>
        <v>76</v>
      </c>
    </row>
    <row r="146" spans="2:5" x14ac:dyDescent="0.3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3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3">
      <c r="B148" t="s">
        <v>443</v>
      </c>
      <c r="C148" t="s">
        <v>84</v>
      </c>
      <c r="E148">
        <f>LEN(Tabla1[[#This Row],[Categorías]])</f>
        <v>91</v>
      </c>
    </row>
    <row r="149" spans="2:5" x14ac:dyDescent="0.3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3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3">
      <c r="B151" t="s">
        <v>443</v>
      </c>
      <c r="C151" t="s">
        <v>86</v>
      </c>
      <c r="E151">
        <f>LEN(Tabla1[[#This Row],[Categorías]])</f>
        <v>70</v>
      </c>
    </row>
    <row r="152" spans="2:5" x14ac:dyDescent="0.3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3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3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3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3">
      <c r="B156" t="s">
        <v>443</v>
      </c>
      <c r="C156" t="s">
        <v>144</v>
      </c>
      <c r="E156">
        <f>LEN(Tabla1[[#This Row],[Categorías]])</f>
        <v>195</v>
      </c>
    </row>
    <row r="157" spans="2:5" x14ac:dyDescent="0.3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3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3">
      <c r="B159" t="s">
        <v>443</v>
      </c>
      <c r="C159" t="s">
        <v>143</v>
      </c>
      <c r="E159">
        <f>LEN(Tabla1[[#This Row],[Categorías]])</f>
        <v>186</v>
      </c>
    </row>
    <row r="160" spans="2:5" x14ac:dyDescent="0.3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3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3">
      <c r="B162" t="s">
        <v>443</v>
      </c>
      <c r="C162" t="s">
        <v>308</v>
      </c>
      <c r="E162">
        <f>LEN(Tabla1[[#This Row],[Categorías]])</f>
        <v>187</v>
      </c>
    </row>
    <row r="163" spans="2:5" x14ac:dyDescent="0.3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3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3">
      <c r="B165" t="s">
        <v>443</v>
      </c>
      <c r="C165" t="s">
        <v>146</v>
      </c>
      <c r="E165">
        <f>LEN(Tabla1[[#This Row],[Categorías]])</f>
        <v>122</v>
      </c>
    </row>
    <row r="166" spans="2:5" x14ac:dyDescent="0.3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3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3">
      <c r="B168" t="s">
        <v>443</v>
      </c>
      <c r="C168" t="s">
        <v>213</v>
      </c>
      <c r="E168">
        <f>LEN(Tabla1[[#This Row],[Categorías]])</f>
        <v>98</v>
      </c>
    </row>
    <row r="169" spans="2:5" x14ac:dyDescent="0.3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3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3">
      <c r="B171" t="s">
        <v>443</v>
      </c>
      <c r="C171" t="s">
        <v>148</v>
      </c>
      <c r="E171">
        <f>LEN(Tabla1[[#This Row],[Categorías]])</f>
        <v>98</v>
      </c>
    </row>
    <row r="172" spans="2:5" x14ac:dyDescent="0.3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3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3">
      <c r="B174" t="s">
        <v>443</v>
      </c>
      <c r="C174" t="s">
        <v>147</v>
      </c>
      <c r="E174">
        <f>LEN(Tabla1[[#This Row],[Categorías]])</f>
        <v>169</v>
      </c>
    </row>
    <row r="175" spans="2:5" x14ac:dyDescent="0.3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3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3">
      <c r="B177" t="s">
        <v>443</v>
      </c>
      <c r="C177" t="s">
        <v>142</v>
      </c>
      <c r="E177">
        <f>LEN(Tabla1[[#This Row],[Categorías]])</f>
        <v>177</v>
      </c>
    </row>
    <row r="178" spans="2:5" x14ac:dyDescent="0.3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3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3">
      <c r="B180" t="s">
        <v>443</v>
      </c>
      <c r="C180" t="s">
        <v>307</v>
      </c>
      <c r="E180">
        <f>LEN(Tabla1[[#This Row],[Categorías]])</f>
        <v>178</v>
      </c>
    </row>
    <row r="181" spans="2:5" x14ac:dyDescent="0.3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3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3">
      <c r="B183" t="s">
        <v>443</v>
      </c>
      <c r="C183" t="s">
        <v>145</v>
      </c>
      <c r="E183">
        <f>LEN(Tabla1[[#This Row],[Categorías]])</f>
        <v>125</v>
      </c>
    </row>
    <row r="184" spans="2:5" x14ac:dyDescent="0.3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3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3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3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3">
      <c r="B188" t="s">
        <v>443</v>
      </c>
      <c r="C188" t="s">
        <v>134</v>
      </c>
      <c r="E188">
        <f>LEN(Tabla1[[#This Row],[Categorías]])</f>
        <v>67</v>
      </c>
    </row>
    <row r="189" spans="2:5" x14ac:dyDescent="0.3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3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3">
      <c r="B191" t="s">
        <v>443</v>
      </c>
      <c r="C191" t="s">
        <v>212</v>
      </c>
      <c r="E191">
        <f>LEN(Tabla1[[#This Row],[Categorías]])</f>
        <v>62</v>
      </c>
    </row>
    <row r="192" spans="2:5" x14ac:dyDescent="0.3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3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3">
      <c r="B194" t="s">
        <v>443</v>
      </c>
      <c r="C194" t="s">
        <v>136</v>
      </c>
      <c r="E194">
        <f>LEN(Tabla1[[#This Row],[Categorías]])</f>
        <v>62</v>
      </c>
    </row>
    <row r="195" spans="2:5" x14ac:dyDescent="0.3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3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3">
      <c r="B197" t="s">
        <v>443</v>
      </c>
      <c r="C197" t="s">
        <v>135</v>
      </c>
      <c r="E197">
        <f>LEN(Tabla1[[#This Row],[Categorías]])</f>
        <v>97</v>
      </c>
    </row>
    <row r="198" spans="2:5" x14ac:dyDescent="0.3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3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3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3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3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3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3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3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3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3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3">
      <c r="B208" t="s">
        <v>443</v>
      </c>
      <c r="C208" t="s">
        <v>156</v>
      </c>
      <c r="E208">
        <f>LEN(Tabla1[[#This Row],[Categorías]])</f>
        <v>54</v>
      </c>
    </row>
    <row r="209" spans="2:5" x14ac:dyDescent="0.3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3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3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3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3">
      <c r="B213" t="s">
        <v>443</v>
      </c>
      <c r="C213" t="s">
        <v>101</v>
      </c>
      <c r="E213">
        <f>LEN(Tabla1[[#This Row],[Categorías]])</f>
        <v>108</v>
      </c>
    </row>
    <row r="214" spans="2:5" x14ac:dyDescent="0.3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3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3">
      <c r="B216" t="s">
        <v>443</v>
      </c>
      <c r="C216" t="s">
        <v>312</v>
      </c>
      <c r="E216">
        <f>LEN(Tabla1[[#This Row],[Categorías]])</f>
        <v>109</v>
      </c>
    </row>
    <row r="217" spans="2:5" x14ac:dyDescent="0.3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3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3">
      <c r="B219" t="s">
        <v>443</v>
      </c>
      <c r="C219" t="s">
        <v>208</v>
      </c>
      <c r="E219">
        <f>LEN(Tabla1[[#This Row],[Categorías]])</f>
        <v>101</v>
      </c>
    </row>
    <row r="220" spans="2:5" x14ac:dyDescent="0.3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3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3">
      <c r="B222" t="s">
        <v>443</v>
      </c>
      <c r="C222" t="s">
        <v>104</v>
      </c>
      <c r="E222">
        <f>LEN(Tabla1[[#This Row],[Categorías]])</f>
        <v>101</v>
      </c>
    </row>
    <row r="223" spans="2:5" x14ac:dyDescent="0.3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3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3">
      <c r="B225" t="s">
        <v>443</v>
      </c>
      <c r="C225" t="s">
        <v>248</v>
      </c>
      <c r="E225">
        <f>LEN(Tabla1[[#This Row],[Categorías]])</f>
        <v>91</v>
      </c>
    </row>
    <row r="226" spans="2:5" x14ac:dyDescent="0.3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3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3">
      <c r="B228" t="s">
        <v>443</v>
      </c>
      <c r="C228" t="s">
        <v>103</v>
      </c>
      <c r="E228">
        <f>LEN(Tabla1[[#This Row],[Categorías]])</f>
        <v>175</v>
      </c>
    </row>
    <row r="229" spans="2:5" x14ac:dyDescent="0.3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3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3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3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3">
      <c r="B233" t="s">
        <v>443</v>
      </c>
      <c r="C233" t="s">
        <v>100</v>
      </c>
      <c r="E233">
        <f>LEN(Tabla1[[#This Row],[Categorías]])</f>
        <v>143</v>
      </c>
    </row>
    <row r="234" spans="2:5" x14ac:dyDescent="0.3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3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3">
      <c r="B236" t="s">
        <v>443</v>
      </c>
      <c r="C236" t="s">
        <v>99</v>
      </c>
      <c r="E236">
        <f>LEN(Tabla1[[#This Row],[Categorías]])</f>
        <v>115</v>
      </c>
    </row>
    <row r="237" spans="2:5" x14ac:dyDescent="0.3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3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3">
      <c r="B239" t="s">
        <v>443</v>
      </c>
      <c r="C239" t="s">
        <v>102</v>
      </c>
      <c r="E239">
        <f>LEN(Tabla1[[#This Row],[Categorías]])</f>
        <v>110</v>
      </c>
    </row>
    <row r="240" spans="2:5" x14ac:dyDescent="0.3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3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3">
      <c r="B242" t="s">
        <v>443</v>
      </c>
      <c r="C242" t="s">
        <v>306</v>
      </c>
      <c r="E242">
        <f>LEN(Tabla1[[#This Row],[Categorías]])</f>
        <v>111</v>
      </c>
    </row>
    <row r="243" spans="2:5" x14ac:dyDescent="0.3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3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3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3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3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3">
      <c r="B248" t="s">
        <v>443</v>
      </c>
      <c r="C248" t="s">
        <v>161</v>
      </c>
      <c r="E248">
        <f>LEN(Tabla1[[#This Row],[Categorías]])</f>
        <v>127</v>
      </c>
    </row>
    <row r="249" spans="2:5" x14ac:dyDescent="0.3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3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3">
      <c r="B251" t="s">
        <v>443</v>
      </c>
      <c r="C251" t="s">
        <v>162</v>
      </c>
      <c r="E251">
        <f>LEN(Tabla1[[#This Row],[Categorías]])</f>
        <v>105</v>
      </c>
    </row>
    <row r="252" spans="2:5" x14ac:dyDescent="0.3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3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3">
      <c r="B254" t="s">
        <v>443</v>
      </c>
      <c r="C254" t="s">
        <v>163</v>
      </c>
      <c r="E254">
        <f>LEN(Tabla1[[#This Row],[Categorías]])</f>
        <v>150</v>
      </c>
    </row>
    <row r="255" spans="2:5" x14ac:dyDescent="0.3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3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3">
      <c r="B257" t="s">
        <v>443</v>
      </c>
      <c r="C257" t="s">
        <v>215</v>
      </c>
      <c r="E257">
        <f>LEN(Tabla1[[#This Row],[Categorías]])</f>
        <v>94</v>
      </c>
    </row>
    <row r="258" spans="2:5" x14ac:dyDescent="0.3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3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3">
      <c r="B260" t="s">
        <v>443</v>
      </c>
      <c r="C260" t="s">
        <v>165</v>
      </c>
      <c r="E260">
        <f>LEN(Tabla1[[#This Row],[Categorías]])</f>
        <v>94</v>
      </c>
    </row>
    <row r="261" spans="2:5" x14ac:dyDescent="0.3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3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3">
      <c r="B263" t="s">
        <v>443</v>
      </c>
      <c r="C263" t="s">
        <v>164</v>
      </c>
      <c r="E263">
        <f>LEN(Tabla1[[#This Row],[Categorías]])</f>
        <v>161</v>
      </c>
    </row>
    <row r="264" spans="2:5" x14ac:dyDescent="0.3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3">
      <c r="B265" t="s">
        <v>443</v>
      </c>
      <c r="C265" t="s">
        <v>377</v>
      </c>
      <c r="E265">
        <f>LEN(Tabla1[[#This Row],[Categorías]])</f>
        <v>68</v>
      </c>
    </row>
    <row r="266" spans="2:5" x14ac:dyDescent="0.3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3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3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3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3">
      <c r="B270" t="s">
        <v>443</v>
      </c>
      <c r="C270" t="s">
        <v>115</v>
      </c>
      <c r="E270">
        <f>LEN(Tabla1[[#This Row],[Categorías]])</f>
        <v>34</v>
      </c>
    </row>
    <row r="271" spans="2:5" x14ac:dyDescent="0.3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3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3">
      <c r="B273" t="s">
        <v>443</v>
      </c>
      <c r="C273" t="s">
        <v>138</v>
      </c>
      <c r="E273">
        <f>LEN(Tabla1[[#This Row],[Categorías]])</f>
        <v>19</v>
      </c>
    </row>
    <row r="274" spans="2:5" x14ac:dyDescent="0.3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3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3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3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3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3">
      <c r="B279" t="s">
        <v>443</v>
      </c>
      <c r="C279" t="s">
        <v>378</v>
      </c>
      <c r="E279">
        <f>LEN(Tabla1[[#This Row],[Categorías]])</f>
        <v>80</v>
      </c>
    </row>
    <row r="280" spans="2:5" x14ac:dyDescent="0.3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3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3">
      <c r="B282" t="s">
        <v>443</v>
      </c>
      <c r="C282" t="s">
        <v>114</v>
      </c>
      <c r="E282">
        <f>LEN(Tabla1[[#This Row],[Categorías]])</f>
        <v>48</v>
      </c>
    </row>
    <row r="283" spans="2:5" x14ac:dyDescent="0.3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3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3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3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3">
      <c r="B287" t="s">
        <v>443</v>
      </c>
      <c r="C287" t="s">
        <v>118</v>
      </c>
      <c r="E287">
        <f>LEN(Tabla1[[#This Row],[Categorías]])</f>
        <v>97</v>
      </c>
    </row>
    <row r="288" spans="2:5" x14ac:dyDescent="0.3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3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3">
      <c r="B290" t="s">
        <v>443</v>
      </c>
      <c r="C290" t="s">
        <v>210</v>
      </c>
      <c r="E290">
        <f>LEN(Tabla1[[#This Row],[Categorías]])</f>
        <v>89</v>
      </c>
    </row>
    <row r="291" spans="2:5" x14ac:dyDescent="0.3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3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3">
      <c r="B293" t="s">
        <v>443</v>
      </c>
      <c r="C293" t="s">
        <v>121</v>
      </c>
      <c r="E293">
        <f>LEN(Tabla1[[#This Row],[Categorías]])</f>
        <v>89</v>
      </c>
    </row>
    <row r="294" spans="2:5" x14ac:dyDescent="0.3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3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3">
      <c r="B296" t="s">
        <v>443</v>
      </c>
      <c r="C296" t="s">
        <v>120</v>
      </c>
      <c r="E296">
        <f>LEN(Tabla1[[#This Row],[Categorías]])</f>
        <v>151</v>
      </c>
    </row>
    <row r="297" spans="2:5" x14ac:dyDescent="0.3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3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3">
      <c r="B299" t="s">
        <v>443</v>
      </c>
      <c r="C299" t="s">
        <v>116</v>
      </c>
      <c r="E299">
        <f>LEN(Tabla1[[#This Row],[Categorías]])</f>
        <v>100</v>
      </c>
    </row>
    <row r="300" spans="2:5" x14ac:dyDescent="0.3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3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3">
      <c r="B302" t="s">
        <v>443</v>
      </c>
      <c r="C302" t="s">
        <v>117</v>
      </c>
      <c r="E302">
        <f>LEN(Tabla1[[#This Row],[Categorías]])</f>
        <v>123</v>
      </c>
    </row>
    <row r="303" spans="2:5" x14ac:dyDescent="0.3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3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3">
      <c r="B305" t="s">
        <v>443</v>
      </c>
      <c r="C305" t="s">
        <v>119</v>
      </c>
      <c r="E305">
        <f>LEN(Tabla1[[#This Row],[Categorías]])</f>
        <v>142</v>
      </c>
    </row>
    <row r="306" spans="2:5" x14ac:dyDescent="0.3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3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3">
      <c r="B308" t="s">
        <v>443</v>
      </c>
      <c r="C308" t="s">
        <v>153</v>
      </c>
      <c r="E308">
        <f>LEN(Tabla1[[#This Row],[Categorías]])</f>
        <v>39</v>
      </c>
    </row>
    <row r="309" spans="2:5" x14ac:dyDescent="0.3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3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3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3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3">
      <c r="B313" t="s">
        <v>443</v>
      </c>
      <c r="C313" t="s">
        <v>69</v>
      </c>
      <c r="E313">
        <f>LEN(Tabla1[[#This Row],[Categorías]])</f>
        <v>102</v>
      </c>
    </row>
    <row r="314" spans="2:5" x14ac:dyDescent="0.3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3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3">
      <c r="B316" t="s">
        <v>443</v>
      </c>
      <c r="C316" t="s">
        <v>204</v>
      </c>
      <c r="E316">
        <f>LEN(Tabla1[[#This Row],[Categorías]])</f>
        <v>69</v>
      </c>
    </row>
    <row r="317" spans="2:5" x14ac:dyDescent="0.3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3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3">
      <c r="B319" t="s">
        <v>443</v>
      </c>
      <c r="C319" t="s">
        <v>72</v>
      </c>
      <c r="E319">
        <f>LEN(Tabla1[[#This Row],[Categorías]])</f>
        <v>69</v>
      </c>
    </row>
    <row r="320" spans="2:5" x14ac:dyDescent="0.3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3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3">
      <c r="B322" t="s">
        <v>443</v>
      </c>
      <c r="C322" t="s">
        <v>71</v>
      </c>
      <c r="E322">
        <f>LEN(Tabla1[[#This Row],[Categorías]])</f>
        <v>111</v>
      </c>
    </row>
    <row r="323" spans="2:5" x14ac:dyDescent="0.3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3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3">
      <c r="B325" t="s">
        <v>443</v>
      </c>
      <c r="C325" t="s">
        <v>70</v>
      </c>
      <c r="E325">
        <f>LEN(Tabla1[[#This Row],[Categorías]])</f>
        <v>103</v>
      </c>
    </row>
    <row r="326" spans="2:5" x14ac:dyDescent="0.3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3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3">
      <c r="B328" t="s">
        <v>443</v>
      </c>
      <c r="C328" t="s">
        <v>68</v>
      </c>
      <c r="E328">
        <f>LEN(Tabla1[[#This Row],[Categorías]])</f>
        <v>98</v>
      </c>
    </row>
    <row r="329" spans="2:5" x14ac:dyDescent="0.3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3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3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3">
      <c r="B332" t="s">
        <v>443</v>
      </c>
      <c r="C332" t="s">
        <v>154</v>
      </c>
      <c r="E332">
        <f>LEN(Tabla1[[#This Row],[Categorías]])</f>
        <v>76</v>
      </c>
    </row>
    <row r="333" spans="2:5" x14ac:dyDescent="0.3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3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3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3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3">
      <c r="B337" t="s">
        <v>443</v>
      </c>
      <c r="C337" t="s">
        <v>214</v>
      </c>
      <c r="E337">
        <f>LEN(Tabla1[[#This Row],[Categorías]])</f>
        <v>49</v>
      </c>
    </row>
    <row r="338" spans="2:5" x14ac:dyDescent="0.3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3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3">
      <c r="B340" t="s">
        <v>443</v>
      </c>
      <c r="C340" t="s">
        <v>152</v>
      </c>
      <c r="E340">
        <f>LEN(Tabla1[[#This Row],[Categorías]])</f>
        <v>49</v>
      </c>
    </row>
    <row r="341" spans="2:5" x14ac:dyDescent="0.3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3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3">
      <c r="B343" t="s">
        <v>443</v>
      </c>
      <c r="C343" t="s">
        <v>151</v>
      </c>
      <c r="E343">
        <f>LEN(Tabla1[[#This Row],[Categorías]])</f>
        <v>71</v>
      </c>
    </row>
    <row r="344" spans="2:5" x14ac:dyDescent="0.3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3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3">
      <c r="B346" t="s">
        <v>443</v>
      </c>
      <c r="C346" t="s">
        <v>150</v>
      </c>
      <c r="E346">
        <f>LEN(Tabla1[[#This Row],[Categorías]])</f>
        <v>59</v>
      </c>
    </row>
    <row r="347" spans="2:5" x14ac:dyDescent="0.3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3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3">
      <c r="B349" t="s">
        <v>443</v>
      </c>
      <c r="C349" t="s">
        <v>155</v>
      </c>
      <c r="E349">
        <f>LEN(Tabla1[[#This Row],[Categorías]])</f>
        <v>42</v>
      </c>
    </row>
    <row r="350" spans="2:5" x14ac:dyDescent="0.3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3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3">
      <c r="B352" t="s">
        <v>443</v>
      </c>
      <c r="C352" t="s">
        <v>149</v>
      </c>
      <c r="E352">
        <f>LEN(Tabla1[[#This Row],[Categorías]])</f>
        <v>60</v>
      </c>
    </row>
    <row r="353" spans="2:5" x14ac:dyDescent="0.3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3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3">
      <c r="B355" t="s">
        <v>443</v>
      </c>
      <c r="C355" t="s">
        <v>137</v>
      </c>
      <c r="E355">
        <f>LEN(Tabla1[[#This Row],[Categorías]])</f>
        <v>25</v>
      </c>
    </row>
    <row r="356" spans="2:5" x14ac:dyDescent="0.3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3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3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3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3">
      <c r="B360" t="s">
        <v>443</v>
      </c>
      <c r="C360" t="s">
        <v>108</v>
      </c>
      <c r="E360">
        <f>LEN(Tabla1[[#This Row],[Categorías]])</f>
        <v>86</v>
      </c>
    </row>
    <row r="361" spans="2:5" x14ac:dyDescent="0.3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3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3">
      <c r="B363" t="s">
        <v>443</v>
      </c>
      <c r="C363" t="s">
        <v>209</v>
      </c>
      <c r="E363">
        <f>LEN(Tabla1[[#This Row],[Categorías]])</f>
        <v>79</v>
      </c>
    </row>
    <row r="364" spans="2:5" x14ac:dyDescent="0.3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3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3">
      <c r="B366" t="s">
        <v>443</v>
      </c>
      <c r="C366" t="s">
        <v>112</v>
      </c>
      <c r="E366">
        <f>LEN(Tabla1[[#This Row],[Categorías]])</f>
        <v>79</v>
      </c>
    </row>
    <row r="367" spans="2:5" x14ac:dyDescent="0.3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3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3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3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3">
      <c r="B371" t="s">
        <v>443</v>
      </c>
      <c r="C371" t="s">
        <v>111</v>
      </c>
      <c r="E371">
        <f>LEN(Tabla1[[#This Row],[Categorías]])</f>
        <v>131</v>
      </c>
    </row>
    <row r="372" spans="2:5" x14ac:dyDescent="0.3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3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3">
      <c r="B374" t="s">
        <v>443</v>
      </c>
      <c r="C374" t="s">
        <v>110</v>
      </c>
      <c r="E374">
        <f>LEN(Tabla1[[#This Row],[Categorías]])</f>
        <v>86</v>
      </c>
    </row>
    <row r="375" spans="2:5" x14ac:dyDescent="0.3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3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3">
      <c r="B377" t="s">
        <v>443</v>
      </c>
      <c r="C377" t="s">
        <v>105</v>
      </c>
      <c r="E377">
        <f>LEN(Tabla1[[#This Row],[Categorías]])</f>
        <v>88</v>
      </c>
    </row>
    <row r="378" spans="2:5" x14ac:dyDescent="0.3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3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3">
      <c r="B380" t="s">
        <v>443</v>
      </c>
      <c r="C380" t="s">
        <v>109</v>
      </c>
      <c r="E380">
        <f>LEN(Tabla1[[#This Row],[Categorías]])</f>
        <v>88</v>
      </c>
    </row>
    <row r="381" spans="2:5" x14ac:dyDescent="0.3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3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3">
      <c r="B383" t="s">
        <v>443</v>
      </c>
      <c r="C383" t="s">
        <v>107</v>
      </c>
      <c r="E383">
        <f>LEN(Tabla1[[#This Row],[Categorías]])</f>
        <v>85</v>
      </c>
    </row>
    <row r="384" spans="2:5" x14ac:dyDescent="0.3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3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3">
      <c r="B386" t="s">
        <v>443</v>
      </c>
      <c r="C386" t="s">
        <v>106</v>
      </c>
      <c r="E386">
        <f>LEN(Tabla1[[#This Row],[Categorías]])</f>
        <v>88</v>
      </c>
    </row>
    <row r="387" spans="2:5" x14ac:dyDescent="0.3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3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3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3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3">
      <c r="B391" t="s">
        <v>443</v>
      </c>
      <c r="C391" t="s">
        <v>126</v>
      </c>
      <c r="E391">
        <f>LEN(Tabla1[[#This Row],[Categorías]])</f>
        <v>53</v>
      </c>
    </row>
    <row r="392" spans="2:5" x14ac:dyDescent="0.3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3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3">
      <c r="B394" t="s">
        <v>443</v>
      </c>
      <c r="C394" t="s">
        <v>127</v>
      </c>
      <c r="E394">
        <f>LEN(Tabla1[[#This Row],[Categorías]])</f>
        <v>42</v>
      </c>
    </row>
    <row r="395" spans="2:5" x14ac:dyDescent="0.3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3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3">
      <c r="B397" t="s">
        <v>443</v>
      </c>
      <c r="C397" t="s">
        <v>130</v>
      </c>
      <c r="E397">
        <f>LEN(Tabla1[[#This Row],[Categorías]])</f>
        <v>65</v>
      </c>
    </row>
    <row r="398" spans="2:5" x14ac:dyDescent="0.3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3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3">
      <c r="B400" t="s">
        <v>443</v>
      </c>
      <c r="C400" t="s">
        <v>125</v>
      </c>
      <c r="E400">
        <f>LEN(Tabla1[[#This Row],[Categorías]])</f>
        <v>74</v>
      </c>
    </row>
    <row r="401" spans="2:5" x14ac:dyDescent="0.3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3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3">
      <c r="B403" t="s">
        <v>443</v>
      </c>
      <c r="C403" t="s">
        <v>129</v>
      </c>
      <c r="E403">
        <f>LEN(Tabla1[[#This Row],[Categorías]])</f>
        <v>58</v>
      </c>
    </row>
    <row r="404" spans="2:5" x14ac:dyDescent="0.3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3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3">
      <c r="B406" t="s">
        <v>443</v>
      </c>
      <c r="C406" t="s">
        <v>211</v>
      </c>
      <c r="E406">
        <f>LEN(Tabla1[[#This Row],[Categorías]])</f>
        <v>50</v>
      </c>
    </row>
    <row r="407" spans="2:5" x14ac:dyDescent="0.3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3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3">
      <c r="B409" t="s">
        <v>443</v>
      </c>
      <c r="C409" t="s">
        <v>133</v>
      </c>
      <c r="E409">
        <f>LEN(Tabla1[[#This Row],[Categorías]])</f>
        <v>50</v>
      </c>
    </row>
    <row r="410" spans="2:5" x14ac:dyDescent="0.3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3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3">
      <c r="B412" t="s">
        <v>443</v>
      </c>
      <c r="C412" t="s">
        <v>132</v>
      </c>
      <c r="E412">
        <f>LEN(Tabla1[[#This Row],[Categorías]])</f>
        <v>73</v>
      </c>
    </row>
    <row r="413" spans="2:5" x14ac:dyDescent="0.3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3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3">
      <c r="B415" t="s">
        <v>443</v>
      </c>
      <c r="C415" t="s">
        <v>128</v>
      </c>
      <c r="E415">
        <f>LEN(Tabla1[[#This Row],[Categorías]])</f>
        <v>43</v>
      </c>
    </row>
    <row r="416" spans="2:5" x14ac:dyDescent="0.3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3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3">
      <c r="B418" t="s">
        <v>443</v>
      </c>
      <c r="C418" t="s">
        <v>131</v>
      </c>
      <c r="E418">
        <f>LEN(Tabla1[[#This Row],[Categorías]])</f>
        <v>57</v>
      </c>
    </row>
    <row r="419" spans="2:5" x14ac:dyDescent="0.3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3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3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3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3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3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3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3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3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3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3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3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3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3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3">
      <c r="B433" t="s">
        <v>443</v>
      </c>
      <c r="C433" t="s">
        <v>349</v>
      </c>
      <c r="E433">
        <f>LEN(Tabla1[[#This Row],[Categorías]])</f>
        <v>20</v>
      </c>
    </row>
    <row r="434" spans="2:5" x14ac:dyDescent="0.3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3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3">
      <c r="B436" t="s">
        <v>443</v>
      </c>
      <c r="C436" t="s">
        <v>33</v>
      </c>
      <c r="E436">
        <f>LEN(Tabla1[[#This Row],[Categorías]])</f>
        <v>32</v>
      </c>
    </row>
    <row r="437" spans="2:5" x14ac:dyDescent="0.3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3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3">
      <c r="B439" t="s">
        <v>443</v>
      </c>
      <c r="C439" t="s">
        <v>78</v>
      </c>
      <c r="E439">
        <f>LEN(Tabla1[[#This Row],[Categorías]])</f>
        <v>7</v>
      </c>
    </row>
    <row r="440" spans="2:5" x14ac:dyDescent="0.3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3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3">
      <c r="B442" t="s">
        <v>443</v>
      </c>
      <c r="C442" t="s">
        <v>96</v>
      </c>
      <c r="E442">
        <f>LEN(Tabla1[[#This Row],[Categorías]])</f>
        <v>14</v>
      </c>
    </row>
    <row r="443" spans="2:5" x14ac:dyDescent="0.3">
      <c r="B443" t="s">
        <v>485</v>
      </c>
      <c r="C443" t="s">
        <v>493</v>
      </c>
      <c r="E443">
        <f>LEN(Tabla1[[#This Row],[Categorías]])</f>
        <v>9</v>
      </c>
    </row>
    <row r="444" spans="2:5" x14ac:dyDescent="0.3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3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3">
      <c r="B446" t="s">
        <v>443</v>
      </c>
      <c r="C446" t="s">
        <v>258</v>
      </c>
      <c r="E446">
        <f>LEN(Tabla1[[#This Row],[Categorías]])</f>
        <v>30</v>
      </c>
    </row>
    <row r="447" spans="2:5" x14ac:dyDescent="0.3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3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3">
      <c r="B449" t="s">
        <v>443</v>
      </c>
      <c r="C449" t="s">
        <v>254</v>
      </c>
      <c r="E449">
        <f>LEN(Tabla1[[#This Row],[Categorías]])</f>
        <v>39</v>
      </c>
    </row>
    <row r="450" spans="2:5" x14ac:dyDescent="0.3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3">
      <c r="B451" t="s">
        <v>443</v>
      </c>
      <c r="C451" t="s">
        <v>350</v>
      </c>
      <c r="E451">
        <f>LEN(Tabla1[[#This Row],[Categorías]])</f>
        <v>11</v>
      </c>
    </row>
    <row r="452" spans="2:5" x14ac:dyDescent="0.3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3">
      <c r="B453" t="s">
        <v>455</v>
      </c>
      <c r="C453" t="s">
        <v>457</v>
      </c>
      <c r="E453">
        <f>LEN(Tabla1[[#This Row],[Categorías]])</f>
        <v>11</v>
      </c>
    </row>
    <row r="454" spans="2:5" x14ac:dyDescent="0.3">
      <c r="B454" t="s">
        <v>461</v>
      </c>
      <c r="C454" t="s">
        <v>457</v>
      </c>
      <c r="E454">
        <f>LEN(Tabla1[[#This Row],[Categorías]])</f>
        <v>11</v>
      </c>
    </row>
    <row r="455" spans="2:5" x14ac:dyDescent="0.3">
      <c r="B455" t="s">
        <v>455</v>
      </c>
      <c r="C455" t="s">
        <v>459</v>
      </c>
      <c r="E455">
        <f>LEN(Tabla1[[#This Row],[Categorías]])</f>
        <v>39</v>
      </c>
    </row>
    <row r="456" spans="2:5" x14ac:dyDescent="0.3">
      <c r="B456" t="s">
        <v>461</v>
      </c>
      <c r="C456" t="s">
        <v>459</v>
      </c>
      <c r="E456">
        <f>LEN(Tabla1[[#This Row],[Categorías]])</f>
        <v>39</v>
      </c>
    </row>
    <row r="457" spans="2:5" x14ac:dyDescent="0.3">
      <c r="B457" t="s">
        <v>455</v>
      </c>
      <c r="C457" t="s">
        <v>456</v>
      </c>
      <c r="E457">
        <f>LEN(Tabla1[[#This Row],[Categorías]])</f>
        <v>39</v>
      </c>
    </row>
    <row r="458" spans="2:5" x14ac:dyDescent="0.3">
      <c r="B458" t="s">
        <v>461</v>
      </c>
      <c r="C458" t="s">
        <v>456</v>
      </c>
      <c r="E458">
        <f>LEN(Tabla1[[#This Row],[Categorías]])</f>
        <v>39</v>
      </c>
    </row>
    <row r="459" spans="2:5" x14ac:dyDescent="0.3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3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3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3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3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3">
      <c r="B464" t="s">
        <v>455</v>
      </c>
      <c r="C464" t="s">
        <v>458</v>
      </c>
      <c r="E464">
        <f>LEN(Tabla1[[#This Row],[Categorías]])</f>
        <v>24</v>
      </c>
    </row>
    <row r="465" spans="2:5" x14ac:dyDescent="0.3">
      <c r="B465" t="s">
        <v>461</v>
      </c>
      <c r="C465" t="s">
        <v>458</v>
      </c>
      <c r="E465">
        <f>LEN(Tabla1[[#This Row],[Categorías]])</f>
        <v>24</v>
      </c>
    </row>
    <row r="466" spans="2:5" x14ac:dyDescent="0.3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3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3">
      <c r="B468" t="s">
        <v>443</v>
      </c>
      <c r="C468" t="s">
        <v>157</v>
      </c>
      <c r="E468">
        <f>LEN(Tabla1[[#This Row],[Categorías]])</f>
        <v>13</v>
      </c>
    </row>
    <row r="469" spans="2:5" x14ac:dyDescent="0.3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3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3">
      <c r="B471" t="s">
        <v>443</v>
      </c>
      <c r="C471" t="s">
        <v>309</v>
      </c>
      <c r="E471">
        <f>LEN(Tabla1[[#This Row],[Categorías]])</f>
        <v>14</v>
      </c>
    </row>
    <row r="472" spans="2:5" x14ac:dyDescent="0.3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3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3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3">
      <c r="B475" t="s">
        <v>462</v>
      </c>
      <c r="C475" t="s">
        <v>464</v>
      </c>
      <c r="E475">
        <f>LEN(Tabla1[[#This Row],[Categorías]])</f>
        <v>14</v>
      </c>
    </row>
    <row r="476" spans="2:5" x14ac:dyDescent="0.3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3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3">
      <c r="B478" t="s">
        <v>443</v>
      </c>
      <c r="C478" t="s">
        <v>47</v>
      </c>
      <c r="E478">
        <f>LEN(Tabla1[[#This Row],[Categorías]])</f>
        <v>7</v>
      </c>
    </row>
    <row r="479" spans="2:5" x14ac:dyDescent="0.3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3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3">
      <c r="B481" t="s">
        <v>443</v>
      </c>
      <c r="C481" t="s">
        <v>113</v>
      </c>
      <c r="E481">
        <f>LEN(Tabla1[[#This Row],[Categorías]])</f>
        <v>17</v>
      </c>
    </row>
    <row r="482" spans="2:5" x14ac:dyDescent="0.3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3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3">
      <c r="B484" t="s">
        <v>443</v>
      </c>
      <c r="C484" t="s">
        <v>178</v>
      </c>
      <c r="E484">
        <f>LEN(Tabla1[[#This Row],[Categorías]])</f>
        <v>9</v>
      </c>
    </row>
    <row r="485" spans="2:5" x14ac:dyDescent="0.3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3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3">
      <c r="B487" t="s">
        <v>443</v>
      </c>
      <c r="C487" t="s">
        <v>74</v>
      </c>
      <c r="E487">
        <f>LEN(Tabla1[[#This Row],[Categorías]])</f>
        <v>102</v>
      </c>
    </row>
    <row r="488" spans="2:5" x14ac:dyDescent="0.3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3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3">
      <c r="B490" t="s">
        <v>443</v>
      </c>
      <c r="C490" t="s">
        <v>205</v>
      </c>
      <c r="E490">
        <f>LEN(Tabla1[[#This Row],[Categorías]])</f>
        <v>27</v>
      </c>
    </row>
    <row r="491" spans="2:5" x14ac:dyDescent="0.3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3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3">
      <c r="B493" t="s">
        <v>443</v>
      </c>
      <c r="C493" t="s">
        <v>76</v>
      </c>
      <c r="E493">
        <f>LEN(Tabla1[[#This Row],[Categorías]])</f>
        <v>27</v>
      </c>
    </row>
    <row r="494" spans="2:5" x14ac:dyDescent="0.3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3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3">
      <c r="B496" t="s">
        <v>443</v>
      </c>
      <c r="C496" t="s">
        <v>75</v>
      </c>
      <c r="E496">
        <f>LEN(Tabla1[[#This Row],[Categorías]])</f>
        <v>34</v>
      </c>
    </row>
    <row r="497" spans="2:5" x14ac:dyDescent="0.3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3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3">
      <c r="B499" t="s">
        <v>443</v>
      </c>
      <c r="C499" t="s">
        <v>235</v>
      </c>
      <c r="E499">
        <f>LEN(Tabla1[[#This Row],[Categorías]])</f>
        <v>90</v>
      </c>
    </row>
    <row r="500" spans="2:5" x14ac:dyDescent="0.3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3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3">
      <c r="B502" t="s">
        <v>443</v>
      </c>
      <c r="C502" t="s">
        <v>140</v>
      </c>
      <c r="E502">
        <f>LEN(Tabla1[[#This Row],[Categorías]])</f>
        <v>8</v>
      </c>
    </row>
    <row r="503" spans="2:5" x14ac:dyDescent="0.3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3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3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3">
      <c r="B506" t="s">
        <v>443</v>
      </c>
      <c r="C506" t="s">
        <v>141</v>
      </c>
      <c r="E506">
        <f>LEN(Tabla1[[#This Row],[Categorías]])</f>
        <v>13</v>
      </c>
    </row>
    <row r="507" spans="2:5" x14ac:dyDescent="0.3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3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3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3">
      <c r="B510" t="s">
        <v>443</v>
      </c>
      <c r="C510" t="s">
        <v>26</v>
      </c>
      <c r="E510">
        <f>LEN(Tabla1[[#This Row],[Categorías]])</f>
        <v>11</v>
      </c>
    </row>
    <row r="511" spans="2:5" x14ac:dyDescent="0.3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3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3">
      <c r="B513" t="s">
        <v>443</v>
      </c>
      <c r="C513" t="s">
        <v>73</v>
      </c>
      <c r="E513">
        <f>LEN(Tabla1[[#This Row],[Categorías]])</f>
        <v>6</v>
      </c>
    </row>
    <row r="514" spans="2:5" x14ac:dyDescent="0.3">
      <c r="B514" t="s">
        <v>447</v>
      </c>
      <c r="C514" t="s">
        <v>448</v>
      </c>
      <c r="E514">
        <f>LEN(Tabla1[[#This Row],[Categorías]])</f>
        <v>53</v>
      </c>
    </row>
    <row r="515" spans="2:5" x14ac:dyDescent="0.3">
      <c r="B515" t="s">
        <v>462</v>
      </c>
      <c r="C515" t="s">
        <v>468</v>
      </c>
      <c r="E515">
        <f>LEN(Tabla1[[#This Row],[Categorías]])</f>
        <v>12</v>
      </c>
    </row>
    <row r="516" spans="2:5" x14ac:dyDescent="0.3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3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3">
      <c r="B518" t="s">
        <v>443</v>
      </c>
      <c r="C518" t="s">
        <v>25</v>
      </c>
      <c r="E518">
        <f>LEN(Tabla1[[#This Row],[Categorías]])</f>
        <v>9</v>
      </c>
    </row>
    <row r="519" spans="2:5" x14ac:dyDescent="0.3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3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3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3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3">
      <c r="B523" t="s">
        <v>462</v>
      </c>
      <c r="C523" t="s">
        <v>469</v>
      </c>
      <c r="E523">
        <f>LEN(Tabla1[[#This Row],[Categorías]])</f>
        <v>9</v>
      </c>
    </row>
    <row r="524" spans="2:5" x14ac:dyDescent="0.3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3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3">
      <c r="B526" t="s">
        <v>443</v>
      </c>
      <c r="C526" t="s">
        <v>41</v>
      </c>
      <c r="E526">
        <f>LEN(Tabla1[[#This Row],[Categorías]])</f>
        <v>20</v>
      </c>
    </row>
    <row r="527" spans="2:5" x14ac:dyDescent="0.3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3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3">
      <c r="B529" t="s">
        <v>443</v>
      </c>
      <c r="C529" t="s">
        <v>48</v>
      </c>
      <c r="E529">
        <f>LEN(Tabla1[[#This Row],[Categorías]])</f>
        <v>7</v>
      </c>
    </row>
    <row r="530" spans="2:5" x14ac:dyDescent="0.3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3">
      <c r="B531" t="s">
        <v>443</v>
      </c>
      <c r="C531" t="s">
        <v>392</v>
      </c>
      <c r="E531">
        <f>LEN(Tabla1[[#This Row],[Categorías]])</f>
        <v>53</v>
      </c>
    </row>
    <row r="532" spans="2:5" x14ac:dyDescent="0.3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3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3">
      <c r="B534" t="s">
        <v>443</v>
      </c>
      <c r="C534" t="s">
        <v>81</v>
      </c>
      <c r="E534">
        <f>LEN(Tabla1[[#This Row],[Categorías]])</f>
        <v>41</v>
      </c>
    </row>
    <row r="535" spans="2:5" x14ac:dyDescent="0.3">
      <c r="B535" t="s">
        <v>7</v>
      </c>
      <c r="C535" t="s">
        <v>3</v>
      </c>
      <c r="E535">
        <f>LEN(Tabla1[[#This Row],[Categorías]])</f>
        <v>10</v>
      </c>
    </row>
    <row r="536" spans="2:5" x14ac:dyDescent="0.3">
      <c r="B536" t="s">
        <v>8</v>
      </c>
      <c r="C536" t="s">
        <v>3</v>
      </c>
      <c r="E536">
        <f>LEN(Tabla1[[#This Row],[Categorías]])</f>
        <v>10</v>
      </c>
    </row>
    <row r="537" spans="2:5" x14ac:dyDescent="0.3">
      <c r="B537" t="s">
        <v>2</v>
      </c>
      <c r="C537" t="s">
        <v>3</v>
      </c>
      <c r="E537">
        <f>LEN(Tabla1[[#This Row],[Categorías]])</f>
        <v>10</v>
      </c>
    </row>
    <row r="538" spans="2:5" x14ac:dyDescent="0.3">
      <c r="B538" t="s">
        <v>6</v>
      </c>
      <c r="C538" t="s">
        <v>3</v>
      </c>
      <c r="E538">
        <f>LEN(Tabla1[[#This Row],[Categorías]])</f>
        <v>10</v>
      </c>
    </row>
    <row r="539" spans="2:5" x14ac:dyDescent="0.3">
      <c r="B539" t="s">
        <v>9</v>
      </c>
      <c r="C539" t="s">
        <v>3</v>
      </c>
      <c r="E539">
        <f>LEN(Tabla1[[#This Row],[Categorías]])</f>
        <v>10</v>
      </c>
    </row>
    <row r="540" spans="2:5" x14ac:dyDescent="0.3">
      <c r="B540" t="s">
        <v>447</v>
      </c>
      <c r="C540" t="s">
        <v>449</v>
      </c>
      <c r="E540">
        <f>LEN(Tabla1[[#This Row],[Categorías]])</f>
        <v>64</v>
      </c>
    </row>
    <row r="541" spans="2:5" x14ac:dyDescent="0.3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3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3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3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3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3">
      <c r="B546" t="s">
        <v>443</v>
      </c>
      <c r="C546" t="s">
        <v>97</v>
      </c>
      <c r="E546">
        <f>LEN(Tabla1[[#This Row],[Categorías]])</f>
        <v>9</v>
      </c>
    </row>
    <row r="547" spans="2:5" x14ac:dyDescent="0.3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3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3">
      <c r="B549" t="s">
        <v>443</v>
      </c>
      <c r="C549" t="s">
        <v>27</v>
      </c>
      <c r="E549">
        <f>LEN(Tabla1[[#This Row],[Categorías]])</f>
        <v>8</v>
      </c>
    </row>
    <row r="550" spans="2:5" x14ac:dyDescent="0.3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3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3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3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3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3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3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3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3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3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3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3">
      <c r="B561" t="s">
        <v>485</v>
      </c>
      <c r="C561" t="s">
        <v>491</v>
      </c>
      <c r="E561">
        <f>LEN(Tabla1[[#This Row],[Categorías]])</f>
        <v>12</v>
      </c>
    </row>
    <row r="562" spans="2:5" x14ac:dyDescent="0.3">
      <c r="B562" t="s">
        <v>485</v>
      </c>
      <c r="C562" t="s">
        <v>492</v>
      </c>
      <c r="E562">
        <f>LEN(Tabla1[[#This Row],[Categorías]])</f>
        <v>8</v>
      </c>
    </row>
    <row r="563" spans="2:5" x14ac:dyDescent="0.3">
      <c r="B563" t="s">
        <v>447</v>
      </c>
      <c r="C563" t="s">
        <v>452</v>
      </c>
      <c r="E563">
        <f>LEN(Tabla1[[#This Row],[Categorías]])</f>
        <v>87</v>
      </c>
    </row>
    <row r="564" spans="2:5" x14ac:dyDescent="0.3">
      <c r="B564" t="s">
        <v>462</v>
      </c>
      <c r="C564" t="s">
        <v>463</v>
      </c>
      <c r="E564">
        <f>LEN(Tabla1[[#This Row],[Categorías]])</f>
        <v>8</v>
      </c>
    </row>
    <row r="565" spans="2:5" x14ac:dyDescent="0.3">
      <c r="B565" t="s">
        <v>447</v>
      </c>
      <c r="C565" t="s">
        <v>450</v>
      </c>
      <c r="E565">
        <f>LEN(Tabla1[[#This Row],[Categorías]])</f>
        <v>7</v>
      </c>
    </row>
    <row r="566" spans="2:5" x14ac:dyDescent="0.3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3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3">
      <c r="B568" t="s">
        <v>443</v>
      </c>
      <c r="C568" t="s">
        <v>179</v>
      </c>
      <c r="E568">
        <f>LEN(Tabla1[[#This Row],[Categorías]])</f>
        <v>12</v>
      </c>
    </row>
    <row r="569" spans="2:5" x14ac:dyDescent="0.3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3">
      <c r="B570" t="s">
        <v>443</v>
      </c>
      <c r="C570" t="s">
        <v>360</v>
      </c>
      <c r="E570">
        <f>LEN(Tabla1[[#This Row],[Categorías]])</f>
        <v>30</v>
      </c>
    </row>
    <row r="571" spans="2:5" x14ac:dyDescent="0.3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3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3">
      <c r="B573" t="s">
        <v>443</v>
      </c>
      <c r="C573" t="s">
        <v>280</v>
      </c>
      <c r="E573">
        <f>LEN(Tabla1[[#This Row],[Categorías]])</f>
        <v>69</v>
      </c>
    </row>
    <row r="574" spans="2:5" x14ac:dyDescent="0.3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3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3">
      <c r="B576" t="s">
        <v>443</v>
      </c>
      <c r="C576" t="s">
        <v>279</v>
      </c>
      <c r="E576">
        <f>LEN(Tabla1[[#This Row],[Categorías]])</f>
        <v>44</v>
      </c>
    </row>
    <row r="577" spans="2:5" x14ac:dyDescent="0.3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3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3">
      <c r="B579" t="s">
        <v>443</v>
      </c>
      <c r="C579" t="s">
        <v>281</v>
      </c>
      <c r="E579">
        <f>LEN(Tabla1[[#This Row],[Categorías]])</f>
        <v>47</v>
      </c>
    </row>
    <row r="580" spans="2:5" x14ac:dyDescent="0.3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3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3">
      <c r="B582" t="s">
        <v>443</v>
      </c>
      <c r="C582" t="s">
        <v>282</v>
      </c>
      <c r="E582">
        <f>LEN(Tabla1[[#This Row],[Categorías]])</f>
        <v>51</v>
      </c>
    </row>
    <row r="583" spans="2:5" x14ac:dyDescent="0.3">
      <c r="B583" t="s">
        <v>462</v>
      </c>
      <c r="C583" t="s">
        <v>470</v>
      </c>
      <c r="E583">
        <f>LEN(Tabla1[[#This Row],[Categorías]])</f>
        <v>12</v>
      </c>
    </row>
    <row r="584" spans="2:5" x14ac:dyDescent="0.3">
      <c r="B584" t="s">
        <v>485</v>
      </c>
      <c r="C584" t="s">
        <v>486</v>
      </c>
      <c r="E584">
        <f>LEN(Tabla1[[#This Row],[Categorías]])</f>
        <v>7</v>
      </c>
    </row>
    <row r="585" spans="2:5" x14ac:dyDescent="0.3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3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3">
      <c r="B587" t="s">
        <v>443</v>
      </c>
      <c r="C587" t="s">
        <v>180</v>
      </c>
      <c r="E587">
        <f>LEN(Tabla1[[#This Row],[Categorías]])</f>
        <v>15</v>
      </c>
    </row>
    <row r="588" spans="2:5" x14ac:dyDescent="0.3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3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3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3">
      <c r="B591" t="s">
        <v>443</v>
      </c>
      <c r="C591" t="s">
        <v>168</v>
      </c>
      <c r="E591">
        <f>LEN(Tabla1[[#This Row],[Categorías]])</f>
        <v>15</v>
      </c>
    </row>
    <row r="592" spans="2:5" x14ac:dyDescent="0.3">
      <c r="B592" t="s">
        <v>462</v>
      </c>
      <c r="C592" t="s">
        <v>168</v>
      </c>
      <c r="E592">
        <f>LEN(Tabla1[[#This Row],[Categorías]])</f>
        <v>15</v>
      </c>
    </row>
    <row r="593" spans="2:5" x14ac:dyDescent="0.3">
      <c r="B593" t="s">
        <v>485</v>
      </c>
      <c r="C593" t="s">
        <v>168</v>
      </c>
      <c r="E593">
        <f>LEN(Tabla1[[#This Row],[Categorías]])</f>
        <v>15</v>
      </c>
    </row>
    <row r="594" spans="2:5" x14ac:dyDescent="0.3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3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3">
      <c r="B596" t="s">
        <v>443</v>
      </c>
      <c r="C596" t="s">
        <v>158</v>
      </c>
      <c r="E596">
        <f>LEN(Tabla1[[#This Row],[Categorías]])</f>
        <v>47</v>
      </c>
    </row>
    <row r="597" spans="2:5" x14ac:dyDescent="0.3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3">
      <c r="B598" t="s">
        <v>462</v>
      </c>
      <c r="C598" t="s">
        <v>476</v>
      </c>
      <c r="E598">
        <f>LEN(Tabla1[[#This Row],[Categorías]])</f>
        <v>34</v>
      </c>
    </row>
    <row r="599" spans="2:5" x14ac:dyDescent="0.3">
      <c r="B599" t="s">
        <v>462</v>
      </c>
      <c r="C599" t="s">
        <v>482</v>
      </c>
      <c r="E599">
        <f>LEN(Tabla1[[#This Row],[Categorías]])</f>
        <v>34</v>
      </c>
    </row>
    <row r="600" spans="2:5" x14ac:dyDescent="0.3">
      <c r="B600" t="s">
        <v>447</v>
      </c>
      <c r="C600" t="s">
        <v>454</v>
      </c>
      <c r="E600">
        <f>LEN(Tabla1[[#This Row],[Categorías]])</f>
        <v>4</v>
      </c>
    </row>
    <row r="601" spans="2:5" x14ac:dyDescent="0.3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3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3">
      <c r="B603" t="s">
        <v>443</v>
      </c>
      <c r="C603" t="s">
        <v>236</v>
      </c>
      <c r="E603">
        <f>LEN(Tabla1[[#This Row],[Categorías]])</f>
        <v>22</v>
      </c>
    </row>
    <row r="604" spans="2:5" x14ac:dyDescent="0.3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3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3">
      <c r="B606" t="s">
        <v>443</v>
      </c>
      <c r="C606" t="s">
        <v>277</v>
      </c>
      <c r="E606">
        <f>LEN(Tabla1[[#This Row],[Categorías]])</f>
        <v>22</v>
      </c>
    </row>
    <row r="607" spans="2:5" x14ac:dyDescent="0.3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3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3">
      <c r="B609" t="s">
        <v>443</v>
      </c>
      <c r="C609" t="s">
        <v>302</v>
      </c>
      <c r="E609">
        <f>LEN(Tabla1[[#This Row],[Categorías]])</f>
        <v>23</v>
      </c>
    </row>
    <row r="610" spans="2:5" x14ac:dyDescent="0.3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3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3">
      <c r="B612" t="s">
        <v>443</v>
      </c>
      <c r="C612" t="s">
        <v>229</v>
      </c>
      <c r="E612">
        <f>LEN(Tabla1[[#This Row],[Categorías]])</f>
        <v>22</v>
      </c>
    </row>
    <row r="613" spans="2:5" x14ac:dyDescent="0.3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3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3">
      <c r="B615" t="s">
        <v>443</v>
      </c>
      <c r="C615" t="s">
        <v>167</v>
      </c>
      <c r="E615">
        <f>LEN(Tabla1[[#This Row],[Categorías]])</f>
        <v>13</v>
      </c>
    </row>
    <row r="616" spans="2:5" x14ac:dyDescent="0.3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3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3">
      <c r="B618" t="s">
        <v>443</v>
      </c>
      <c r="C618" t="s">
        <v>311</v>
      </c>
      <c r="E618">
        <f>LEN(Tabla1[[#This Row],[Categorías]])</f>
        <v>14</v>
      </c>
    </row>
    <row r="619" spans="2:5" x14ac:dyDescent="0.3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3">
      <c r="B620" t="s">
        <v>443</v>
      </c>
      <c r="C620" t="s">
        <v>363</v>
      </c>
      <c r="E620">
        <f>LEN(Tabla1[[#This Row],[Categorías]])</f>
        <v>50</v>
      </c>
    </row>
    <row r="621" spans="2:5" x14ac:dyDescent="0.3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3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3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3">
      <c r="B624" t="s">
        <v>443</v>
      </c>
      <c r="C624" t="s">
        <v>242</v>
      </c>
      <c r="E624">
        <f>LEN(Tabla1[[#This Row],[Categorías]])</f>
        <v>59</v>
      </c>
    </row>
    <row r="625" spans="2:5" x14ac:dyDescent="0.3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3">
      <c r="B626" t="s">
        <v>443</v>
      </c>
      <c r="C626" t="s">
        <v>379</v>
      </c>
      <c r="E626">
        <f>LEN(Tabla1[[#This Row],[Categorías]])</f>
        <v>87</v>
      </c>
    </row>
    <row r="627" spans="2:5" x14ac:dyDescent="0.3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3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3">
      <c r="B629" t="s">
        <v>443</v>
      </c>
      <c r="C629" t="s">
        <v>268</v>
      </c>
      <c r="E629">
        <f>LEN(Tabla1[[#This Row],[Categorías]])</f>
        <v>86</v>
      </c>
    </row>
    <row r="630" spans="2:5" x14ac:dyDescent="0.3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3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3">
      <c r="B632" t="s">
        <v>443</v>
      </c>
      <c r="C632" t="s">
        <v>181</v>
      </c>
      <c r="E632">
        <f>LEN(Tabla1[[#This Row],[Categorías]])</f>
        <v>34</v>
      </c>
    </row>
    <row r="633" spans="2:5" x14ac:dyDescent="0.3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3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3">
      <c r="B635" t="s">
        <v>443</v>
      </c>
      <c r="C635" t="s">
        <v>262</v>
      </c>
      <c r="E635">
        <f>LEN(Tabla1[[#This Row],[Categorías]])</f>
        <v>50</v>
      </c>
    </row>
    <row r="636" spans="2:5" x14ac:dyDescent="0.3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3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3">
      <c r="B638" t="s">
        <v>443</v>
      </c>
      <c r="C638" t="s">
        <v>139</v>
      </c>
      <c r="E638">
        <f>LEN(Tabla1[[#This Row],[Categorías]])</f>
        <v>49</v>
      </c>
    </row>
    <row r="639" spans="2:5" x14ac:dyDescent="0.3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3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3">
      <c r="B641" t="s">
        <v>443</v>
      </c>
      <c r="C641" t="s">
        <v>82</v>
      </c>
      <c r="E641">
        <f>LEN(Tabla1[[#This Row],[Categorías]])</f>
        <v>31</v>
      </c>
    </row>
    <row r="642" spans="2:5" x14ac:dyDescent="0.3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3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3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3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3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3">
      <c r="B647" t="s">
        <v>443</v>
      </c>
      <c r="C647" t="s">
        <v>296</v>
      </c>
      <c r="E647">
        <f>LEN(Tabla1[[#This Row],[Categorías]])</f>
        <v>89</v>
      </c>
    </row>
    <row r="648" spans="2:5" x14ac:dyDescent="0.3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3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3">
      <c r="B650" t="s">
        <v>443</v>
      </c>
      <c r="C650" t="s">
        <v>273</v>
      </c>
      <c r="E650">
        <f>LEN(Tabla1[[#This Row],[Categorías]])</f>
        <v>82</v>
      </c>
    </row>
    <row r="651" spans="2:5" x14ac:dyDescent="0.3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3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3">
      <c r="B653" t="s">
        <v>443</v>
      </c>
      <c r="C653" t="s">
        <v>284</v>
      </c>
      <c r="E653">
        <f>LEN(Tabla1[[#This Row],[Categorías]])</f>
        <v>41</v>
      </c>
    </row>
    <row r="654" spans="2:5" x14ac:dyDescent="0.3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3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3">
      <c r="B656" t="s">
        <v>443</v>
      </c>
      <c r="C656" t="s">
        <v>124</v>
      </c>
      <c r="E656">
        <f>LEN(Tabla1[[#This Row],[Categorías]])</f>
        <v>67</v>
      </c>
    </row>
    <row r="657" spans="2:5" x14ac:dyDescent="0.3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3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3">
      <c r="B659" t="s">
        <v>443</v>
      </c>
      <c r="C659" t="s">
        <v>98</v>
      </c>
      <c r="E659">
        <f>LEN(Tabla1[[#This Row],[Categorías]])</f>
        <v>32</v>
      </c>
    </row>
    <row r="660" spans="2:5" x14ac:dyDescent="0.3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3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3">
      <c r="B662" t="s">
        <v>443</v>
      </c>
      <c r="C662" t="s">
        <v>200</v>
      </c>
      <c r="E662">
        <f>LEN(Tabla1[[#This Row],[Categorías]])</f>
        <v>29</v>
      </c>
    </row>
    <row r="663" spans="2:5" x14ac:dyDescent="0.3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3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3">
      <c r="B665" t="s">
        <v>443</v>
      </c>
      <c r="C665" t="s">
        <v>253</v>
      </c>
      <c r="E665">
        <f>LEN(Tabla1[[#This Row],[Categorías]])</f>
        <v>77</v>
      </c>
    </row>
    <row r="666" spans="2:5" x14ac:dyDescent="0.3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3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3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3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3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3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3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3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3">
      <c r="B674" t="s">
        <v>443</v>
      </c>
      <c r="C674" t="s">
        <v>260</v>
      </c>
      <c r="E674">
        <f>LEN(Tabla1[[#This Row],[Categorías]])</f>
        <v>38</v>
      </c>
    </row>
    <row r="675" spans="2:5" x14ac:dyDescent="0.3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3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3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3">
      <c r="B678" t="s">
        <v>443</v>
      </c>
      <c r="C678" t="s">
        <v>79</v>
      </c>
      <c r="E678">
        <f>LEN(Tabla1[[#This Row],[Categorías]])</f>
        <v>46</v>
      </c>
    </row>
    <row r="679" spans="2:5" x14ac:dyDescent="0.3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3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3">
      <c r="B681" t="s">
        <v>443</v>
      </c>
      <c r="C681" t="s">
        <v>287</v>
      </c>
      <c r="E681">
        <f>LEN(Tabla1[[#This Row],[Categorías]])</f>
        <v>55</v>
      </c>
    </row>
    <row r="682" spans="2:5" x14ac:dyDescent="0.3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3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3">
      <c r="B684" t="s">
        <v>443</v>
      </c>
      <c r="C684" t="s">
        <v>40</v>
      </c>
      <c r="E684">
        <f>LEN(Tabla1[[#This Row],[Categorías]])</f>
        <v>53</v>
      </c>
    </row>
    <row r="685" spans="2:5" x14ac:dyDescent="0.3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3">
      <c r="B686" t="s">
        <v>443</v>
      </c>
      <c r="C686" t="s">
        <v>389</v>
      </c>
      <c r="E686">
        <f>LEN(Tabla1[[#This Row],[Categorías]])</f>
        <v>72</v>
      </c>
    </row>
    <row r="687" spans="2:5" x14ac:dyDescent="0.3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3">
      <c r="B688" t="s">
        <v>443</v>
      </c>
      <c r="C688" t="s">
        <v>388</v>
      </c>
      <c r="E688">
        <f>LEN(Tabla1[[#This Row],[Categorías]])</f>
        <v>72</v>
      </c>
    </row>
    <row r="689" spans="2:5" x14ac:dyDescent="0.3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3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3">
      <c r="B691" t="s">
        <v>443</v>
      </c>
      <c r="C691" t="s">
        <v>49</v>
      </c>
      <c r="E691">
        <f>LEN(Tabla1[[#This Row],[Categorías]])</f>
        <v>66</v>
      </c>
    </row>
    <row r="692" spans="2:5" x14ac:dyDescent="0.3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3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3">
      <c r="B694" t="s">
        <v>443</v>
      </c>
      <c r="C694" t="s">
        <v>183</v>
      </c>
      <c r="E694">
        <f>LEN(Tabla1[[#This Row],[Categorías]])</f>
        <v>63</v>
      </c>
    </row>
    <row r="695" spans="2:5" x14ac:dyDescent="0.3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3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3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3">
      <c r="B698" t="s">
        <v>443</v>
      </c>
      <c r="C698" t="s">
        <v>28</v>
      </c>
      <c r="E698">
        <f>LEN(Tabla1[[#This Row],[Categorías]])</f>
        <v>65</v>
      </c>
    </row>
    <row r="699" spans="2:5" x14ac:dyDescent="0.3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3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3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3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3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3">
      <c r="B704" t="s">
        <v>443</v>
      </c>
      <c r="C704" t="s">
        <v>286</v>
      </c>
      <c r="E704">
        <f>LEN(Tabla1[[#This Row],[Categorías]])</f>
        <v>35</v>
      </c>
    </row>
    <row r="705" spans="2:5" x14ac:dyDescent="0.3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3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3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3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3">
      <c r="B709" t="s">
        <v>443</v>
      </c>
      <c r="C709" t="s">
        <v>292</v>
      </c>
      <c r="E709">
        <f>LEN(Tabla1[[#This Row],[Categorías]])</f>
        <v>48</v>
      </c>
    </row>
    <row r="710" spans="2:5" x14ac:dyDescent="0.3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3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3">
      <c r="B712" t="s">
        <v>443</v>
      </c>
      <c r="C712" t="s">
        <v>290</v>
      </c>
      <c r="E712">
        <f>LEN(Tabla1[[#This Row],[Categorías]])</f>
        <v>48</v>
      </c>
    </row>
    <row r="713" spans="2:5" x14ac:dyDescent="0.3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3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3">
      <c r="B715" t="s">
        <v>443</v>
      </c>
      <c r="C715" t="s">
        <v>177</v>
      </c>
      <c r="E715">
        <f>LEN(Tabla1[[#This Row],[Categorías]])</f>
        <v>11</v>
      </c>
    </row>
    <row r="716" spans="2:5" x14ac:dyDescent="0.3">
      <c r="B716" t="s">
        <v>462</v>
      </c>
      <c r="C716" t="s">
        <v>471</v>
      </c>
      <c r="E716">
        <f>LEN(Tabla1[[#This Row],[Categorías]])</f>
        <v>8</v>
      </c>
    </row>
    <row r="717" spans="2:5" x14ac:dyDescent="0.3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3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3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3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3">
      <c r="B721" t="s">
        <v>443</v>
      </c>
      <c r="C721" t="s">
        <v>241</v>
      </c>
      <c r="E721">
        <f>LEN(Tabla1[[#This Row],[Categorías]])</f>
        <v>10</v>
      </c>
    </row>
    <row r="722" spans="2:5" x14ac:dyDescent="0.3">
      <c r="B722" t="s">
        <v>9</v>
      </c>
      <c r="C722" t="s">
        <v>12</v>
      </c>
      <c r="E722">
        <f>LEN(Tabla1[[#This Row],[Categorías]])</f>
        <v>27</v>
      </c>
    </row>
    <row r="723" spans="2:5" x14ac:dyDescent="0.3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3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3">
      <c r="B725" t="s">
        <v>443</v>
      </c>
      <c r="C725" t="s">
        <v>239</v>
      </c>
      <c r="E725">
        <f>LEN(Tabla1[[#This Row],[Categorías]])</f>
        <v>20</v>
      </c>
    </row>
    <row r="726" spans="2:5" x14ac:dyDescent="0.3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3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3">
      <c r="B728" t="s">
        <v>443</v>
      </c>
      <c r="C728" t="s">
        <v>250</v>
      </c>
      <c r="E728">
        <f>LEN(Tabla1[[#This Row],[Categorías]])</f>
        <v>26</v>
      </c>
    </row>
    <row r="729" spans="2:5" x14ac:dyDescent="0.3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3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3">
      <c r="B731" t="s">
        <v>443</v>
      </c>
      <c r="C731" t="s">
        <v>304</v>
      </c>
      <c r="E731">
        <f>LEN(Tabla1[[#This Row],[Categorías]])</f>
        <v>44</v>
      </c>
    </row>
    <row r="732" spans="2:5" x14ac:dyDescent="0.3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3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3">
      <c r="B734" t="s">
        <v>443</v>
      </c>
      <c r="C734" t="s">
        <v>294</v>
      </c>
      <c r="E734">
        <f>LEN(Tabla1[[#This Row],[Categorías]])</f>
        <v>57</v>
      </c>
    </row>
    <row r="735" spans="2:5" x14ac:dyDescent="0.3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3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3">
      <c r="B737" t="s">
        <v>443</v>
      </c>
      <c r="C737" t="s">
        <v>298</v>
      </c>
      <c r="E737">
        <f>LEN(Tabla1[[#This Row],[Categorías]])</f>
        <v>22</v>
      </c>
    </row>
    <row r="738" spans="2:5" x14ac:dyDescent="0.3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3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3">
      <c r="B740" t="s">
        <v>443</v>
      </c>
      <c r="C740" t="s">
        <v>251</v>
      </c>
      <c r="E740">
        <f>LEN(Tabla1[[#This Row],[Categorías]])</f>
        <v>49</v>
      </c>
    </row>
    <row r="741" spans="2:5" x14ac:dyDescent="0.3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3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3">
      <c r="B743" t="s">
        <v>443</v>
      </c>
      <c r="C743" t="s">
        <v>233</v>
      </c>
      <c r="E743">
        <f>LEN(Tabla1[[#This Row],[Categorías]])</f>
        <v>49</v>
      </c>
    </row>
    <row r="744" spans="2:5" x14ac:dyDescent="0.3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3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3">
      <c r="B746" t="s">
        <v>443</v>
      </c>
      <c r="C746" t="s">
        <v>303</v>
      </c>
      <c r="E746">
        <f>LEN(Tabla1[[#This Row],[Categorías]])</f>
        <v>15</v>
      </c>
    </row>
    <row r="747" spans="2:5" x14ac:dyDescent="0.3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3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3">
      <c r="B749" t="s">
        <v>443</v>
      </c>
      <c r="C749" t="s">
        <v>293</v>
      </c>
      <c r="E749">
        <f>LEN(Tabla1[[#This Row],[Categorías]])</f>
        <v>29</v>
      </c>
    </row>
    <row r="750" spans="2:5" x14ac:dyDescent="0.3">
      <c r="B750" t="s">
        <v>485</v>
      </c>
      <c r="C750" t="s">
        <v>487</v>
      </c>
      <c r="E750">
        <f>LEN(Tabla1[[#This Row],[Categorías]])</f>
        <v>21</v>
      </c>
    </row>
    <row r="751" spans="2:5" x14ac:dyDescent="0.3">
      <c r="B751" t="s">
        <v>485</v>
      </c>
      <c r="C751" t="s">
        <v>489</v>
      </c>
      <c r="E751">
        <f>LEN(Tabla1[[#This Row],[Categorías]])</f>
        <v>12</v>
      </c>
    </row>
    <row r="752" spans="2:5" x14ac:dyDescent="0.3">
      <c r="B752" t="s">
        <v>2</v>
      </c>
      <c r="C752" t="s">
        <v>4</v>
      </c>
      <c r="E752">
        <f>LEN(Tabla1[[#This Row],[Categorías]])</f>
        <v>11</v>
      </c>
    </row>
    <row r="753" spans="2:5" x14ac:dyDescent="0.3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3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3">
      <c r="B755" t="s">
        <v>443</v>
      </c>
      <c r="C755" t="s">
        <v>29</v>
      </c>
      <c r="E755">
        <f>LEN(Tabla1[[#This Row],[Categorías]])</f>
        <v>24</v>
      </c>
    </row>
    <row r="756" spans="2:5" x14ac:dyDescent="0.3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3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3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3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3">
      <c r="B760" t="s">
        <v>443</v>
      </c>
      <c r="C760" t="s">
        <v>238</v>
      </c>
      <c r="E760">
        <f>LEN(Tabla1[[#This Row],[Categorías]])</f>
        <v>35</v>
      </c>
    </row>
    <row r="761" spans="2:5" x14ac:dyDescent="0.3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3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3">
      <c r="B763" t="s">
        <v>443</v>
      </c>
      <c r="C763" t="s">
        <v>32</v>
      </c>
      <c r="E763">
        <f>LEN(Tabla1[[#This Row],[Categorías]])</f>
        <v>5</v>
      </c>
    </row>
    <row r="764" spans="2:5" x14ac:dyDescent="0.3">
      <c r="B764" t="s">
        <v>2</v>
      </c>
      <c r="C764" t="s">
        <v>5</v>
      </c>
      <c r="E764">
        <f>LEN(Tabla1[[#This Row],[Categorías]])</f>
        <v>10</v>
      </c>
    </row>
    <row r="765" spans="2:5" x14ac:dyDescent="0.3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3">
      <c r="B766" t="s">
        <v>443</v>
      </c>
      <c r="C766" t="s">
        <v>395</v>
      </c>
      <c r="E766">
        <f>LEN(Tabla1[[#This Row],[Categorías]])</f>
        <v>38</v>
      </c>
    </row>
    <row r="767" spans="2:5" x14ac:dyDescent="0.3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3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3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3">
      <c r="B770" t="s">
        <v>443</v>
      </c>
      <c r="C770" t="s">
        <v>31</v>
      </c>
      <c r="E770">
        <f>LEN(Tabla1[[#This Row],[Categorías]])</f>
        <v>46</v>
      </c>
    </row>
    <row r="771" spans="2:5" x14ac:dyDescent="0.3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3">
      <c r="B772" t="s">
        <v>447</v>
      </c>
      <c r="C772" t="s">
        <v>451</v>
      </c>
      <c r="E772">
        <f>LEN(Tabla1[[#This Row],[Categorías]])</f>
        <v>5</v>
      </c>
    </row>
    <row r="773" spans="2:5" x14ac:dyDescent="0.3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3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3">
      <c r="B775" t="s">
        <v>443</v>
      </c>
      <c r="C775" t="s">
        <v>278</v>
      </c>
      <c r="E775">
        <f>LEN(Tabla1[[#This Row],[Categorías]])</f>
        <v>4</v>
      </c>
    </row>
    <row r="776" spans="2:5" x14ac:dyDescent="0.3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3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3">
      <c r="B778" t="s">
        <v>443</v>
      </c>
      <c r="C778" t="s">
        <v>203</v>
      </c>
      <c r="E778">
        <f>LEN(Tabla1[[#This Row],[Categorías]])</f>
        <v>22</v>
      </c>
    </row>
    <row r="779" spans="2:5" x14ac:dyDescent="0.3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3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3">
      <c r="B781" t="s">
        <v>443</v>
      </c>
      <c r="C781" t="s">
        <v>67</v>
      </c>
      <c r="E781">
        <f>LEN(Tabla1[[#This Row],[Categorías]])</f>
        <v>22</v>
      </c>
    </row>
    <row r="782" spans="2:5" x14ac:dyDescent="0.3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3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3">
      <c r="B784" t="s">
        <v>443</v>
      </c>
      <c r="C784" t="s">
        <v>66</v>
      </c>
      <c r="E784">
        <f>LEN(Tabla1[[#This Row],[Categorías]])</f>
        <v>18</v>
      </c>
    </row>
    <row r="785" spans="2:5" x14ac:dyDescent="0.3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3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3">
      <c r="B787" t="s">
        <v>443</v>
      </c>
      <c r="C787" t="s">
        <v>51</v>
      </c>
      <c r="E787">
        <f>LEN(Tabla1[[#This Row],[Categorías]])</f>
        <v>29</v>
      </c>
    </row>
    <row r="788" spans="2:5" x14ac:dyDescent="0.3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3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3">
      <c r="B790" t="s">
        <v>443</v>
      </c>
      <c r="C790" t="s">
        <v>61</v>
      </c>
      <c r="E790">
        <f>LEN(Tabla1[[#This Row],[Categorías]])</f>
        <v>34</v>
      </c>
    </row>
    <row r="791" spans="2:5" x14ac:dyDescent="0.3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3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3">
      <c r="B793" t="s">
        <v>443</v>
      </c>
      <c r="C793" t="s">
        <v>62</v>
      </c>
      <c r="E793">
        <f>LEN(Tabla1[[#This Row],[Categorías]])</f>
        <v>21</v>
      </c>
    </row>
    <row r="794" spans="2:5" x14ac:dyDescent="0.3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3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3">
      <c r="B796" t="s">
        <v>443</v>
      </c>
      <c r="C796" t="s">
        <v>56</v>
      </c>
      <c r="E796">
        <f>LEN(Tabla1[[#This Row],[Categorías]])</f>
        <v>41</v>
      </c>
    </row>
    <row r="797" spans="2:5" x14ac:dyDescent="0.3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3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3">
      <c r="B799" t="s">
        <v>443</v>
      </c>
      <c r="C799" t="s">
        <v>55</v>
      </c>
      <c r="E799">
        <f>LEN(Tabla1[[#This Row],[Categorías]])</f>
        <v>54</v>
      </c>
    </row>
    <row r="800" spans="2:5" x14ac:dyDescent="0.3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3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3">
      <c r="B802" t="s">
        <v>443</v>
      </c>
      <c r="C802" t="s">
        <v>54</v>
      </c>
      <c r="E802">
        <f>LEN(Tabla1[[#This Row],[Categorías]])</f>
        <v>39</v>
      </c>
    </row>
    <row r="803" spans="2:5" x14ac:dyDescent="0.3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3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3">
      <c r="B805" t="s">
        <v>443</v>
      </c>
      <c r="C805" t="s">
        <v>57</v>
      </c>
      <c r="E805">
        <f>LEN(Tabla1[[#This Row],[Categorías]])</f>
        <v>27</v>
      </c>
    </row>
    <row r="806" spans="2:5" x14ac:dyDescent="0.3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3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3">
      <c r="B808" t="s">
        <v>443</v>
      </c>
      <c r="C808" t="s">
        <v>53</v>
      </c>
      <c r="E808">
        <f>LEN(Tabla1[[#This Row],[Categorías]])</f>
        <v>25</v>
      </c>
    </row>
    <row r="809" spans="2:5" x14ac:dyDescent="0.3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3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3">
      <c r="B811" t="s">
        <v>443</v>
      </c>
      <c r="C811" t="s">
        <v>65</v>
      </c>
      <c r="E811">
        <f>LEN(Tabla1[[#This Row],[Categorías]])</f>
        <v>32</v>
      </c>
    </row>
    <row r="812" spans="2:5" x14ac:dyDescent="0.3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3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3">
      <c r="B814" t="s">
        <v>443</v>
      </c>
      <c r="C814" t="s">
        <v>63</v>
      </c>
      <c r="E814">
        <f>LEN(Tabla1[[#This Row],[Categorías]])</f>
        <v>21</v>
      </c>
    </row>
    <row r="815" spans="2:5" x14ac:dyDescent="0.3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3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3">
      <c r="B817" t="s">
        <v>443</v>
      </c>
      <c r="C817" t="s">
        <v>64</v>
      </c>
      <c r="E817">
        <f>LEN(Tabla1[[#This Row],[Categorías]])</f>
        <v>25</v>
      </c>
    </row>
    <row r="818" spans="2:5" x14ac:dyDescent="0.3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3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3">
      <c r="B820" t="s">
        <v>443</v>
      </c>
      <c r="C820" t="s">
        <v>52</v>
      </c>
      <c r="E820">
        <f>LEN(Tabla1[[#This Row],[Categorías]])</f>
        <v>23</v>
      </c>
    </row>
    <row r="821" spans="2:5" x14ac:dyDescent="0.3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3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3">
      <c r="B823" t="s">
        <v>443</v>
      </c>
      <c r="C823" t="s">
        <v>60</v>
      </c>
      <c r="E823">
        <f>LEN(Tabla1[[#This Row],[Categorías]])</f>
        <v>36</v>
      </c>
    </row>
    <row r="824" spans="2:5" x14ac:dyDescent="0.3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3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3">
      <c r="B826" t="s">
        <v>443</v>
      </c>
      <c r="C826" t="s">
        <v>59</v>
      </c>
      <c r="E826">
        <f>LEN(Tabla1[[#This Row],[Categorías]])</f>
        <v>43</v>
      </c>
    </row>
    <row r="827" spans="2:5" x14ac:dyDescent="0.3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3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3">
      <c r="B829" t="s">
        <v>443</v>
      </c>
      <c r="C829" t="s">
        <v>58</v>
      </c>
      <c r="E829">
        <f>LEN(Tabla1[[#This Row],[Categorías]])</f>
        <v>44</v>
      </c>
    </row>
    <row r="830" spans="2:5" x14ac:dyDescent="0.3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3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3">
      <c r="B832" t="s">
        <v>443</v>
      </c>
      <c r="C832" t="s">
        <v>50</v>
      </c>
      <c r="E832">
        <f>LEN(Tabla1[[#This Row],[Categorías]])</f>
        <v>18</v>
      </c>
    </row>
    <row r="833" spans="2:5" x14ac:dyDescent="0.3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3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3">
      <c r="B835" t="s">
        <v>443</v>
      </c>
      <c r="C835" t="s">
        <v>184</v>
      </c>
      <c r="E835">
        <f>LEN(Tabla1[[#This Row],[Categorías]])</f>
        <v>22</v>
      </c>
    </row>
    <row r="836" spans="2:5" x14ac:dyDescent="0.3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3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3">
      <c r="B838" t="s">
        <v>443</v>
      </c>
      <c r="C838" t="s">
        <v>173</v>
      </c>
      <c r="E838">
        <f>LEN(Tabla1[[#This Row],[Categorías]])</f>
        <v>27</v>
      </c>
    </row>
    <row r="839" spans="2:5" x14ac:dyDescent="0.3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3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3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3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3">
      <c r="B843" t="s">
        <v>443</v>
      </c>
      <c r="C843" t="s">
        <v>174</v>
      </c>
      <c r="E843">
        <f>LEN(Tabla1[[#This Row],[Categorías]])</f>
        <v>14</v>
      </c>
    </row>
    <row r="844" spans="2:5" x14ac:dyDescent="0.3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3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3">
      <c r="B846" t="s">
        <v>443</v>
      </c>
      <c r="C846" t="s">
        <v>169</v>
      </c>
      <c r="E846">
        <f>LEN(Tabla1[[#This Row],[Categorías]])</f>
        <v>34</v>
      </c>
    </row>
    <row r="847" spans="2:5" x14ac:dyDescent="0.3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3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3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3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3">
      <c r="B851" t="s">
        <v>443</v>
      </c>
      <c r="C851" t="s">
        <v>185</v>
      </c>
      <c r="E851">
        <f>LEN(Tabla1[[#This Row],[Categorías]])</f>
        <v>47</v>
      </c>
    </row>
    <row r="852" spans="2:5" x14ac:dyDescent="0.3">
      <c r="B852" t="s">
        <v>443</v>
      </c>
      <c r="C852" t="s">
        <v>445</v>
      </c>
      <c r="E852">
        <f>LEN(Tabla1[[#This Row],[Categorías]])</f>
        <v>37</v>
      </c>
    </row>
    <row r="853" spans="2:5" x14ac:dyDescent="0.3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3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3">
      <c r="B855" t="s">
        <v>443</v>
      </c>
      <c r="C855" t="s">
        <v>186</v>
      </c>
      <c r="E855">
        <f>LEN(Tabla1[[#This Row],[Categorías]])</f>
        <v>32</v>
      </c>
    </row>
    <row r="856" spans="2:5" x14ac:dyDescent="0.3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3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3">
      <c r="B858" t="s">
        <v>443</v>
      </c>
      <c r="C858" t="s">
        <v>170</v>
      </c>
      <c r="E858">
        <f>LEN(Tabla1[[#This Row],[Categorías]])</f>
        <v>20</v>
      </c>
    </row>
    <row r="859" spans="2:5" x14ac:dyDescent="0.3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3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3">
      <c r="B861" t="s">
        <v>443</v>
      </c>
      <c r="C861" t="s">
        <v>197</v>
      </c>
      <c r="E861">
        <f>LEN(Tabla1[[#This Row],[Categorías]])</f>
        <v>18</v>
      </c>
    </row>
    <row r="862" spans="2:5" x14ac:dyDescent="0.3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3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3">
      <c r="B864" t="s">
        <v>443</v>
      </c>
      <c r="C864" t="s">
        <v>231</v>
      </c>
      <c r="E864">
        <f>LEN(Tabla1[[#This Row],[Categorías]])</f>
        <v>25</v>
      </c>
    </row>
    <row r="865" spans="2:5" x14ac:dyDescent="0.3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3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3">
      <c r="B867" t="s">
        <v>443</v>
      </c>
      <c r="C867" t="s">
        <v>175</v>
      </c>
      <c r="E867">
        <f>LEN(Tabla1[[#This Row],[Categorías]])</f>
        <v>14</v>
      </c>
    </row>
    <row r="868" spans="2:5" x14ac:dyDescent="0.3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3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3">
      <c r="B870" t="s">
        <v>443</v>
      </c>
      <c r="C870" t="s">
        <v>176</v>
      </c>
      <c r="E870">
        <f>LEN(Tabla1[[#This Row],[Categorías]])</f>
        <v>18</v>
      </c>
    </row>
    <row r="871" spans="2:5" x14ac:dyDescent="0.3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3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3">
      <c r="B873" t="s">
        <v>443</v>
      </c>
      <c r="C873" t="s">
        <v>289</v>
      </c>
      <c r="E873">
        <f>LEN(Tabla1[[#This Row],[Categorías]])</f>
        <v>13</v>
      </c>
    </row>
    <row r="874" spans="2:5" x14ac:dyDescent="0.3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3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3">
      <c r="B876" t="s">
        <v>443</v>
      </c>
      <c r="C876" t="s">
        <v>187</v>
      </c>
      <c r="E876">
        <f>LEN(Tabla1[[#This Row],[Categorías]])</f>
        <v>16</v>
      </c>
    </row>
    <row r="877" spans="2:5" x14ac:dyDescent="0.3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3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3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3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3">
      <c r="B881" t="s">
        <v>443</v>
      </c>
      <c r="C881" t="s">
        <v>188</v>
      </c>
      <c r="E881">
        <f>LEN(Tabla1[[#This Row],[Categorías]])</f>
        <v>29</v>
      </c>
    </row>
    <row r="882" spans="2:5" x14ac:dyDescent="0.3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3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3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3">
      <c r="B885" t="s">
        <v>443</v>
      </c>
      <c r="C885" t="s">
        <v>172</v>
      </c>
      <c r="E885">
        <f>LEN(Tabla1[[#This Row],[Categorías]])</f>
        <v>36</v>
      </c>
    </row>
    <row r="886" spans="2:5" x14ac:dyDescent="0.3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3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3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3">
      <c r="B889" t="s">
        <v>443</v>
      </c>
      <c r="C889" t="s">
        <v>171</v>
      </c>
      <c r="E889">
        <f>LEN(Tabla1[[#This Row],[Categorías]])</f>
        <v>37</v>
      </c>
    </row>
    <row r="890" spans="2:5" x14ac:dyDescent="0.3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3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3">
      <c r="B892" t="s">
        <v>443</v>
      </c>
      <c r="C892" t="s">
        <v>230</v>
      </c>
      <c r="E892">
        <f>LEN(Tabla1[[#This Row],[Categorías]])</f>
        <v>11</v>
      </c>
    </row>
    <row r="893" spans="2:5" x14ac:dyDescent="0.3">
      <c r="B893" t="s">
        <v>462</v>
      </c>
      <c r="C893" t="s">
        <v>472</v>
      </c>
      <c r="E893">
        <f>LEN(Tabla1[[#This Row],[Categorías]])</f>
        <v>11</v>
      </c>
    </row>
    <row r="894" spans="2:5" x14ac:dyDescent="0.3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3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3">
      <c r="B896" t="s">
        <v>443</v>
      </c>
      <c r="C896" t="s">
        <v>189</v>
      </c>
      <c r="E896">
        <f>LEN(Tabla1[[#This Row],[Categorías]])</f>
        <v>9</v>
      </c>
    </row>
    <row r="897" spans="2:5" x14ac:dyDescent="0.3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3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3">
      <c r="B899" t="s">
        <v>443</v>
      </c>
      <c r="C899" t="s">
        <v>201</v>
      </c>
      <c r="E899">
        <f>LEN(Tabla1[[#This Row],[Categorías]])</f>
        <v>27</v>
      </c>
    </row>
    <row r="900" spans="2:5" x14ac:dyDescent="0.3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3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3">
      <c r="B902" t="s">
        <v>443</v>
      </c>
      <c r="C902" t="s">
        <v>39</v>
      </c>
      <c r="E902">
        <f>LEN(Tabla1[[#This Row],[Categorías]])</f>
        <v>27</v>
      </c>
    </row>
    <row r="903" spans="2:5" x14ac:dyDescent="0.3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3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3">
      <c r="B905" t="s">
        <v>443</v>
      </c>
      <c r="C905" t="s">
        <v>38</v>
      </c>
      <c r="E905">
        <f>LEN(Tabla1[[#This Row],[Categorías]])</f>
        <v>34</v>
      </c>
    </row>
    <row r="906" spans="2:5" x14ac:dyDescent="0.3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3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3">
      <c r="B908" t="s">
        <v>443</v>
      </c>
      <c r="C908" t="s">
        <v>35</v>
      </c>
      <c r="E908">
        <f>LEN(Tabla1[[#This Row],[Categorías]])</f>
        <v>41</v>
      </c>
    </row>
    <row r="909" spans="2:5" x14ac:dyDescent="0.3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3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3">
      <c r="B911" t="s">
        <v>443</v>
      </c>
      <c r="C911" t="s">
        <v>37</v>
      </c>
      <c r="E911">
        <f>LEN(Tabla1[[#This Row],[Categorías]])</f>
        <v>28</v>
      </c>
    </row>
    <row r="912" spans="2:5" x14ac:dyDescent="0.3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3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3">
      <c r="B914" t="s">
        <v>443</v>
      </c>
      <c r="C914" t="s">
        <v>34</v>
      </c>
      <c r="E914">
        <f>LEN(Tabla1[[#This Row],[Categorías]])</f>
        <v>31</v>
      </c>
    </row>
    <row r="915" spans="2:5" x14ac:dyDescent="0.3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3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3">
      <c r="B917" t="s">
        <v>443</v>
      </c>
      <c r="C917" t="s">
        <v>36</v>
      </c>
      <c r="E917">
        <f>LEN(Tabla1[[#This Row],[Categorías]])</f>
        <v>38</v>
      </c>
    </row>
    <row r="918" spans="2:5" x14ac:dyDescent="0.3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3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3">
      <c r="B920" t="s">
        <v>443</v>
      </c>
      <c r="C920" t="s">
        <v>300</v>
      </c>
      <c r="E920">
        <f>LEN(Tabla1[[#This Row],[Categorías]])</f>
        <v>30</v>
      </c>
    </row>
    <row r="921" spans="2:5" x14ac:dyDescent="0.3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3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3">
      <c r="B923" t="s">
        <v>443</v>
      </c>
      <c r="C923" t="s">
        <v>275</v>
      </c>
      <c r="E923">
        <f>LEN(Tabla1[[#This Row],[Categorías]])</f>
        <v>29</v>
      </c>
    </row>
    <row r="924" spans="2:5" x14ac:dyDescent="0.3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3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3">
      <c r="B926" t="s">
        <v>443</v>
      </c>
      <c r="C926" t="s">
        <v>198</v>
      </c>
      <c r="E926">
        <f>LEN(Tabla1[[#This Row],[Categorías]])</f>
        <v>16</v>
      </c>
    </row>
    <row r="927" spans="2:5" x14ac:dyDescent="0.3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3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3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3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3">
      <c r="B931" t="s">
        <v>443</v>
      </c>
      <c r="C931" t="s">
        <v>274</v>
      </c>
      <c r="E931">
        <f>LEN(Tabla1[[#This Row],[Categorías]])</f>
        <v>19</v>
      </c>
    </row>
    <row r="932" spans="2:5" x14ac:dyDescent="0.3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3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3">
      <c r="B934" t="s">
        <v>443</v>
      </c>
      <c r="C934" t="s">
        <v>276</v>
      </c>
      <c r="E934">
        <f>LEN(Tabla1[[#This Row],[Categorías]])</f>
        <v>26</v>
      </c>
    </row>
    <row r="935" spans="2:5" x14ac:dyDescent="0.3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3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3">
      <c r="B937" t="s">
        <v>443</v>
      </c>
      <c r="C937" t="s">
        <v>301</v>
      </c>
      <c r="E937">
        <f>LEN(Tabla1[[#This Row],[Categorías]])</f>
        <v>27</v>
      </c>
    </row>
    <row r="938" spans="2:5" x14ac:dyDescent="0.3">
      <c r="B938" t="s">
        <v>485</v>
      </c>
      <c r="C938" t="s">
        <v>488</v>
      </c>
      <c r="E938">
        <f>LEN(Tabla1[[#This Row],[Categorías]])</f>
        <v>10</v>
      </c>
    </row>
    <row r="939" spans="2:5" x14ac:dyDescent="0.3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3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3">
      <c r="B941" t="s">
        <v>443</v>
      </c>
      <c r="C941" t="s">
        <v>305</v>
      </c>
      <c r="E941">
        <f>LEN(Tabla1[[#This Row],[Categorías]])</f>
        <v>24</v>
      </c>
    </row>
    <row r="942" spans="2:5" x14ac:dyDescent="0.3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3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3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3">
      <c r="B945" t="s">
        <v>443</v>
      </c>
      <c r="C945" t="s">
        <v>160</v>
      </c>
      <c r="E945">
        <f>LEN(Tabla1[[#This Row],[Categorías]])</f>
        <v>38</v>
      </c>
    </row>
    <row r="946" spans="2:5" x14ac:dyDescent="0.3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3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3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3">
      <c r="B949" t="s">
        <v>443</v>
      </c>
      <c r="C949" t="s">
        <v>232</v>
      </c>
      <c r="E949">
        <f>LEN(Tabla1[[#This Row],[Categorías]])</f>
        <v>44</v>
      </c>
    </row>
    <row r="950" spans="2:5" x14ac:dyDescent="0.3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3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3">
      <c r="B952" t="s">
        <v>443</v>
      </c>
      <c r="C952" t="s">
        <v>123</v>
      </c>
      <c r="E952">
        <f>LEN(Tabla1[[#This Row],[Categorías]])</f>
        <v>10</v>
      </c>
    </row>
    <row r="953" spans="2:5" x14ac:dyDescent="0.3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3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3">
      <c r="B955" t="s">
        <v>443</v>
      </c>
      <c r="C955" t="s">
        <v>159</v>
      </c>
      <c r="E955">
        <f>LEN(Tabla1[[#This Row],[Categorías]])</f>
        <v>7</v>
      </c>
    </row>
    <row r="956" spans="2:5" x14ac:dyDescent="0.3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3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3">
      <c r="B958" t="s">
        <v>443</v>
      </c>
      <c r="C958" t="s">
        <v>310</v>
      </c>
      <c r="E958">
        <f>LEN(Tabla1[[#This Row],[Categorías]])</f>
        <v>8</v>
      </c>
    </row>
    <row r="959" spans="2:5" x14ac:dyDescent="0.3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3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3">
      <c r="B961" t="s">
        <v>462</v>
      </c>
      <c r="C961" t="s">
        <v>24</v>
      </c>
      <c r="E961">
        <f>LEN(Tabla1[[#This Row],[Categorías]])</f>
        <v>5</v>
      </c>
    </row>
    <row r="962" spans="2:5" x14ac:dyDescent="0.3">
      <c r="B962" t="s">
        <v>485</v>
      </c>
      <c r="C962" t="s">
        <v>24</v>
      </c>
      <c r="E962">
        <f>LEN(Tabla1[[#This Row],[Categorías]])</f>
        <v>5</v>
      </c>
    </row>
    <row r="963" spans="2:5" x14ac:dyDescent="0.3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3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3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3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3">
      <c r="B967" t="s">
        <v>443</v>
      </c>
      <c r="C967" t="s">
        <v>269</v>
      </c>
      <c r="E967">
        <f>LEN(Tabla1[[#This Row],[Categorías]])</f>
        <v>25</v>
      </c>
    </row>
    <row r="968" spans="2:5" x14ac:dyDescent="0.3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3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3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3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3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3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3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3">
      <c r="B975" t="s">
        <v>443</v>
      </c>
      <c r="C975" t="s">
        <v>30</v>
      </c>
      <c r="E975">
        <f>LEN(Tabla1[[#This Row],[Categorías]])</f>
        <v>18</v>
      </c>
    </row>
    <row r="976" spans="2:5" x14ac:dyDescent="0.3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3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3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3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3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3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3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3">
      <c r="B983" t="s">
        <v>443</v>
      </c>
      <c r="C983" t="s">
        <v>266</v>
      </c>
      <c r="E983">
        <f>LEN(Tabla1[[#This Row],[Categorías]])</f>
        <v>42</v>
      </c>
    </row>
    <row r="984" spans="2:5" x14ac:dyDescent="0.3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3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3">
      <c r="B986" t="s">
        <v>443</v>
      </c>
      <c r="C986" t="s">
        <v>191</v>
      </c>
      <c r="E986">
        <f>LEN(Tabla1[[#This Row],[Categorías]])</f>
        <v>17</v>
      </c>
    </row>
    <row r="987" spans="2:5" x14ac:dyDescent="0.3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3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3">
      <c r="B989" t="s">
        <v>443</v>
      </c>
      <c r="C989" t="s">
        <v>207</v>
      </c>
      <c r="E989">
        <f>LEN(Tabla1[[#This Row],[Categorías]])</f>
        <v>35</v>
      </c>
    </row>
    <row r="990" spans="2:5" x14ac:dyDescent="0.3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3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3">
      <c r="B992" t="s">
        <v>443</v>
      </c>
      <c r="C992" t="s">
        <v>94</v>
      </c>
      <c r="E992">
        <f>LEN(Tabla1[[#This Row],[Categorías]])</f>
        <v>35</v>
      </c>
    </row>
    <row r="993" spans="2:5" x14ac:dyDescent="0.3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3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3">
      <c r="B995" t="s">
        <v>443</v>
      </c>
      <c r="C995" t="s">
        <v>90</v>
      </c>
      <c r="E995">
        <f>LEN(Tabla1[[#This Row],[Categorías]])</f>
        <v>69</v>
      </c>
    </row>
    <row r="996" spans="2:5" x14ac:dyDescent="0.3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3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3">
      <c r="B998" t="s">
        <v>443</v>
      </c>
      <c r="C998" t="s">
        <v>91</v>
      </c>
      <c r="E998">
        <f>LEN(Tabla1[[#This Row],[Categorías]])</f>
        <v>79</v>
      </c>
    </row>
    <row r="999" spans="2:5" x14ac:dyDescent="0.3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3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3">
      <c r="B1001" t="s">
        <v>443</v>
      </c>
      <c r="C1001" t="s">
        <v>92</v>
      </c>
      <c r="E1001">
        <f>LEN(Tabla1[[#This Row],[Categorías]])</f>
        <v>69</v>
      </c>
    </row>
    <row r="1002" spans="2:5" x14ac:dyDescent="0.3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3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3">
      <c r="B1004" t="s">
        <v>443</v>
      </c>
      <c r="C1004" t="s">
        <v>93</v>
      </c>
      <c r="E1004">
        <f>LEN(Tabla1[[#This Row],[Categorías]])</f>
        <v>53</v>
      </c>
    </row>
    <row r="1005" spans="2:5" x14ac:dyDescent="0.3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3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3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3">
      <c r="B1008" t="s">
        <v>443</v>
      </c>
      <c r="C1008" t="s">
        <v>243</v>
      </c>
      <c r="E1008">
        <f>LEN(Tabla1[[#This Row],[Categorías]])</f>
        <v>49</v>
      </c>
    </row>
    <row r="1009" spans="2:5" x14ac:dyDescent="0.3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3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3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3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3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3">
      <c r="B1014" t="s">
        <v>443</v>
      </c>
      <c r="C1014" t="s">
        <v>246</v>
      </c>
      <c r="E1014">
        <f>LEN(Tabla1[[#This Row],[Categorías]])</f>
        <v>33</v>
      </c>
    </row>
    <row r="1015" spans="2:5" x14ac:dyDescent="0.3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3">
      <c r="B1016" t="s">
        <v>443</v>
      </c>
      <c r="C1016" t="s">
        <v>372</v>
      </c>
      <c r="E1016">
        <f>LEN(Tabla1[[#This Row],[Categorías]])</f>
        <v>48</v>
      </c>
    </row>
    <row r="1017" spans="2:5" x14ac:dyDescent="0.3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3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3">
      <c r="B1019" t="s">
        <v>443</v>
      </c>
      <c r="C1019" t="s">
        <v>166</v>
      </c>
      <c r="E1019">
        <f>LEN(Tabla1[[#This Row],[Categorías]])</f>
        <v>47</v>
      </c>
    </row>
    <row r="1020" spans="2:5" x14ac:dyDescent="0.3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3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3">
      <c r="B1022" t="s">
        <v>443</v>
      </c>
      <c r="C1022" t="s">
        <v>240</v>
      </c>
      <c r="E1022">
        <f>LEN(Tabla1[[#This Row],[Categorías]])</f>
        <v>14</v>
      </c>
    </row>
    <row r="1023" spans="2:5" x14ac:dyDescent="0.3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3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3">
      <c r="B1025" t="s">
        <v>443</v>
      </c>
      <c r="C1025" t="s">
        <v>291</v>
      </c>
      <c r="E1025">
        <f>LEN(Tabla1[[#This Row],[Categorías]])</f>
        <v>9</v>
      </c>
    </row>
    <row r="1026" spans="2:5" x14ac:dyDescent="0.3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3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3">
      <c r="B1028" t="s">
        <v>443</v>
      </c>
      <c r="C1028" t="s">
        <v>202</v>
      </c>
      <c r="E1028">
        <f>LEN(Tabla1[[#This Row],[Categorías]])</f>
        <v>27</v>
      </c>
    </row>
    <row r="1029" spans="2:5" x14ac:dyDescent="0.3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3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3">
      <c r="B1031" t="s">
        <v>443</v>
      </c>
      <c r="C1031" t="s">
        <v>46</v>
      </c>
      <c r="E1031">
        <f>LEN(Tabla1[[#This Row],[Categorías]])</f>
        <v>27</v>
      </c>
    </row>
    <row r="1032" spans="2:5" x14ac:dyDescent="0.3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3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3">
      <c r="B1034" t="s">
        <v>443</v>
      </c>
      <c r="C1034" t="s">
        <v>45</v>
      </c>
      <c r="E1034">
        <f>LEN(Tabla1[[#This Row],[Categorías]])</f>
        <v>34</v>
      </c>
    </row>
    <row r="1035" spans="2:5" x14ac:dyDescent="0.3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3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3">
      <c r="B1037" t="s">
        <v>443</v>
      </c>
      <c r="C1037" t="s">
        <v>44</v>
      </c>
      <c r="E1037">
        <f>LEN(Tabla1[[#This Row],[Categorías]])</f>
        <v>65</v>
      </c>
    </row>
    <row r="1038" spans="2:5" x14ac:dyDescent="0.3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3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3">
      <c r="B1040" t="s">
        <v>443</v>
      </c>
      <c r="C1040" t="s">
        <v>43</v>
      </c>
      <c r="E1040">
        <f>LEN(Tabla1[[#This Row],[Categorías]])</f>
        <v>133</v>
      </c>
    </row>
    <row r="1041" spans="2:5" x14ac:dyDescent="0.3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3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3">
      <c r="B1043" t="s">
        <v>443</v>
      </c>
      <c r="C1043" t="s">
        <v>42</v>
      </c>
      <c r="E1043">
        <f>LEN(Tabla1[[#This Row],[Categorías]])</f>
        <v>28</v>
      </c>
    </row>
    <row r="1044" spans="2:5" x14ac:dyDescent="0.3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3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3">
      <c r="B1046" t="s">
        <v>443</v>
      </c>
      <c r="C1046" t="s">
        <v>192</v>
      </c>
      <c r="E1046">
        <f>LEN(Tabla1[[#This Row],[Categorías]])</f>
        <v>20</v>
      </c>
    </row>
    <row r="1047" spans="2:5" x14ac:dyDescent="0.3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3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3">
      <c r="B1049" t="s">
        <v>443</v>
      </c>
      <c r="C1049" t="s">
        <v>228</v>
      </c>
      <c r="E1049">
        <f>LEN(Tabla1[[#This Row],[Categorías]])</f>
        <v>53</v>
      </c>
    </row>
    <row r="1050" spans="2:5" x14ac:dyDescent="0.3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3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3">
      <c r="B1052" t="s">
        <v>443</v>
      </c>
      <c r="C1052" t="s">
        <v>227</v>
      </c>
      <c r="E1052">
        <f>LEN(Tabla1[[#This Row],[Categorías]])</f>
        <v>121</v>
      </c>
    </row>
    <row r="1053" spans="2:5" x14ac:dyDescent="0.3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3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3">
      <c r="B1055" t="s">
        <v>443</v>
      </c>
      <c r="C1055" t="s">
        <v>193</v>
      </c>
      <c r="E1055">
        <f>LEN(Tabla1[[#This Row],[Categorías]])</f>
        <v>16</v>
      </c>
    </row>
    <row r="1056" spans="2:5" x14ac:dyDescent="0.3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3">
      <c r="B1057" t="s">
        <v>443</v>
      </c>
      <c r="C1057" t="s">
        <v>446</v>
      </c>
      <c r="E1057">
        <f>LEN(Tabla1[[#This Row],[Categorías]])</f>
        <v>44</v>
      </c>
    </row>
    <row r="1058" spans="2:5" x14ac:dyDescent="0.3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3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3">
      <c r="B1060" t="s">
        <v>443</v>
      </c>
      <c r="C1060" t="s">
        <v>95</v>
      </c>
      <c r="E1060">
        <f>LEN(Tabla1[[#This Row],[Categorías]])</f>
        <v>77</v>
      </c>
    </row>
    <row r="1061" spans="2:5" x14ac:dyDescent="0.3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3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3">
      <c r="B1063" t="s">
        <v>443</v>
      </c>
      <c r="C1063" t="s">
        <v>80</v>
      </c>
      <c r="E1063">
        <f>LEN(Tabla1[[#This Row],[Categorías]])</f>
        <v>18</v>
      </c>
    </row>
    <row r="1064" spans="2:5" x14ac:dyDescent="0.3">
      <c r="B1064" t="s">
        <v>443</v>
      </c>
      <c r="E1064">
        <f>LEN(Tabla1[[#This Row],[Categorías]])</f>
        <v>0</v>
      </c>
    </row>
    <row r="1065" spans="2:5" x14ac:dyDescent="0.3">
      <c r="B1065" t="s">
        <v>447</v>
      </c>
      <c r="E1065">
        <f>LEN(Tabla1[[#This Row],[Categorías]])</f>
        <v>0</v>
      </c>
    </row>
    <row r="1066" spans="2:5" x14ac:dyDescent="0.3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4.4" x14ac:dyDescent="0.3"/>
  <cols>
    <col min="1" max="1" width="34.44140625" customWidth="1"/>
  </cols>
  <sheetData>
    <row r="1" spans="1:2" x14ac:dyDescent="0.3">
      <c r="A1" t="s">
        <v>1038</v>
      </c>
      <c r="B1" t="s">
        <v>1039</v>
      </c>
    </row>
    <row r="2" spans="1:2" x14ac:dyDescent="0.3">
      <c r="A2" s="15" t="s">
        <v>14</v>
      </c>
    </row>
    <row r="3" spans="1:2" x14ac:dyDescent="0.3">
      <c r="A3" s="15" t="s">
        <v>1040</v>
      </c>
    </row>
    <row r="4" spans="1:2" x14ac:dyDescent="0.3">
      <c r="A4" s="15" t="s">
        <v>223</v>
      </c>
    </row>
    <row r="5" spans="1:2" x14ac:dyDescent="0.3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30"/>
  <sheetViews>
    <sheetView tabSelected="1" topLeftCell="B1" workbookViewId="0">
      <pane ySplit="2" topLeftCell="A3" activePane="bottomLeft" state="frozen"/>
      <selection pane="bottomLeft" activeCell="C3" sqref="C3"/>
    </sheetView>
  </sheetViews>
  <sheetFormatPr baseColWidth="10" defaultRowHeight="14.4" x14ac:dyDescent="0.3"/>
  <cols>
    <col min="1" max="1" width="26.5546875" customWidth="1"/>
    <col min="2" max="3" width="9.88671875" customWidth="1"/>
    <col min="4" max="4" width="47.5546875" customWidth="1"/>
    <col min="5" max="5" width="21.109375" customWidth="1"/>
    <col min="6" max="6" width="12.109375" customWidth="1"/>
    <col min="7" max="7" width="29.88671875" customWidth="1"/>
    <col min="9" max="12" width="15.6640625" customWidth="1"/>
  </cols>
  <sheetData>
    <row r="1" spans="1:12" ht="16.2" thickBot="1" x14ac:dyDescent="0.35">
      <c r="C1" s="44" t="s">
        <v>1055</v>
      </c>
      <c r="D1" s="44"/>
      <c r="E1" s="44" t="s">
        <v>1056</v>
      </c>
      <c r="J1" s="65">
        <f>SUM(Tabla10[Cantidad])</f>
        <v>0</v>
      </c>
    </row>
    <row r="2" spans="1:12" ht="15" thickBot="1" x14ac:dyDescent="0.35">
      <c r="A2" s="23" t="s">
        <v>1047</v>
      </c>
      <c r="B2" s="24" t="s">
        <v>1051</v>
      </c>
      <c r="C2" s="25" t="s">
        <v>1019</v>
      </c>
      <c r="D2" s="26" t="s">
        <v>1020</v>
      </c>
      <c r="E2" s="26" t="s">
        <v>1045</v>
      </c>
      <c r="F2" s="26" t="s">
        <v>1022</v>
      </c>
      <c r="G2" s="26" t="s">
        <v>1023</v>
      </c>
      <c r="H2" s="26" t="s">
        <v>1044</v>
      </c>
      <c r="I2" s="26" t="s">
        <v>24</v>
      </c>
      <c r="J2" s="26" t="s">
        <v>1024</v>
      </c>
      <c r="K2" s="26" t="s">
        <v>1025</v>
      </c>
      <c r="L2" s="24" t="s">
        <v>1026</v>
      </c>
    </row>
    <row r="3" spans="1:12" x14ac:dyDescent="0.3">
      <c r="A3" s="56" t="str">
        <f>Tabla10[[#This Row],[TIPO_P]] &amp; "|" &amp;Tabla10[[#This Row],[Agrupación]] &amp; "|" &amp; Tabla10[[#This Row],[Sexo]] &amp; "|" &amp; Tabla10[[#This Row],[Entidad]]</f>
        <v>PS|||</v>
      </c>
      <c r="B3" s="57" t="s">
        <v>1050</v>
      </c>
      <c r="C3" s="88"/>
      <c r="D3" s="27"/>
      <c r="E3" s="27"/>
      <c r="F3" s="27"/>
      <c r="G3" s="27"/>
      <c r="H3" s="27"/>
      <c r="I3" s="27"/>
      <c r="J3" s="27"/>
      <c r="K3" s="27"/>
      <c r="L3" s="20"/>
    </row>
    <row r="4" spans="1:12" x14ac:dyDescent="0.3">
      <c r="A4" s="58" t="str">
        <f>Tabla10[[#This Row],[TIPO_P]] &amp; "|" &amp;Tabla10[[#This Row],[Agrupación]] &amp; "|" &amp; Tabla10[[#This Row],[Sexo]] &amp; "|" &amp; Tabla10[[#This Row],[Entidad]]</f>
        <v>PS|||</v>
      </c>
      <c r="B4" s="59" t="s">
        <v>1050</v>
      </c>
      <c r="C4" s="16"/>
      <c r="L4" s="28"/>
    </row>
    <row r="5" spans="1:12" x14ac:dyDescent="0.3">
      <c r="A5" s="58" t="str">
        <f>Tabla10[[#This Row],[TIPO_P]] &amp; "|" &amp;Tabla10[[#This Row],[Agrupación]] &amp; "|" &amp; Tabla10[[#This Row],[Sexo]] &amp; "|" &amp; Tabla10[[#This Row],[Entidad]]</f>
        <v>PS|||</v>
      </c>
      <c r="B5" s="59" t="s">
        <v>1050</v>
      </c>
      <c r="C5" s="16"/>
      <c r="L5" s="28"/>
    </row>
    <row r="6" spans="1:12" x14ac:dyDescent="0.3">
      <c r="A6" s="58" t="str">
        <f>Tabla10[[#This Row],[TIPO_P]] &amp; "|" &amp;Tabla10[[#This Row],[Agrupación]] &amp; "|" &amp; Tabla10[[#This Row],[Sexo]] &amp; "|" &amp; Tabla10[[#This Row],[Entidad]]</f>
        <v>PS|||</v>
      </c>
      <c r="B6" s="59" t="s">
        <v>1050</v>
      </c>
      <c r="C6" s="16"/>
      <c r="L6" s="28"/>
    </row>
    <row r="7" spans="1:12" x14ac:dyDescent="0.3">
      <c r="A7" s="58" t="str">
        <f>Tabla10[[#This Row],[TIPO_P]] &amp; "|" &amp;Tabla10[[#This Row],[Agrupación]] &amp; "|" &amp; Tabla10[[#This Row],[Sexo]] &amp; "|" &amp; Tabla10[[#This Row],[Entidad]]</f>
        <v>PS|||</v>
      </c>
      <c r="B7" s="59" t="s">
        <v>1050</v>
      </c>
      <c r="C7" s="16"/>
      <c r="L7" s="28"/>
    </row>
    <row r="8" spans="1:12" x14ac:dyDescent="0.3">
      <c r="A8" s="58" t="str">
        <f>Tabla10[[#This Row],[TIPO_P]] &amp; "|" &amp;Tabla10[[#This Row],[Agrupación]] &amp; "|" &amp; Tabla10[[#This Row],[Sexo]] &amp; "|" &amp; Tabla10[[#This Row],[Entidad]]</f>
        <v>PS|||</v>
      </c>
      <c r="B8" s="59" t="s">
        <v>1050</v>
      </c>
      <c r="C8" s="16"/>
      <c r="L8" s="28"/>
    </row>
    <row r="9" spans="1:12" x14ac:dyDescent="0.3">
      <c r="A9" s="58" t="str">
        <f>Tabla10[[#This Row],[TIPO_P]] &amp; "|" &amp;Tabla10[[#This Row],[Agrupación]] &amp; "|" &amp; Tabla10[[#This Row],[Sexo]] &amp; "|" &amp; Tabla10[[#This Row],[Entidad]]</f>
        <v>PS|||</v>
      </c>
      <c r="B9" s="59" t="s">
        <v>1050</v>
      </c>
      <c r="C9" s="16"/>
      <c r="L9" s="28"/>
    </row>
    <row r="10" spans="1:12" x14ac:dyDescent="0.3">
      <c r="A10" s="58" t="str">
        <f>Tabla10[[#This Row],[TIPO_P]] &amp; "|" &amp;Tabla10[[#This Row],[Agrupación]] &amp; "|" &amp; Tabla10[[#This Row],[Sexo]] &amp; "|" &amp; Tabla10[[#This Row],[Entidad]]</f>
        <v>PS|||</v>
      </c>
      <c r="B10" s="59" t="s">
        <v>1050</v>
      </c>
      <c r="C10" s="16"/>
      <c r="L10" s="28"/>
    </row>
    <row r="11" spans="1:12" x14ac:dyDescent="0.3">
      <c r="A11" s="58" t="str">
        <f>Tabla10[[#This Row],[TIPO_P]] &amp; "|" &amp;Tabla10[[#This Row],[Agrupación]] &amp; "|" &amp; Tabla10[[#This Row],[Sexo]] &amp; "|" &amp; Tabla10[[#This Row],[Entidad]]</f>
        <v>PS|||</v>
      </c>
      <c r="B11" s="59" t="s">
        <v>1050</v>
      </c>
      <c r="C11" s="16"/>
      <c r="L11" s="28"/>
    </row>
    <row r="12" spans="1:12" x14ac:dyDescent="0.3">
      <c r="A12" s="58" t="str">
        <f>Tabla10[[#This Row],[TIPO_P]] &amp; "|" &amp;Tabla10[[#This Row],[Agrupación]] &amp; "|" &amp; Tabla10[[#This Row],[Sexo]] &amp; "|" &amp; Tabla10[[#This Row],[Entidad]]</f>
        <v>PS|||</v>
      </c>
      <c r="B12" s="59" t="s">
        <v>1050</v>
      </c>
      <c r="C12" s="16"/>
      <c r="L12" s="28"/>
    </row>
    <row r="13" spans="1:12" x14ac:dyDescent="0.3">
      <c r="A13" s="58" t="str">
        <f>Tabla10[[#This Row],[TIPO_P]] &amp; "|" &amp;Tabla10[[#This Row],[Agrupación]] &amp; "|" &amp; Tabla10[[#This Row],[Sexo]] &amp; "|" &amp; Tabla10[[#This Row],[Entidad]]</f>
        <v>PS|||</v>
      </c>
      <c r="B13" s="59" t="s">
        <v>1050</v>
      </c>
      <c r="C13" s="16"/>
      <c r="L13" s="28"/>
    </row>
    <row r="14" spans="1:12" x14ac:dyDescent="0.3">
      <c r="A14" s="58" t="str">
        <f>Tabla10[[#This Row],[TIPO_P]] &amp; "|" &amp;Tabla10[[#This Row],[Agrupación]] &amp; "|" &amp; Tabla10[[#This Row],[Sexo]] &amp; "|" &amp; Tabla10[[#This Row],[Entidad]]</f>
        <v>PS|||</v>
      </c>
      <c r="B14" s="59" t="s">
        <v>1050</v>
      </c>
      <c r="C14" s="16"/>
      <c r="L14" s="28"/>
    </row>
    <row r="15" spans="1:12" x14ac:dyDescent="0.3">
      <c r="A15" s="58" t="str">
        <f>Tabla10[[#This Row],[TIPO_P]] &amp; "|" &amp;Tabla10[[#This Row],[Agrupación]] &amp; "|" &amp; Tabla10[[#This Row],[Sexo]] &amp; "|" &amp; Tabla10[[#This Row],[Entidad]]</f>
        <v>PS|||</v>
      </c>
      <c r="B15" s="59" t="s">
        <v>1050</v>
      </c>
      <c r="C15" s="16"/>
      <c r="L15" s="28"/>
    </row>
    <row r="16" spans="1:12" x14ac:dyDescent="0.3">
      <c r="A16" s="58" t="str">
        <f>Tabla10[[#This Row],[TIPO_P]] &amp; "|" &amp;Tabla10[[#This Row],[Agrupación]] &amp; "|" &amp; Tabla10[[#This Row],[Sexo]] &amp; "|" &amp; Tabla10[[#This Row],[Entidad]]</f>
        <v>PS|||</v>
      </c>
      <c r="B16" s="59" t="s">
        <v>1050</v>
      </c>
      <c r="C16" s="16"/>
      <c r="L16" s="28"/>
    </row>
    <row r="17" spans="1:12" x14ac:dyDescent="0.3">
      <c r="A17" s="58" t="str">
        <f>Tabla10[[#This Row],[TIPO_P]] &amp; "|" &amp;Tabla10[[#This Row],[Agrupación]] &amp; "|" &amp; Tabla10[[#This Row],[Sexo]] &amp; "|" &amp; Tabla10[[#This Row],[Entidad]]</f>
        <v>PS|||</v>
      </c>
      <c r="B17" s="59" t="s">
        <v>1050</v>
      </c>
      <c r="C17" s="16"/>
      <c r="L17" s="28"/>
    </row>
    <row r="18" spans="1:12" x14ac:dyDescent="0.3">
      <c r="A18" s="58" t="str">
        <f>Tabla10[[#This Row],[TIPO_P]] &amp; "|" &amp;Tabla10[[#This Row],[Agrupación]] &amp; "|" &amp; Tabla10[[#This Row],[Sexo]] &amp; "|" &amp; Tabla10[[#This Row],[Entidad]]</f>
        <v>PS|||</v>
      </c>
      <c r="B18" s="59" t="s">
        <v>1050</v>
      </c>
      <c r="C18" s="16"/>
      <c r="L18" s="28"/>
    </row>
    <row r="19" spans="1:12" x14ac:dyDescent="0.3">
      <c r="A19" s="58" t="str">
        <f>Tabla10[[#This Row],[TIPO_P]] &amp; "|" &amp;Tabla10[[#This Row],[Agrupación]] &amp; "|" &amp; Tabla10[[#This Row],[Sexo]] &amp; "|" &amp; Tabla10[[#This Row],[Entidad]]</f>
        <v>PS|||</v>
      </c>
      <c r="B19" s="59" t="s">
        <v>1050</v>
      </c>
      <c r="C19" s="16"/>
      <c r="L19" s="28"/>
    </row>
    <row r="20" spans="1:12" x14ac:dyDescent="0.3">
      <c r="A20" s="58" t="str">
        <f>Tabla10[[#This Row],[TIPO_P]] &amp; "|" &amp;Tabla10[[#This Row],[Agrupación]] &amp; "|" &amp; Tabla10[[#This Row],[Sexo]] &amp; "|" &amp; Tabla10[[#This Row],[Entidad]]</f>
        <v>PS|||</v>
      </c>
      <c r="B20" s="59" t="s">
        <v>1050</v>
      </c>
      <c r="C20" s="16"/>
      <c r="L20" s="28"/>
    </row>
    <row r="21" spans="1:12" x14ac:dyDescent="0.3">
      <c r="A21" s="58" t="str">
        <f>Tabla10[[#This Row],[TIPO_P]] &amp; "|" &amp;Tabla10[[#This Row],[Agrupación]] &amp; "|" &amp; Tabla10[[#This Row],[Sexo]] &amp; "|" &amp; Tabla10[[#This Row],[Entidad]]</f>
        <v>PS|||</v>
      </c>
      <c r="B21" s="59" t="s">
        <v>1050</v>
      </c>
      <c r="C21" s="16"/>
      <c r="L21" s="28"/>
    </row>
    <row r="22" spans="1:12" x14ac:dyDescent="0.3">
      <c r="A22" s="58" t="str">
        <f>Tabla10[[#This Row],[TIPO_P]] &amp; "|" &amp;Tabla10[[#This Row],[Agrupación]] &amp; "|" &amp; Tabla10[[#This Row],[Sexo]] &amp; "|" &amp; Tabla10[[#This Row],[Entidad]]</f>
        <v>PS|||</v>
      </c>
      <c r="B22" s="59" t="s">
        <v>1050</v>
      </c>
      <c r="C22" s="16"/>
      <c r="L22" s="28"/>
    </row>
    <row r="23" spans="1:12" x14ac:dyDescent="0.3">
      <c r="A23" s="58" t="str">
        <f>Tabla10[[#This Row],[TIPO_P]] &amp; "|" &amp;Tabla10[[#This Row],[Agrupación]] &amp; "|" &amp; Tabla10[[#This Row],[Sexo]] &amp; "|" &amp; Tabla10[[#This Row],[Entidad]]</f>
        <v>PS|||</v>
      </c>
      <c r="B23" s="59" t="s">
        <v>1050</v>
      </c>
      <c r="C23" s="16"/>
      <c r="L23" s="28"/>
    </row>
    <row r="24" spans="1:12" x14ac:dyDescent="0.3">
      <c r="A24" s="58" t="str">
        <f>Tabla10[[#This Row],[TIPO_P]] &amp; "|" &amp;Tabla10[[#This Row],[Agrupación]] &amp; "|" &amp; Tabla10[[#This Row],[Sexo]] &amp; "|" &amp; Tabla10[[#This Row],[Entidad]]</f>
        <v>PS|||</v>
      </c>
      <c r="B24" s="59" t="s">
        <v>1050</v>
      </c>
      <c r="C24" s="16"/>
      <c r="L24" s="28"/>
    </row>
    <row r="25" spans="1:12" x14ac:dyDescent="0.3">
      <c r="A25" s="58" t="str">
        <f>Tabla10[[#This Row],[TIPO_P]] &amp; "|" &amp;Tabla10[[#This Row],[Agrupación]] &amp; "|" &amp; Tabla10[[#This Row],[Sexo]] &amp; "|" &amp; Tabla10[[#This Row],[Entidad]]</f>
        <v>PS|||</v>
      </c>
      <c r="B25" s="59" t="s">
        <v>1050</v>
      </c>
      <c r="C25" s="16"/>
      <c r="L25" s="28"/>
    </row>
    <row r="26" spans="1:12" x14ac:dyDescent="0.3">
      <c r="A26" s="58" t="str">
        <f>Tabla10[[#This Row],[TIPO_P]] &amp; "|" &amp;Tabla10[[#This Row],[Agrupación]] &amp; "|" &amp; Tabla10[[#This Row],[Sexo]] &amp; "|" &amp; Tabla10[[#This Row],[Entidad]]</f>
        <v>PS|||</v>
      </c>
      <c r="B26" s="59" t="s">
        <v>1050</v>
      </c>
      <c r="C26" s="16"/>
      <c r="L26" s="28"/>
    </row>
    <row r="27" spans="1:12" x14ac:dyDescent="0.3">
      <c r="A27" s="58" t="str">
        <f>Tabla10[[#This Row],[TIPO_P]] &amp; "|" &amp;Tabla10[[#This Row],[Agrupación]] &amp; "|" &amp; Tabla10[[#This Row],[Sexo]] &amp; "|" &amp; Tabla10[[#This Row],[Entidad]]</f>
        <v>PS|||</v>
      </c>
      <c r="B27" s="59" t="s">
        <v>1050</v>
      </c>
      <c r="C27" s="16"/>
      <c r="L27" s="28"/>
    </row>
    <row r="28" spans="1:12" x14ac:dyDescent="0.3">
      <c r="A28" s="58" t="str">
        <f>Tabla10[[#This Row],[TIPO_P]] &amp; "|" &amp;Tabla10[[#This Row],[Agrupación]] &amp; "|" &amp; Tabla10[[#This Row],[Sexo]] &amp; "|" &amp; Tabla10[[#This Row],[Entidad]]</f>
        <v>PS|||</v>
      </c>
      <c r="B28" s="59" t="s">
        <v>1050</v>
      </c>
      <c r="C28" s="16"/>
      <c r="L28" s="28"/>
    </row>
    <row r="29" spans="1:12" x14ac:dyDescent="0.3">
      <c r="A29" s="58" t="str">
        <f>Tabla10[[#This Row],[TIPO_P]] &amp; "|" &amp;Tabla10[[#This Row],[Agrupación]] &amp; "|" &amp; Tabla10[[#This Row],[Sexo]] &amp; "|" &amp; Tabla10[[#This Row],[Entidad]]</f>
        <v>PS|||</v>
      </c>
      <c r="B29" s="59" t="s">
        <v>1050</v>
      </c>
      <c r="C29" s="16"/>
      <c r="L29" s="28"/>
    </row>
    <row r="30" spans="1:12" x14ac:dyDescent="0.3">
      <c r="A30" s="58" t="str">
        <f>Tabla10[[#This Row],[TIPO_P]] &amp; "|" &amp;Tabla10[[#This Row],[Agrupación]] &amp; "|" &amp; Tabla10[[#This Row],[Sexo]] &amp; "|" &amp; Tabla10[[#This Row],[Entidad]]</f>
        <v>PS|||</v>
      </c>
      <c r="B30" s="59" t="s">
        <v>1050</v>
      </c>
      <c r="C30" s="16"/>
      <c r="L30" s="28"/>
    </row>
    <row r="31" spans="1:12" x14ac:dyDescent="0.3">
      <c r="A31" s="58" t="str">
        <f>Tabla10[[#This Row],[TIPO_P]] &amp; "|" &amp;Tabla10[[#This Row],[Agrupación]] &amp; "|" &amp; Tabla10[[#This Row],[Sexo]] &amp; "|" &amp; Tabla10[[#This Row],[Entidad]]</f>
        <v>PS|||</v>
      </c>
      <c r="B31" s="59" t="s">
        <v>1050</v>
      </c>
      <c r="C31" s="16"/>
      <c r="L31" s="28"/>
    </row>
    <row r="32" spans="1:12" x14ac:dyDescent="0.3">
      <c r="A32" s="58" t="str">
        <f>Tabla10[[#This Row],[TIPO_P]] &amp; "|" &amp;Tabla10[[#This Row],[Agrupación]] &amp; "|" &amp; Tabla10[[#This Row],[Sexo]] &amp; "|" &amp; Tabla10[[#This Row],[Entidad]]</f>
        <v>PS|||</v>
      </c>
      <c r="B32" s="59" t="s">
        <v>1050</v>
      </c>
      <c r="C32" s="16"/>
      <c r="L32" s="28"/>
    </row>
    <row r="33" spans="1:12" x14ac:dyDescent="0.3">
      <c r="A33" s="58" t="str">
        <f>Tabla10[[#This Row],[TIPO_P]] &amp; "|" &amp;Tabla10[[#This Row],[Agrupación]] &amp; "|" &amp; Tabla10[[#This Row],[Sexo]] &amp; "|" &amp; Tabla10[[#This Row],[Entidad]]</f>
        <v>PS|||</v>
      </c>
      <c r="B33" s="59" t="s">
        <v>1050</v>
      </c>
      <c r="C33" s="16"/>
      <c r="L33" s="28"/>
    </row>
    <row r="34" spans="1:12" x14ac:dyDescent="0.3">
      <c r="A34" s="58" t="str">
        <f>Tabla10[[#This Row],[TIPO_P]] &amp; "|" &amp;Tabla10[[#This Row],[Agrupación]] &amp; "|" &amp; Tabla10[[#This Row],[Sexo]] &amp; "|" &amp; Tabla10[[#This Row],[Entidad]]</f>
        <v>PS|||</v>
      </c>
      <c r="B34" s="59" t="s">
        <v>1050</v>
      </c>
      <c r="C34" s="16"/>
      <c r="L34" s="28"/>
    </row>
    <row r="35" spans="1:12" x14ac:dyDescent="0.3">
      <c r="A35" s="58" t="str">
        <f>Tabla10[[#This Row],[TIPO_P]] &amp; "|" &amp;Tabla10[[#This Row],[Agrupación]] &amp; "|" &amp; Tabla10[[#This Row],[Sexo]] &amp; "|" &amp; Tabla10[[#This Row],[Entidad]]</f>
        <v>PS|||</v>
      </c>
      <c r="B35" s="59" t="s">
        <v>1050</v>
      </c>
      <c r="C35" s="16"/>
      <c r="L35" s="28"/>
    </row>
    <row r="36" spans="1:12" x14ac:dyDescent="0.3">
      <c r="A36" s="58" t="str">
        <f>Tabla10[[#This Row],[TIPO_P]] &amp; "|" &amp;Tabla10[[#This Row],[Agrupación]] &amp; "|" &amp; Tabla10[[#This Row],[Sexo]] &amp; "|" &amp; Tabla10[[#This Row],[Entidad]]</f>
        <v>PS|||</v>
      </c>
      <c r="B36" s="59" t="s">
        <v>1050</v>
      </c>
      <c r="C36" s="16"/>
      <c r="L36" s="28"/>
    </row>
    <row r="37" spans="1:12" x14ac:dyDescent="0.3">
      <c r="A37" s="58" t="str">
        <f>Tabla10[[#This Row],[TIPO_P]] &amp; "|" &amp;Tabla10[[#This Row],[Agrupación]] &amp; "|" &amp; Tabla10[[#This Row],[Sexo]] &amp; "|" &amp; Tabla10[[#This Row],[Entidad]]</f>
        <v>PS|||</v>
      </c>
      <c r="B37" s="59" t="s">
        <v>1050</v>
      </c>
      <c r="C37" s="16"/>
      <c r="L37" s="28"/>
    </row>
    <row r="38" spans="1:12" x14ac:dyDescent="0.3">
      <c r="A38" s="58" t="str">
        <f>Tabla10[[#This Row],[TIPO_P]] &amp; "|" &amp;Tabla10[[#This Row],[Agrupación]] &amp; "|" &amp; Tabla10[[#This Row],[Sexo]] &amp; "|" &amp; Tabla10[[#This Row],[Entidad]]</f>
        <v>PS|||</v>
      </c>
      <c r="B38" s="59" t="s">
        <v>1050</v>
      </c>
      <c r="C38" s="16"/>
      <c r="L38" s="28"/>
    </row>
    <row r="39" spans="1:12" x14ac:dyDescent="0.3">
      <c r="A39" s="58" t="str">
        <f>Tabla10[[#This Row],[TIPO_P]] &amp; "|" &amp;Tabla10[[#This Row],[Agrupación]] &amp; "|" &amp; Tabla10[[#This Row],[Sexo]] &amp; "|" &amp; Tabla10[[#This Row],[Entidad]]</f>
        <v>PS|||</v>
      </c>
      <c r="B39" s="59" t="s">
        <v>1050</v>
      </c>
      <c r="C39" s="16"/>
      <c r="L39" s="28"/>
    </row>
    <row r="40" spans="1:12" x14ac:dyDescent="0.3">
      <c r="A40" s="58" t="str">
        <f>Tabla10[[#This Row],[TIPO_P]] &amp; "|" &amp;Tabla10[[#This Row],[Agrupación]] &amp; "|" &amp; Tabla10[[#This Row],[Sexo]] &amp; "|" &amp; Tabla10[[#This Row],[Entidad]]</f>
        <v>PS|||</v>
      </c>
      <c r="B40" s="59" t="s">
        <v>1050</v>
      </c>
      <c r="C40" s="16"/>
      <c r="L40" s="28"/>
    </row>
    <row r="41" spans="1:12" x14ac:dyDescent="0.3">
      <c r="A41" s="58" t="str">
        <f>Tabla10[[#This Row],[TIPO_P]] &amp; "|" &amp;Tabla10[[#This Row],[Agrupación]] &amp; "|" &amp; Tabla10[[#This Row],[Sexo]] &amp; "|" &amp; Tabla10[[#This Row],[Entidad]]</f>
        <v>PS|||</v>
      </c>
      <c r="B41" s="59" t="s">
        <v>1050</v>
      </c>
      <c r="C41" s="16"/>
      <c r="L41" s="28"/>
    </row>
    <row r="42" spans="1:12" x14ac:dyDescent="0.3">
      <c r="A42" s="58" t="str">
        <f>Tabla10[[#This Row],[TIPO_P]] &amp; "|" &amp;Tabla10[[#This Row],[Agrupación]] &amp; "|" &amp; Tabla10[[#This Row],[Sexo]] &amp; "|" &amp; Tabla10[[#This Row],[Entidad]]</f>
        <v>PS|||</v>
      </c>
      <c r="B42" s="59" t="s">
        <v>1050</v>
      </c>
      <c r="C42" s="16"/>
      <c r="L42" s="28"/>
    </row>
    <row r="43" spans="1:12" x14ac:dyDescent="0.3">
      <c r="A43" s="58" t="str">
        <f>Tabla10[[#This Row],[TIPO_P]] &amp; "|" &amp;Tabla10[[#This Row],[Agrupación]] &amp; "|" &amp; Tabla10[[#This Row],[Sexo]] &amp; "|" &amp; Tabla10[[#This Row],[Entidad]]</f>
        <v>PS|||</v>
      </c>
      <c r="B43" s="59" t="s">
        <v>1050</v>
      </c>
      <c r="C43" s="16"/>
      <c r="L43" s="28"/>
    </row>
    <row r="44" spans="1:12" x14ac:dyDescent="0.3">
      <c r="A44" s="58" t="str">
        <f>Tabla10[[#This Row],[TIPO_P]] &amp; "|" &amp;Tabla10[[#This Row],[Agrupación]] &amp; "|" &amp; Tabla10[[#This Row],[Sexo]] &amp; "|" &amp; Tabla10[[#This Row],[Entidad]]</f>
        <v>PS|||</v>
      </c>
      <c r="B44" s="59" t="s">
        <v>1050</v>
      </c>
      <c r="C44" s="16"/>
      <c r="L44" s="28"/>
    </row>
    <row r="45" spans="1:12" x14ac:dyDescent="0.3">
      <c r="A45" s="58" t="str">
        <f>Tabla10[[#This Row],[TIPO_P]] &amp; "|" &amp;Tabla10[[#This Row],[Agrupación]] &amp; "|" &amp; Tabla10[[#This Row],[Sexo]] &amp; "|" &amp; Tabla10[[#This Row],[Entidad]]</f>
        <v>PS|||</v>
      </c>
      <c r="B45" s="59" t="s">
        <v>1050</v>
      </c>
      <c r="C45" s="16"/>
      <c r="L45" s="28"/>
    </row>
    <row r="46" spans="1:12" x14ac:dyDescent="0.3">
      <c r="A46" s="58" t="str">
        <f>Tabla10[[#This Row],[TIPO_P]] &amp; "|" &amp;Tabla10[[#This Row],[Agrupación]] &amp; "|" &amp; Tabla10[[#This Row],[Sexo]] &amp; "|" &amp; Tabla10[[#This Row],[Entidad]]</f>
        <v>PS|||</v>
      </c>
      <c r="B46" s="59" t="s">
        <v>1050</v>
      </c>
      <c r="C46" s="16"/>
      <c r="L46" s="28"/>
    </row>
    <row r="47" spans="1:12" x14ac:dyDescent="0.3">
      <c r="A47" s="58" t="str">
        <f>Tabla10[[#This Row],[TIPO_P]] &amp; "|" &amp;Tabla10[[#This Row],[Agrupación]] &amp; "|" &amp; Tabla10[[#This Row],[Sexo]] &amp; "|" &amp; Tabla10[[#This Row],[Entidad]]</f>
        <v>PS|||</v>
      </c>
      <c r="B47" s="59" t="s">
        <v>1050</v>
      </c>
      <c r="C47" s="16"/>
      <c r="L47" s="28"/>
    </row>
    <row r="48" spans="1:12" x14ac:dyDescent="0.3">
      <c r="A48" s="58" t="str">
        <f>Tabla10[[#This Row],[TIPO_P]] &amp; "|" &amp;Tabla10[[#This Row],[Agrupación]] &amp; "|" &amp; Tabla10[[#This Row],[Sexo]] &amp; "|" &amp; Tabla10[[#This Row],[Entidad]]</f>
        <v>PS|||</v>
      </c>
      <c r="B48" s="59" t="s">
        <v>1050</v>
      </c>
      <c r="C48" s="16"/>
      <c r="L48" s="28"/>
    </row>
    <row r="49" spans="1:12" x14ac:dyDescent="0.3">
      <c r="A49" s="58" t="str">
        <f>Tabla10[[#This Row],[TIPO_P]] &amp; "|" &amp;Tabla10[[#This Row],[Agrupación]] &amp; "|" &amp; Tabla10[[#This Row],[Sexo]] &amp; "|" &amp; Tabla10[[#This Row],[Entidad]]</f>
        <v>PS|||</v>
      </c>
      <c r="B49" s="59" t="s">
        <v>1050</v>
      </c>
      <c r="C49" s="16"/>
      <c r="L49" s="28"/>
    </row>
    <row r="50" spans="1:12" x14ac:dyDescent="0.3">
      <c r="A50" s="58" t="str">
        <f>Tabla10[[#This Row],[TIPO_P]] &amp; "|" &amp;Tabla10[[#This Row],[Agrupación]] &amp; "|" &amp; Tabla10[[#This Row],[Sexo]] &amp; "|" &amp; Tabla10[[#This Row],[Entidad]]</f>
        <v>PS|||</v>
      </c>
      <c r="B50" s="59" t="s">
        <v>1050</v>
      </c>
      <c r="C50" s="16"/>
      <c r="L50" s="28"/>
    </row>
    <row r="51" spans="1:12" x14ac:dyDescent="0.3">
      <c r="A51" s="58" t="str">
        <f>Tabla10[[#This Row],[TIPO_P]] &amp; "|" &amp;Tabla10[[#This Row],[Agrupación]] &amp; "|" &amp; Tabla10[[#This Row],[Sexo]] &amp; "|" &amp; Tabla10[[#This Row],[Entidad]]</f>
        <v>PS|||</v>
      </c>
      <c r="B51" s="59" t="s">
        <v>1050</v>
      </c>
      <c r="C51" s="16"/>
      <c r="L51" s="28"/>
    </row>
    <row r="52" spans="1:12" x14ac:dyDescent="0.3">
      <c r="A52" s="58" t="str">
        <f>Tabla10[[#This Row],[TIPO_P]] &amp; "|" &amp;Tabla10[[#This Row],[Agrupación]] &amp; "|" &amp; Tabla10[[#This Row],[Sexo]] &amp; "|" &amp; Tabla10[[#This Row],[Entidad]]</f>
        <v>PS|||</v>
      </c>
      <c r="B52" s="59" t="s">
        <v>1050</v>
      </c>
      <c r="C52" s="16"/>
      <c r="L52" s="28"/>
    </row>
    <row r="53" spans="1:12" x14ac:dyDescent="0.3">
      <c r="A53" s="58" t="str">
        <f>Tabla10[[#This Row],[TIPO_P]] &amp; "|" &amp;Tabla10[[#This Row],[Agrupación]] &amp; "|" &amp; Tabla10[[#This Row],[Sexo]] &amp; "|" &amp; Tabla10[[#This Row],[Entidad]]</f>
        <v>PS|||</v>
      </c>
      <c r="B53" s="59" t="s">
        <v>1050</v>
      </c>
      <c r="C53" s="16"/>
      <c r="L53" s="28"/>
    </row>
    <row r="54" spans="1:12" x14ac:dyDescent="0.3">
      <c r="A54" s="58" t="str">
        <f>Tabla10[[#This Row],[TIPO_P]] &amp; "|" &amp;Tabla10[[#This Row],[Agrupación]] &amp; "|" &amp; Tabla10[[#This Row],[Sexo]] &amp; "|" &amp; Tabla10[[#This Row],[Entidad]]</f>
        <v>PS|||</v>
      </c>
      <c r="B54" s="59" t="s">
        <v>1050</v>
      </c>
      <c r="C54" s="16"/>
      <c r="L54" s="28"/>
    </row>
    <row r="55" spans="1:12" x14ac:dyDescent="0.3">
      <c r="A55" s="58" t="str">
        <f>Tabla10[[#This Row],[TIPO_P]] &amp; "|" &amp;Tabla10[[#This Row],[Agrupación]] &amp; "|" &amp; Tabla10[[#This Row],[Sexo]] &amp; "|" &amp; Tabla10[[#This Row],[Entidad]]</f>
        <v>PS|||</v>
      </c>
      <c r="B55" s="59" t="s">
        <v>1050</v>
      </c>
      <c r="C55" s="16"/>
      <c r="L55" s="28"/>
    </row>
    <row r="56" spans="1:12" x14ac:dyDescent="0.3">
      <c r="A56" s="58" t="str">
        <f>Tabla10[[#This Row],[TIPO_P]] &amp; "|" &amp;Tabla10[[#This Row],[Agrupación]] &amp; "|" &amp; Tabla10[[#This Row],[Sexo]] &amp; "|" &amp; Tabla10[[#This Row],[Entidad]]</f>
        <v>PS|||</v>
      </c>
      <c r="B56" s="59" t="s">
        <v>1050</v>
      </c>
      <c r="C56" s="16"/>
      <c r="L56" s="28"/>
    </row>
    <row r="57" spans="1:12" x14ac:dyDescent="0.3">
      <c r="A57" s="58" t="str">
        <f>Tabla10[[#This Row],[TIPO_P]] &amp; "|" &amp;Tabla10[[#This Row],[Agrupación]] &amp; "|" &amp; Tabla10[[#This Row],[Sexo]] &amp; "|" &amp; Tabla10[[#This Row],[Entidad]]</f>
        <v>PS|||</v>
      </c>
      <c r="B57" s="59" t="s">
        <v>1050</v>
      </c>
      <c r="C57" s="16"/>
      <c r="L57" s="28"/>
    </row>
    <row r="58" spans="1:12" x14ac:dyDescent="0.3">
      <c r="A58" s="58" t="str">
        <f>Tabla10[[#This Row],[TIPO_P]] &amp; "|" &amp;Tabla10[[#This Row],[Agrupación]] &amp; "|" &amp; Tabla10[[#This Row],[Sexo]] &amp; "|" &amp; Tabla10[[#This Row],[Entidad]]</f>
        <v>PS|||</v>
      </c>
      <c r="B58" s="59" t="s">
        <v>1050</v>
      </c>
      <c r="C58" s="16"/>
      <c r="L58" s="28"/>
    </row>
    <row r="59" spans="1:12" x14ac:dyDescent="0.3">
      <c r="A59" s="58" t="str">
        <f>Tabla10[[#This Row],[TIPO_P]] &amp; "|" &amp;Tabla10[[#This Row],[Agrupación]] &amp; "|" &amp; Tabla10[[#This Row],[Sexo]] &amp; "|" &amp; Tabla10[[#This Row],[Entidad]]</f>
        <v>PS|||</v>
      </c>
      <c r="B59" s="59" t="s">
        <v>1050</v>
      </c>
      <c r="C59" s="16"/>
      <c r="L59" s="28"/>
    </row>
    <row r="60" spans="1:12" x14ac:dyDescent="0.3">
      <c r="A60" s="58" t="str">
        <f>Tabla10[[#This Row],[TIPO_P]] &amp; "|" &amp;Tabla10[[#This Row],[Agrupación]] &amp; "|" &amp; Tabla10[[#This Row],[Sexo]] &amp; "|" &amp; Tabla10[[#This Row],[Entidad]]</f>
        <v>PS|||</v>
      </c>
      <c r="B60" s="59" t="s">
        <v>1050</v>
      </c>
      <c r="C60" s="16"/>
      <c r="L60" s="28"/>
    </row>
    <row r="61" spans="1:12" x14ac:dyDescent="0.3">
      <c r="A61" s="58" t="str">
        <f>Tabla10[[#This Row],[TIPO_P]] &amp; "|" &amp;Tabla10[[#This Row],[Agrupación]] &amp; "|" &amp; Tabla10[[#This Row],[Sexo]] &amp; "|" &amp; Tabla10[[#This Row],[Entidad]]</f>
        <v>PS|||</v>
      </c>
      <c r="B61" s="59" t="s">
        <v>1050</v>
      </c>
      <c r="C61" s="16"/>
      <c r="L61" s="28"/>
    </row>
    <row r="62" spans="1:12" x14ac:dyDescent="0.3">
      <c r="A62" s="58" t="str">
        <f>Tabla10[[#This Row],[TIPO_P]] &amp; "|" &amp;Tabla10[[#This Row],[Agrupación]] &amp; "|" &amp; Tabla10[[#This Row],[Sexo]] &amp; "|" &amp; Tabla10[[#This Row],[Entidad]]</f>
        <v>PS|||</v>
      </c>
      <c r="B62" s="59" t="s">
        <v>1050</v>
      </c>
      <c r="C62" s="16"/>
      <c r="L62" s="28"/>
    </row>
    <row r="63" spans="1:12" x14ac:dyDescent="0.3">
      <c r="A63" s="58" t="str">
        <f>Tabla10[[#This Row],[TIPO_P]] &amp; "|" &amp;Tabla10[[#This Row],[Agrupación]] &amp; "|" &amp; Tabla10[[#This Row],[Sexo]] &amp; "|" &amp; Tabla10[[#This Row],[Entidad]]</f>
        <v>PS|||</v>
      </c>
      <c r="B63" s="59" t="s">
        <v>1050</v>
      </c>
      <c r="C63" s="16"/>
      <c r="L63" s="28"/>
    </row>
    <row r="64" spans="1:12" x14ac:dyDescent="0.3">
      <c r="A64" s="58" t="str">
        <f>Tabla10[[#This Row],[TIPO_P]] &amp; "|" &amp;Tabla10[[#This Row],[Agrupación]] &amp; "|" &amp; Tabla10[[#This Row],[Sexo]] &amp; "|" &amp; Tabla10[[#This Row],[Entidad]]</f>
        <v>PS|||</v>
      </c>
      <c r="B64" s="59" t="s">
        <v>1050</v>
      </c>
      <c r="C64" s="16"/>
      <c r="L64" s="28"/>
    </row>
    <row r="65" spans="1:12" x14ac:dyDescent="0.3">
      <c r="A65" s="58" t="str">
        <f>Tabla10[[#This Row],[TIPO_P]] &amp; "|" &amp;Tabla10[[#This Row],[Agrupación]] &amp; "|" &amp; Tabla10[[#This Row],[Sexo]] &amp; "|" &amp; Tabla10[[#This Row],[Entidad]]</f>
        <v>PS|||</v>
      </c>
      <c r="B65" s="59" t="s">
        <v>1050</v>
      </c>
      <c r="C65" s="16"/>
      <c r="L65" s="28"/>
    </row>
    <row r="66" spans="1:12" ht="15" thickBot="1" x14ac:dyDescent="0.35">
      <c r="A66" s="60" t="str">
        <f>Tabla10[[#This Row],[TIPO_P]] &amp; "|" &amp;Tabla10[[#This Row],[Agrupación]] &amp; "|" &amp; Tabla10[[#This Row],[Sexo]] &amp; "|" &amp; Tabla10[[#This Row],[Entidad]]</f>
        <v>PS|||</v>
      </c>
      <c r="B66" s="61" t="s">
        <v>1050</v>
      </c>
      <c r="C66" s="16"/>
      <c r="L66" s="28"/>
    </row>
    <row r="67" spans="1:12" x14ac:dyDescent="0.3">
      <c r="A67" s="58" t="str">
        <f>Tabla10[[#This Row],[TIPO_P]] &amp; "|" &amp;Tabla10[[#This Row],[Agrupación]] &amp; "|" &amp; Tabla10[[#This Row],[Sexo]] &amp; "|" &amp; Tabla10[[#This Row],[Entidad]]</f>
        <v>PI|||</v>
      </c>
      <c r="B67" s="59" t="s">
        <v>1046</v>
      </c>
      <c r="C67" s="62"/>
      <c r="D67" s="27"/>
      <c r="E67" s="27"/>
      <c r="F67" s="27"/>
      <c r="G67" s="27"/>
      <c r="H67" s="27"/>
      <c r="I67" s="27"/>
      <c r="J67" s="27"/>
      <c r="K67" s="27"/>
      <c r="L67" s="20"/>
    </row>
    <row r="68" spans="1:12" x14ac:dyDescent="0.3">
      <c r="A68" s="58" t="str">
        <f>Tabla10[[#This Row],[TIPO_P]] &amp; "|" &amp;Tabla10[[#This Row],[Agrupación]] &amp; "|" &amp; Tabla10[[#This Row],[Sexo]] &amp; "|" &amp; Tabla10[[#This Row],[Entidad]]</f>
        <v>PI|||</v>
      </c>
      <c r="B68" s="59" t="s">
        <v>1046</v>
      </c>
      <c r="C68" s="63"/>
      <c r="L68" s="28"/>
    </row>
    <row r="69" spans="1:12" x14ac:dyDescent="0.3">
      <c r="A69" s="58" t="str">
        <f>Tabla10[[#This Row],[TIPO_P]] &amp; "|" &amp;Tabla10[[#This Row],[Agrupación]] &amp; "|" &amp; Tabla10[[#This Row],[Sexo]] &amp; "|" &amp; Tabla10[[#This Row],[Entidad]]</f>
        <v>PI|||</v>
      </c>
      <c r="B69" s="59" t="s">
        <v>1046</v>
      </c>
      <c r="C69" s="63"/>
      <c r="L69" s="28"/>
    </row>
    <row r="70" spans="1:12" x14ac:dyDescent="0.3">
      <c r="A70" s="58" t="str">
        <f>Tabla10[[#This Row],[TIPO_P]] &amp; "|" &amp;Tabla10[[#This Row],[Agrupación]] &amp; "|" &amp; Tabla10[[#This Row],[Sexo]] &amp; "|" &amp; Tabla10[[#This Row],[Entidad]]</f>
        <v>PI|||</v>
      </c>
      <c r="B70" s="59" t="s">
        <v>1046</v>
      </c>
      <c r="C70" s="63"/>
      <c r="L70" s="28"/>
    </row>
    <row r="71" spans="1:12" x14ac:dyDescent="0.3">
      <c r="A71" s="58" t="str">
        <f>Tabla10[[#This Row],[TIPO_P]] &amp; "|" &amp;Tabla10[[#This Row],[Agrupación]] &amp; "|" &amp; Tabla10[[#This Row],[Sexo]] &amp; "|" &amp; Tabla10[[#This Row],[Entidad]]</f>
        <v>PI|||</v>
      </c>
      <c r="B71" s="59" t="s">
        <v>1046</v>
      </c>
      <c r="C71" s="63"/>
      <c r="L71" s="28"/>
    </row>
    <row r="72" spans="1:12" x14ac:dyDescent="0.3">
      <c r="A72" s="58" t="str">
        <f>Tabla10[[#This Row],[TIPO_P]] &amp; "|" &amp;Tabla10[[#This Row],[Agrupación]] &amp; "|" &amp; Tabla10[[#This Row],[Sexo]] &amp; "|" &amp; Tabla10[[#This Row],[Entidad]]</f>
        <v>PI|||</v>
      </c>
      <c r="B72" s="59" t="s">
        <v>1046</v>
      </c>
      <c r="C72" s="63"/>
      <c r="L72" s="28"/>
    </row>
    <row r="73" spans="1:12" x14ac:dyDescent="0.3">
      <c r="A73" s="58" t="str">
        <f>Tabla10[[#This Row],[TIPO_P]] &amp; "|" &amp;Tabla10[[#This Row],[Agrupación]] &amp; "|" &amp; Tabla10[[#This Row],[Sexo]] &amp; "|" &amp; Tabla10[[#This Row],[Entidad]]</f>
        <v>PI|||</v>
      </c>
      <c r="B73" s="59" t="s">
        <v>1046</v>
      </c>
      <c r="C73" s="63"/>
      <c r="L73" s="28"/>
    </row>
    <row r="74" spans="1:12" x14ac:dyDescent="0.3">
      <c r="A74" s="58" t="str">
        <f>Tabla10[[#This Row],[TIPO_P]] &amp; "|" &amp;Tabla10[[#This Row],[Agrupación]] &amp; "|" &amp; Tabla10[[#This Row],[Sexo]] &amp; "|" &amp; Tabla10[[#This Row],[Entidad]]</f>
        <v>PI|||</v>
      </c>
      <c r="B74" s="59" t="s">
        <v>1046</v>
      </c>
      <c r="C74" s="63"/>
      <c r="L74" s="28"/>
    </row>
    <row r="75" spans="1:12" x14ac:dyDescent="0.3">
      <c r="A75" s="58" t="str">
        <f>Tabla10[[#This Row],[TIPO_P]] &amp; "|" &amp;Tabla10[[#This Row],[Agrupación]] &amp; "|" &amp; Tabla10[[#This Row],[Sexo]] &amp; "|" &amp; Tabla10[[#This Row],[Entidad]]</f>
        <v>PI|||</v>
      </c>
      <c r="B75" s="59" t="s">
        <v>1046</v>
      </c>
      <c r="C75" s="63"/>
      <c r="L75" s="28"/>
    </row>
    <row r="76" spans="1:12" x14ac:dyDescent="0.3">
      <c r="A76" s="58" t="str">
        <f>Tabla10[[#This Row],[TIPO_P]] &amp; "|" &amp;Tabla10[[#This Row],[Agrupación]] &amp; "|" &amp; Tabla10[[#This Row],[Sexo]] &amp; "|" &amp; Tabla10[[#This Row],[Entidad]]</f>
        <v>PI|||</v>
      </c>
      <c r="B76" s="59" t="s">
        <v>1046</v>
      </c>
      <c r="C76" s="63"/>
      <c r="L76" s="28"/>
    </row>
    <row r="77" spans="1:12" x14ac:dyDescent="0.3">
      <c r="A77" s="58" t="str">
        <f>Tabla10[[#This Row],[TIPO_P]] &amp; "|" &amp;Tabla10[[#This Row],[Agrupación]] &amp; "|" &amp; Tabla10[[#This Row],[Sexo]] &amp; "|" &amp; Tabla10[[#This Row],[Entidad]]</f>
        <v>PI|||</v>
      </c>
      <c r="B77" s="59" t="s">
        <v>1046</v>
      </c>
      <c r="C77" s="63"/>
      <c r="L77" s="28"/>
    </row>
    <row r="78" spans="1:12" x14ac:dyDescent="0.3">
      <c r="A78" s="58" t="str">
        <f>Tabla10[[#This Row],[TIPO_P]] &amp; "|" &amp;Tabla10[[#This Row],[Agrupación]] &amp; "|" &amp; Tabla10[[#This Row],[Sexo]] &amp; "|" &amp; Tabla10[[#This Row],[Entidad]]</f>
        <v>PI|||</v>
      </c>
      <c r="B78" s="59" t="s">
        <v>1046</v>
      </c>
      <c r="C78" s="63"/>
      <c r="L78" s="28"/>
    </row>
    <row r="79" spans="1:12" x14ac:dyDescent="0.3">
      <c r="A79" s="58" t="str">
        <f>Tabla10[[#This Row],[TIPO_P]] &amp; "|" &amp;Tabla10[[#This Row],[Agrupación]] &amp; "|" &amp; Tabla10[[#This Row],[Sexo]] &amp; "|" &amp; Tabla10[[#This Row],[Entidad]]</f>
        <v>PI|||</v>
      </c>
      <c r="B79" s="59" t="s">
        <v>1046</v>
      </c>
      <c r="C79" s="63"/>
      <c r="L79" s="28"/>
    </row>
    <row r="80" spans="1:12" x14ac:dyDescent="0.3">
      <c r="A80" s="58" t="str">
        <f>Tabla10[[#This Row],[TIPO_P]] &amp; "|" &amp;Tabla10[[#This Row],[Agrupación]] &amp; "|" &amp; Tabla10[[#This Row],[Sexo]] &amp; "|" &amp; Tabla10[[#This Row],[Entidad]]</f>
        <v>PI|||</v>
      </c>
      <c r="B80" s="59" t="s">
        <v>1046</v>
      </c>
      <c r="C80" s="63"/>
      <c r="L80" s="28"/>
    </row>
    <row r="81" spans="1:12" x14ac:dyDescent="0.3">
      <c r="A81" s="58" t="str">
        <f>Tabla10[[#This Row],[TIPO_P]] &amp; "|" &amp;Tabla10[[#This Row],[Agrupación]] &amp; "|" &amp; Tabla10[[#This Row],[Sexo]] &amp; "|" &amp; Tabla10[[#This Row],[Entidad]]</f>
        <v>PI|||</v>
      </c>
      <c r="B81" s="59" t="s">
        <v>1046</v>
      </c>
      <c r="C81" s="63"/>
      <c r="L81" s="28"/>
    </row>
    <row r="82" spans="1:12" x14ac:dyDescent="0.3">
      <c r="A82" s="58" t="str">
        <f>Tabla10[[#This Row],[TIPO_P]] &amp; "|" &amp;Tabla10[[#This Row],[Agrupación]] &amp; "|" &amp; Tabla10[[#This Row],[Sexo]] &amp; "|" &amp; Tabla10[[#This Row],[Entidad]]</f>
        <v>PI|||</v>
      </c>
      <c r="B82" s="59" t="s">
        <v>1046</v>
      </c>
      <c r="C82" s="63"/>
      <c r="L82" s="28"/>
    </row>
    <row r="83" spans="1:12" x14ac:dyDescent="0.3">
      <c r="A83" s="58" t="str">
        <f>Tabla10[[#This Row],[TIPO_P]] &amp; "|" &amp;Tabla10[[#This Row],[Agrupación]] &amp; "|" &amp; Tabla10[[#This Row],[Sexo]] &amp; "|" &amp; Tabla10[[#This Row],[Entidad]]</f>
        <v>PI|||</v>
      </c>
      <c r="B83" s="59" t="s">
        <v>1046</v>
      </c>
      <c r="C83" s="63"/>
      <c r="L83" s="28"/>
    </row>
    <row r="84" spans="1:12" x14ac:dyDescent="0.3">
      <c r="A84" s="58" t="str">
        <f>Tabla10[[#This Row],[TIPO_P]] &amp; "|" &amp;Tabla10[[#This Row],[Agrupación]] &amp; "|" &amp; Tabla10[[#This Row],[Sexo]] &amp; "|" &amp; Tabla10[[#This Row],[Entidad]]</f>
        <v>PI|||</v>
      </c>
      <c r="B84" s="59" t="s">
        <v>1046</v>
      </c>
      <c r="C84" s="63"/>
      <c r="L84" s="28"/>
    </row>
    <row r="85" spans="1:12" x14ac:dyDescent="0.3">
      <c r="A85" s="58" t="str">
        <f>Tabla10[[#This Row],[TIPO_P]] &amp; "|" &amp;Tabla10[[#This Row],[Agrupación]] &amp; "|" &amp; Tabla10[[#This Row],[Sexo]] &amp; "|" &amp; Tabla10[[#This Row],[Entidad]]</f>
        <v>PI|||</v>
      </c>
      <c r="B85" s="59" t="s">
        <v>1046</v>
      </c>
      <c r="C85" s="63"/>
      <c r="L85" s="28"/>
    </row>
    <row r="86" spans="1:12" x14ac:dyDescent="0.3">
      <c r="A86" s="58" t="str">
        <f>Tabla10[[#This Row],[TIPO_P]] &amp; "|" &amp;Tabla10[[#This Row],[Agrupación]] &amp; "|" &amp; Tabla10[[#This Row],[Sexo]] &amp; "|" &amp; Tabla10[[#This Row],[Entidad]]</f>
        <v>PI|||</v>
      </c>
      <c r="B86" s="59" t="s">
        <v>1046</v>
      </c>
      <c r="C86" s="63"/>
      <c r="L86" s="28"/>
    </row>
    <row r="87" spans="1:12" x14ac:dyDescent="0.3">
      <c r="A87" s="58" t="str">
        <f>Tabla10[[#This Row],[TIPO_P]] &amp; "|" &amp;Tabla10[[#This Row],[Agrupación]] &amp; "|" &amp; Tabla10[[#This Row],[Sexo]] &amp; "|" &amp; Tabla10[[#This Row],[Entidad]]</f>
        <v>PI|||</v>
      </c>
      <c r="B87" s="59" t="s">
        <v>1046</v>
      </c>
      <c r="C87" s="63"/>
      <c r="L87" s="28"/>
    </row>
    <row r="88" spans="1:12" x14ac:dyDescent="0.3">
      <c r="A88" s="58" t="str">
        <f>Tabla10[[#This Row],[TIPO_P]] &amp; "|" &amp;Tabla10[[#This Row],[Agrupación]] &amp; "|" &amp; Tabla10[[#This Row],[Sexo]] &amp; "|" &amp; Tabla10[[#This Row],[Entidad]]</f>
        <v>PI|||</v>
      </c>
      <c r="B88" s="59" t="s">
        <v>1046</v>
      </c>
      <c r="C88" s="63"/>
      <c r="L88" s="28"/>
    </row>
    <row r="89" spans="1:12" x14ac:dyDescent="0.3">
      <c r="A89" s="58" t="str">
        <f>Tabla10[[#This Row],[TIPO_P]] &amp; "|" &amp;Tabla10[[#This Row],[Agrupación]] &amp; "|" &amp; Tabla10[[#This Row],[Sexo]] &amp; "|" &amp; Tabla10[[#This Row],[Entidad]]</f>
        <v>PI|||</v>
      </c>
      <c r="B89" s="59" t="s">
        <v>1046</v>
      </c>
      <c r="C89" s="63"/>
      <c r="L89" s="28"/>
    </row>
    <row r="90" spans="1:12" x14ac:dyDescent="0.3">
      <c r="A90" s="58" t="str">
        <f>Tabla10[[#This Row],[TIPO_P]] &amp; "|" &amp;Tabla10[[#This Row],[Agrupación]] &amp; "|" &amp; Tabla10[[#This Row],[Sexo]] &amp; "|" &amp; Tabla10[[#This Row],[Entidad]]</f>
        <v>PI|||</v>
      </c>
      <c r="B90" s="59" t="s">
        <v>1046</v>
      </c>
      <c r="C90" s="63"/>
      <c r="L90" s="28"/>
    </row>
    <row r="91" spans="1:12" x14ac:dyDescent="0.3">
      <c r="A91" s="58" t="str">
        <f>Tabla10[[#This Row],[TIPO_P]] &amp; "|" &amp;Tabla10[[#This Row],[Agrupación]] &amp; "|" &amp; Tabla10[[#This Row],[Sexo]] &amp; "|" &amp; Tabla10[[#This Row],[Entidad]]</f>
        <v>PI|||</v>
      </c>
      <c r="B91" s="59" t="s">
        <v>1046</v>
      </c>
      <c r="C91" s="63"/>
      <c r="L91" s="28"/>
    </row>
    <row r="92" spans="1:12" x14ac:dyDescent="0.3">
      <c r="A92" s="58" t="str">
        <f>Tabla10[[#This Row],[TIPO_P]] &amp; "|" &amp;Tabla10[[#This Row],[Agrupación]] &amp; "|" &amp; Tabla10[[#This Row],[Sexo]] &amp; "|" &amp; Tabla10[[#This Row],[Entidad]]</f>
        <v>PI|||</v>
      </c>
      <c r="B92" s="59" t="s">
        <v>1046</v>
      </c>
      <c r="C92" s="63"/>
      <c r="L92" s="28"/>
    </row>
    <row r="93" spans="1:12" x14ac:dyDescent="0.3">
      <c r="A93" s="58" t="str">
        <f>Tabla10[[#This Row],[TIPO_P]] &amp; "|" &amp;Tabla10[[#This Row],[Agrupación]] &amp; "|" &amp; Tabla10[[#This Row],[Sexo]] &amp; "|" &amp; Tabla10[[#This Row],[Entidad]]</f>
        <v>PI|||</v>
      </c>
      <c r="B93" s="59" t="s">
        <v>1046</v>
      </c>
      <c r="C93" s="63"/>
      <c r="L93" s="28"/>
    </row>
    <row r="94" spans="1:12" x14ac:dyDescent="0.3">
      <c r="A94" s="58" t="str">
        <f>Tabla10[[#This Row],[TIPO_P]] &amp; "|" &amp;Tabla10[[#This Row],[Agrupación]] &amp; "|" &amp; Tabla10[[#This Row],[Sexo]] &amp; "|" &amp; Tabla10[[#This Row],[Entidad]]</f>
        <v>PI|||</v>
      </c>
      <c r="B94" s="59" t="s">
        <v>1046</v>
      </c>
      <c r="C94" s="63"/>
      <c r="L94" s="28"/>
    </row>
    <row r="95" spans="1:12" x14ac:dyDescent="0.3">
      <c r="A95" s="58" t="str">
        <f>Tabla10[[#This Row],[TIPO_P]] &amp; "|" &amp;Tabla10[[#This Row],[Agrupación]] &amp; "|" &amp; Tabla10[[#This Row],[Sexo]] &amp; "|" &amp; Tabla10[[#This Row],[Entidad]]</f>
        <v>PI|||</v>
      </c>
      <c r="B95" s="59" t="s">
        <v>1046</v>
      </c>
      <c r="C95" s="63"/>
      <c r="L95" s="28"/>
    </row>
    <row r="96" spans="1:12" x14ac:dyDescent="0.3">
      <c r="A96" s="58" t="str">
        <f>Tabla10[[#This Row],[TIPO_P]] &amp; "|" &amp;Tabla10[[#This Row],[Agrupación]] &amp; "|" &amp; Tabla10[[#This Row],[Sexo]] &amp; "|" &amp; Tabla10[[#This Row],[Entidad]]</f>
        <v>PI|||</v>
      </c>
      <c r="B96" s="59" t="s">
        <v>1046</v>
      </c>
      <c r="C96" s="63"/>
      <c r="L96" s="28"/>
    </row>
    <row r="97" spans="1:12" x14ac:dyDescent="0.3">
      <c r="A97" s="58" t="str">
        <f>Tabla10[[#This Row],[TIPO_P]] &amp; "|" &amp;Tabla10[[#This Row],[Agrupación]] &amp; "|" &amp; Tabla10[[#This Row],[Sexo]] &amp; "|" &amp; Tabla10[[#This Row],[Entidad]]</f>
        <v>PI|||</v>
      </c>
      <c r="B97" s="59" t="s">
        <v>1046</v>
      </c>
      <c r="C97" s="63"/>
      <c r="L97" s="28"/>
    </row>
    <row r="98" spans="1:12" x14ac:dyDescent="0.3">
      <c r="A98" s="58" t="str">
        <f>Tabla10[[#This Row],[TIPO_P]] &amp; "|" &amp;Tabla10[[#This Row],[Agrupación]] &amp; "|" &amp; Tabla10[[#This Row],[Sexo]] &amp; "|" &amp; Tabla10[[#This Row],[Entidad]]</f>
        <v>PI|||</v>
      </c>
      <c r="B98" s="59" t="s">
        <v>1046</v>
      </c>
      <c r="C98" s="63"/>
      <c r="L98" s="28"/>
    </row>
    <row r="99" spans="1:12" x14ac:dyDescent="0.3">
      <c r="A99" s="58" t="str">
        <f>Tabla10[[#This Row],[TIPO_P]] &amp; "|" &amp;Tabla10[[#This Row],[Agrupación]] &amp; "|" &amp; Tabla10[[#This Row],[Sexo]] &amp; "|" &amp; Tabla10[[#This Row],[Entidad]]</f>
        <v>PI|||</v>
      </c>
      <c r="B99" s="59" t="s">
        <v>1046</v>
      </c>
      <c r="C99" s="63"/>
      <c r="L99" s="28"/>
    </row>
    <row r="100" spans="1:12" x14ac:dyDescent="0.3">
      <c r="A100" s="58" t="str">
        <f>Tabla10[[#This Row],[TIPO_P]] &amp; "|" &amp;Tabla10[[#This Row],[Agrupación]] &amp; "|" &amp; Tabla10[[#This Row],[Sexo]] &amp; "|" &amp; Tabla10[[#This Row],[Entidad]]</f>
        <v>PI|||</v>
      </c>
      <c r="B100" s="59" t="s">
        <v>1046</v>
      </c>
      <c r="C100" s="63"/>
      <c r="L100" s="28"/>
    </row>
    <row r="101" spans="1:12" x14ac:dyDescent="0.3">
      <c r="A101" s="58" t="str">
        <f>Tabla10[[#This Row],[TIPO_P]] &amp; "|" &amp;Tabla10[[#This Row],[Agrupación]] &amp; "|" &amp; Tabla10[[#This Row],[Sexo]] &amp; "|" &amp; Tabla10[[#This Row],[Entidad]]</f>
        <v>PI|||</v>
      </c>
      <c r="B101" s="59" t="s">
        <v>1046</v>
      </c>
      <c r="C101" s="63"/>
      <c r="L101" s="28"/>
    </row>
    <row r="102" spans="1:12" x14ac:dyDescent="0.3">
      <c r="A102" s="58" t="str">
        <f>Tabla10[[#This Row],[TIPO_P]] &amp; "|" &amp;Tabla10[[#This Row],[Agrupación]] &amp; "|" &amp; Tabla10[[#This Row],[Sexo]] &amp; "|" &amp; Tabla10[[#This Row],[Entidad]]</f>
        <v>PI|||</v>
      </c>
      <c r="B102" s="59" t="s">
        <v>1046</v>
      </c>
      <c r="C102" s="63"/>
      <c r="L102" s="28"/>
    </row>
    <row r="103" spans="1:12" x14ac:dyDescent="0.3">
      <c r="A103" s="58" t="str">
        <f>Tabla10[[#This Row],[TIPO_P]] &amp; "|" &amp;Tabla10[[#This Row],[Agrupación]] &amp; "|" &amp; Tabla10[[#This Row],[Sexo]] &amp; "|" &amp; Tabla10[[#This Row],[Entidad]]</f>
        <v>PI|||</v>
      </c>
      <c r="B103" s="59" t="s">
        <v>1046</v>
      </c>
      <c r="C103" s="63"/>
      <c r="L103" s="28"/>
    </row>
    <row r="104" spans="1:12" x14ac:dyDescent="0.3">
      <c r="A104" s="58" t="str">
        <f>Tabla10[[#This Row],[TIPO_P]] &amp; "|" &amp;Tabla10[[#This Row],[Agrupación]] &amp; "|" &amp; Tabla10[[#This Row],[Sexo]] &amp; "|" &amp; Tabla10[[#This Row],[Entidad]]</f>
        <v>PI|||</v>
      </c>
      <c r="B104" s="59" t="s">
        <v>1046</v>
      </c>
      <c r="C104" s="63"/>
      <c r="L104" s="28"/>
    </row>
    <row r="105" spans="1:12" x14ac:dyDescent="0.3">
      <c r="A105" s="58" t="str">
        <f>Tabla10[[#This Row],[TIPO_P]] &amp; "|" &amp;Tabla10[[#This Row],[Agrupación]] &amp; "|" &amp; Tabla10[[#This Row],[Sexo]] &amp; "|" &amp; Tabla10[[#This Row],[Entidad]]</f>
        <v>PI|||</v>
      </c>
      <c r="B105" s="59" t="s">
        <v>1046</v>
      </c>
      <c r="C105" s="63"/>
      <c r="L105" s="28"/>
    </row>
    <row r="106" spans="1:12" x14ac:dyDescent="0.3">
      <c r="A106" s="58" t="str">
        <f>Tabla10[[#This Row],[TIPO_P]] &amp; "|" &amp;Tabla10[[#This Row],[Agrupación]] &amp; "|" &amp; Tabla10[[#This Row],[Sexo]] &amp; "|" &amp; Tabla10[[#This Row],[Entidad]]</f>
        <v>PI|||</v>
      </c>
      <c r="B106" s="59" t="s">
        <v>1046</v>
      </c>
      <c r="C106" s="63"/>
      <c r="L106" s="28"/>
    </row>
    <row r="107" spans="1:12" x14ac:dyDescent="0.3">
      <c r="A107" s="58" t="str">
        <f>Tabla10[[#This Row],[TIPO_P]] &amp; "|" &amp;Tabla10[[#This Row],[Agrupación]] &amp; "|" &amp; Tabla10[[#This Row],[Sexo]] &amp; "|" &amp; Tabla10[[#This Row],[Entidad]]</f>
        <v>PI|||</v>
      </c>
      <c r="B107" s="59" t="s">
        <v>1046</v>
      </c>
      <c r="C107" s="63"/>
      <c r="L107" s="28"/>
    </row>
    <row r="108" spans="1:12" x14ac:dyDescent="0.3">
      <c r="A108" s="58" t="str">
        <f>Tabla10[[#This Row],[TIPO_P]] &amp; "|" &amp;Tabla10[[#This Row],[Agrupación]] &amp; "|" &amp; Tabla10[[#This Row],[Sexo]] &amp; "|" &amp; Tabla10[[#This Row],[Entidad]]</f>
        <v>PI|||</v>
      </c>
      <c r="B108" s="59" t="s">
        <v>1046</v>
      </c>
      <c r="C108" s="63"/>
      <c r="L108" s="28"/>
    </row>
    <row r="109" spans="1:12" x14ac:dyDescent="0.3">
      <c r="A109" s="58" t="str">
        <f>Tabla10[[#This Row],[TIPO_P]] &amp; "|" &amp;Tabla10[[#This Row],[Agrupación]] &amp; "|" &amp; Tabla10[[#This Row],[Sexo]] &amp; "|" &amp; Tabla10[[#This Row],[Entidad]]</f>
        <v>PI|||</v>
      </c>
      <c r="B109" s="59" t="s">
        <v>1046</v>
      </c>
      <c r="C109" s="63"/>
      <c r="L109" s="28"/>
    </row>
    <row r="110" spans="1:12" x14ac:dyDescent="0.3">
      <c r="A110" s="58" t="str">
        <f>Tabla10[[#This Row],[TIPO_P]] &amp; "|" &amp;Tabla10[[#This Row],[Agrupación]] &amp; "|" &amp; Tabla10[[#This Row],[Sexo]] &amp; "|" &amp; Tabla10[[#This Row],[Entidad]]</f>
        <v>PI|||</v>
      </c>
      <c r="B110" s="59" t="s">
        <v>1046</v>
      </c>
      <c r="C110" s="63"/>
      <c r="L110" s="28"/>
    </row>
    <row r="111" spans="1:12" x14ac:dyDescent="0.3">
      <c r="A111" s="58" t="str">
        <f>Tabla10[[#This Row],[TIPO_P]] &amp; "|" &amp;Tabla10[[#This Row],[Agrupación]] &amp; "|" &amp; Tabla10[[#This Row],[Sexo]] &amp; "|" &amp; Tabla10[[#This Row],[Entidad]]</f>
        <v>PI|||</v>
      </c>
      <c r="B111" s="59" t="s">
        <v>1046</v>
      </c>
      <c r="C111" s="63"/>
      <c r="L111" s="28"/>
    </row>
    <row r="112" spans="1:12" x14ac:dyDescent="0.3">
      <c r="A112" s="58" t="str">
        <f>Tabla10[[#This Row],[TIPO_P]] &amp; "|" &amp;Tabla10[[#This Row],[Agrupación]] &amp; "|" &amp; Tabla10[[#This Row],[Sexo]] &amp; "|" &amp; Tabla10[[#This Row],[Entidad]]</f>
        <v>PI|||</v>
      </c>
      <c r="B112" s="59" t="s">
        <v>1046</v>
      </c>
      <c r="C112" s="63"/>
      <c r="L112" s="28"/>
    </row>
    <row r="113" spans="1:12" x14ac:dyDescent="0.3">
      <c r="A113" s="58" t="str">
        <f>Tabla10[[#This Row],[TIPO_P]] &amp; "|" &amp;Tabla10[[#This Row],[Agrupación]] &amp; "|" &amp; Tabla10[[#This Row],[Sexo]] &amp; "|" &amp; Tabla10[[#This Row],[Entidad]]</f>
        <v>PI|||</v>
      </c>
      <c r="B113" s="59" t="s">
        <v>1046</v>
      </c>
      <c r="C113" s="63"/>
      <c r="L113" s="28"/>
    </row>
    <row r="114" spans="1:12" x14ac:dyDescent="0.3">
      <c r="A114" s="58" t="str">
        <f>Tabla10[[#This Row],[TIPO_P]] &amp; "|" &amp;Tabla10[[#This Row],[Agrupación]] &amp; "|" &amp; Tabla10[[#This Row],[Sexo]] &amp; "|" &amp; Tabla10[[#This Row],[Entidad]]</f>
        <v>PI|||</v>
      </c>
      <c r="B114" s="59" t="s">
        <v>1046</v>
      </c>
      <c r="C114" s="63"/>
      <c r="L114" s="28"/>
    </row>
    <row r="115" spans="1:12" x14ac:dyDescent="0.3">
      <c r="A115" s="58" t="str">
        <f>Tabla10[[#This Row],[TIPO_P]] &amp; "|" &amp;Tabla10[[#This Row],[Agrupación]] &amp; "|" &amp; Tabla10[[#This Row],[Sexo]] &amp; "|" &amp; Tabla10[[#This Row],[Entidad]]</f>
        <v>PI|||</v>
      </c>
      <c r="B115" s="59" t="s">
        <v>1046</v>
      </c>
      <c r="C115" s="63"/>
      <c r="L115" s="28"/>
    </row>
    <row r="116" spans="1:12" x14ac:dyDescent="0.3">
      <c r="A116" s="58" t="str">
        <f>Tabla10[[#This Row],[TIPO_P]] &amp; "|" &amp;Tabla10[[#This Row],[Agrupación]] &amp; "|" &amp; Tabla10[[#This Row],[Sexo]] &amp; "|" &amp; Tabla10[[#This Row],[Entidad]]</f>
        <v>PI|||</v>
      </c>
      <c r="B116" s="59" t="s">
        <v>1046</v>
      </c>
      <c r="C116" s="63"/>
      <c r="L116" s="28"/>
    </row>
    <row r="117" spans="1:12" x14ac:dyDescent="0.3">
      <c r="A117" s="58" t="str">
        <f>Tabla10[[#This Row],[TIPO_P]] &amp; "|" &amp;Tabla10[[#This Row],[Agrupación]] &amp; "|" &amp; Tabla10[[#This Row],[Sexo]] &amp; "|" &amp; Tabla10[[#This Row],[Entidad]]</f>
        <v>PI|||</v>
      </c>
      <c r="B117" s="59" t="s">
        <v>1046</v>
      </c>
      <c r="C117" s="63"/>
      <c r="L117" s="28"/>
    </row>
    <row r="118" spans="1:12" x14ac:dyDescent="0.3">
      <c r="A118" s="58" t="str">
        <f>Tabla10[[#This Row],[TIPO_P]] &amp; "|" &amp;Tabla10[[#This Row],[Agrupación]] &amp; "|" &amp; Tabla10[[#This Row],[Sexo]] &amp; "|" &amp; Tabla10[[#This Row],[Entidad]]</f>
        <v>PI|||</v>
      </c>
      <c r="B118" s="59" t="s">
        <v>1046</v>
      </c>
      <c r="C118" s="63"/>
      <c r="L118" s="28"/>
    </row>
    <row r="119" spans="1:12" x14ac:dyDescent="0.3">
      <c r="A119" s="58" t="str">
        <f>Tabla10[[#This Row],[TIPO_P]] &amp; "|" &amp;Tabla10[[#This Row],[Agrupación]] &amp; "|" &amp; Tabla10[[#This Row],[Sexo]] &amp; "|" &amp; Tabla10[[#This Row],[Entidad]]</f>
        <v>PI|||</v>
      </c>
      <c r="B119" s="59" t="s">
        <v>1046</v>
      </c>
      <c r="C119" s="63"/>
      <c r="L119" s="28"/>
    </row>
    <row r="120" spans="1:12" x14ac:dyDescent="0.3">
      <c r="A120" s="58" t="str">
        <f>Tabla10[[#This Row],[TIPO_P]] &amp; "|" &amp;Tabla10[[#This Row],[Agrupación]] &amp; "|" &amp; Tabla10[[#This Row],[Sexo]] &amp; "|" &amp; Tabla10[[#This Row],[Entidad]]</f>
        <v>PI|||</v>
      </c>
      <c r="B120" s="59" t="s">
        <v>1046</v>
      </c>
      <c r="C120" s="63"/>
      <c r="L120" s="28"/>
    </row>
    <row r="121" spans="1:12" x14ac:dyDescent="0.3">
      <c r="A121" s="58" t="str">
        <f>Tabla10[[#This Row],[TIPO_P]] &amp; "|" &amp;Tabla10[[#This Row],[Agrupación]] &amp; "|" &amp; Tabla10[[#This Row],[Sexo]] &amp; "|" &amp; Tabla10[[#This Row],[Entidad]]</f>
        <v>PI|||</v>
      </c>
      <c r="B121" s="59" t="s">
        <v>1046</v>
      </c>
      <c r="C121" s="63"/>
      <c r="L121" s="28"/>
    </row>
    <row r="122" spans="1:12" x14ac:dyDescent="0.3">
      <c r="A122" s="58" t="str">
        <f>Tabla10[[#This Row],[TIPO_P]] &amp; "|" &amp;Tabla10[[#This Row],[Agrupación]] &amp; "|" &amp; Tabla10[[#This Row],[Sexo]] &amp; "|" &amp; Tabla10[[#This Row],[Entidad]]</f>
        <v>PI|||</v>
      </c>
      <c r="B122" s="59" t="s">
        <v>1046</v>
      </c>
      <c r="C122" s="63"/>
      <c r="L122" s="28"/>
    </row>
    <row r="123" spans="1:12" x14ac:dyDescent="0.3">
      <c r="A123" s="58" t="str">
        <f>Tabla10[[#This Row],[TIPO_P]] &amp; "|" &amp;Tabla10[[#This Row],[Agrupación]] &amp; "|" &amp; Tabla10[[#This Row],[Sexo]] &amp; "|" &amp; Tabla10[[#This Row],[Entidad]]</f>
        <v>PI|||</v>
      </c>
      <c r="B123" s="59" t="s">
        <v>1046</v>
      </c>
      <c r="C123" s="63"/>
      <c r="L123" s="28"/>
    </row>
    <row r="124" spans="1:12" x14ac:dyDescent="0.3">
      <c r="A124" s="58" t="str">
        <f>Tabla10[[#This Row],[TIPO_P]] &amp; "|" &amp;Tabla10[[#This Row],[Agrupación]] &amp; "|" &amp; Tabla10[[#This Row],[Sexo]] &amp; "|" &amp; Tabla10[[#This Row],[Entidad]]</f>
        <v>PI|||</v>
      </c>
      <c r="B124" s="59" t="s">
        <v>1046</v>
      </c>
      <c r="C124" s="63"/>
      <c r="L124" s="28"/>
    </row>
    <row r="125" spans="1:12" x14ac:dyDescent="0.3">
      <c r="A125" s="58" t="str">
        <f>Tabla10[[#This Row],[TIPO_P]] &amp; "|" &amp;Tabla10[[#This Row],[Agrupación]] &amp; "|" &amp; Tabla10[[#This Row],[Sexo]] &amp; "|" &amp; Tabla10[[#This Row],[Entidad]]</f>
        <v>PI|||</v>
      </c>
      <c r="B125" s="59" t="s">
        <v>1046</v>
      </c>
      <c r="C125" s="63"/>
      <c r="L125" s="28"/>
    </row>
    <row r="126" spans="1:12" x14ac:dyDescent="0.3">
      <c r="A126" s="58" t="str">
        <f>Tabla10[[#This Row],[TIPO_P]] &amp; "|" &amp;Tabla10[[#This Row],[Agrupación]] &amp; "|" &amp; Tabla10[[#This Row],[Sexo]] &amp; "|" &amp; Tabla10[[#This Row],[Entidad]]</f>
        <v>PI|||</v>
      </c>
      <c r="B126" s="59" t="s">
        <v>1046</v>
      </c>
      <c r="C126" s="63"/>
      <c r="L126" s="28"/>
    </row>
    <row r="127" spans="1:12" x14ac:dyDescent="0.3">
      <c r="A127" s="58" t="str">
        <f>Tabla10[[#This Row],[TIPO_P]] &amp; "|" &amp;Tabla10[[#This Row],[Agrupación]] &amp; "|" &amp; Tabla10[[#This Row],[Sexo]] &amp; "|" &amp; Tabla10[[#This Row],[Entidad]]</f>
        <v>PI|||</v>
      </c>
      <c r="B127" s="59" t="s">
        <v>1046</v>
      </c>
      <c r="C127" s="63"/>
      <c r="L127" s="28"/>
    </row>
    <row r="128" spans="1:12" x14ac:dyDescent="0.3">
      <c r="A128" s="58" t="str">
        <f>Tabla10[[#This Row],[TIPO_P]] &amp; "|" &amp;Tabla10[[#This Row],[Agrupación]] &amp; "|" &amp; Tabla10[[#This Row],[Sexo]] &amp; "|" &amp; Tabla10[[#This Row],[Entidad]]</f>
        <v>PI|||</v>
      </c>
      <c r="B128" s="59" t="s">
        <v>1046</v>
      </c>
      <c r="C128" s="63"/>
      <c r="L128" s="28"/>
    </row>
    <row r="129" spans="1:12" x14ac:dyDescent="0.3">
      <c r="A129" s="58" t="str">
        <f>Tabla10[[#This Row],[TIPO_P]] &amp; "|" &amp;Tabla10[[#This Row],[Agrupación]] &amp; "|" &amp; Tabla10[[#This Row],[Sexo]] &amp; "|" &amp; Tabla10[[#This Row],[Entidad]]</f>
        <v>PI|||</v>
      </c>
      <c r="B129" s="59" t="s">
        <v>1046</v>
      </c>
      <c r="C129" s="63"/>
      <c r="L129" s="28"/>
    </row>
    <row r="130" spans="1:12" ht="15" thickBot="1" x14ac:dyDescent="0.35">
      <c r="A130" s="60" t="str">
        <f>Tabla10[[#This Row],[TIPO_P]] &amp; "|" &amp;Tabla10[[#This Row],[Agrupación]] &amp; "|" &amp; Tabla10[[#This Row],[Sexo]] &amp; "|" &amp; Tabla10[[#This Row],[Entidad]]</f>
        <v>PI|||</v>
      </c>
      <c r="B130" s="61" t="s">
        <v>1046</v>
      </c>
      <c r="C130" s="64"/>
      <c r="D130" s="29"/>
      <c r="E130" s="29"/>
      <c r="F130" s="29"/>
      <c r="G130" s="29"/>
      <c r="H130" s="29"/>
      <c r="I130" s="29"/>
      <c r="J130" s="29"/>
      <c r="K130" s="29"/>
      <c r="L130" s="3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opLeftCell="C1" workbookViewId="0">
      <pane ySplit="1" topLeftCell="A33" activePane="bottomLeft" state="frozen"/>
      <selection activeCell="B1" sqref="B1"/>
      <selection pane="bottomLeft" activeCell="Q3" sqref="Q3:Q66"/>
    </sheetView>
  </sheetViews>
  <sheetFormatPr baseColWidth="10" defaultRowHeight="14.4" x14ac:dyDescent="0.3"/>
  <cols>
    <col min="1" max="1" width="8.6640625" hidden="1" customWidth="1"/>
    <col min="2" max="3" width="8.6640625" customWidth="1"/>
    <col min="4" max="4" width="19.6640625" hidden="1" customWidth="1"/>
    <col min="5" max="5" width="9.109375" customWidth="1"/>
    <col min="6" max="6" width="30.88671875" customWidth="1"/>
    <col min="7" max="7" width="16.44140625" hidden="1" customWidth="1"/>
    <col min="8" max="9" width="16.44140625" customWidth="1"/>
    <col min="10" max="16" width="10.6640625" customWidth="1"/>
    <col min="17" max="17" width="92" customWidth="1"/>
  </cols>
  <sheetData>
    <row r="1" spans="1:17" ht="19.95" customHeight="1" x14ac:dyDescent="0.35">
      <c r="A1" s="66"/>
      <c r="B1" s="86">
        <v>2024</v>
      </c>
      <c r="C1" s="86"/>
      <c r="D1" s="67"/>
      <c r="E1" s="87" t="s">
        <v>143</v>
      </c>
      <c r="F1" s="87"/>
      <c r="O1" s="85">
        <f>SUM(Tabla410[[PI]:[PS]])</f>
        <v>0</v>
      </c>
      <c r="P1" s="85"/>
    </row>
    <row r="2" spans="1:17" ht="27.75" customHeight="1" thickBot="1" x14ac:dyDescent="0.35">
      <c r="A2" s="49" t="s">
        <v>1019</v>
      </c>
      <c r="B2" s="73" t="s">
        <v>1052</v>
      </c>
      <c r="C2" s="73" t="s">
        <v>1053</v>
      </c>
      <c r="D2" s="73" t="s">
        <v>1045</v>
      </c>
      <c r="E2" s="73" t="s">
        <v>1022</v>
      </c>
      <c r="F2" s="73" t="s">
        <v>1023</v>
      </c>
      <c r="G2" s="49" t="s">
        <v>1044</v>
      </c>
      <c r="H2" s="49" t="s">
        <v>1048</v>
      </c>
      <c r="I2" s="49" t="s">
        <v>1049</v>
      </c>
      <c r="J2" s="49" t="s">
        <v>1036</v>
      </c>
      <c r="K2" s="49" t="s">
        <v>1031</v>
      </c>
      <c r="L2" s="49" t="s">
        <v>1030</v>
      </c>
      <c r="M2" s="49" t="s">
        <v>1037</v>
      </c>
      <c r="N2" s="49" t="s">
        <v>1029</v>
      </c>
      <c r="O2" s="49" t="s">
        <v>1046</v>
      </c>
      <c r="P2" s="49" t="s">
        <v>1050</v>
      </c>
      <c r="Q2" s="50" t="s">
        <v>1027</v>
      </c>
    </row>
    <row r="3" spans="1:17" ht="15" customHeight="1" x14ac:dyDescent="0.3">
      <c r="A3" s="68"/>
      <c r="B3" s="74" t="s">
        <v>1046</v>
      </c>
      <c r="C3" s="75" t="s">
        <v>1050</v>
      </c>
      <c r="D3" s="76"/>
      <c r="E3" s="76" t="s">
        <v>1042</v>
      </c>
      <c r="F3" s="77" t="s">
        <v>518</v>
      </c>
      <c r="G3" s="69"/>
      <c r="H3" s="46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protección|Mujer|Aguascalientes</v>
      </c>
      <c r="I3" s="32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protección|Mujer|Aguascalientes</v>
      </c>
      <c r="J3" s="33">
        <f>VLOOKUP($E$1,Tabla5[[#All],[name]:[id_1]],2,FALSE)</f>
        <v>28</v>
      </c>
      <c r="K3" s="33">
        <f>VLOOKUP($B$1,Tabla6[[#All],[name]:[id_2]],2)</f>
        <v>25</v>
      </c>
      <c r="L3" s="33">
        <f>VLOOKUP(Tabla410[[#This Row],[Sexo]],Tabla8[[#All],[name]:[gender_id]],2,FALSE)</f>
        <v>1</v>
      </c>
      <c r="M3" s="33" t="str">
        <f>IF(LEN(Tabla410[[#This Row],[centros]])&gt;0,VLOOKUP(Tabla410[[#This Row],[centros]],Tabla2[[#All],[Centros]:[ID]],2,FALSE),"NULL")</f>
        <v>NULL</v>
      </c>
      <c r="N3" s="33">
        <f>VLOOKUP(Tabla410[[#This Row],[Entidad]],Tabla3[[#All],[name]:[ID_2]],2,FALSE)</f>
        <v>1</v>
      </c>
      <c r="O3" s="33">
        <f>IFERROR(VLOOKUP(Tabla410[[#This Row],[CLAVE PI]], Tabla10[], 10, FALSE), 0)</f>
        <v>0</v>
      </c>
      <c r="P3" s="47">
        <f>IFERROR(VLOOKUP(Tabla410[[#This Row],[CLAVE PS]], Tabla10[], 10, FALSE), 0)</f>
        <v>0</v>
      </c>
      <c r="Q3" s="48" t="str">
        <f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(28, 25, 1, NULL, 1, 0, 0, 1);</v>
      </c>
    </row>
    <row r="4" spans="1:17" ht="15" customHeight="1" x14ac:dyDescent="0.3">
      <c r="A4" s="68"/>
      <c r="B4" s="78" t="s">
        <v>1046</v>
      </c>
      <c r="C4" s="52" t="s">
        <v>1050</v>
      </c>
      <c r="D4" s="31"/>
      <c r="E4" s="31" t="s">
        <v>1042</v>
      </c>
      <c r="F4" s="79" t="s">
        <v>519</v>
      </c>
      <c r="G4" s="70"/>
      <c r="H4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protección|Mujer|Baja California</v>
      </c>
      <c r="I4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protección|Mujer|Baja California</v>
      </c>
      <c r="J4" s="9">
        <f>VLOOKUP($E$1,Tabla5[[#All],[name]:[id_1]],2,FALSE)</f>
        <v>28</v>
      </c>
      <c r="K4" s="9">
        <f>VLOOKUP($B$1,Tabla6[[#All],[name]:[id_2]],2)</f>
        <v>25</v>
      </c>
      <c r="L4" s="9">
        <f>VLOOKUP(Tabla410[[#This Row],[Sexo]],Tabla8[[#All],[name]:[gender_id]],2,FALSE)</f>
        <v>1</v>
      </c>
      <c r="M4" s="9" t="str">
        <f>IF(LEN(Tabla410[[#This Row],[centros]])&gt;0,VLOOKUP(Tabla410[[#This Row],[centros]],Tabla2[[#All],[Centros]:[ID]],2,FALSE),"NULL")</f>
        <v>NULL</v>
      </c>
      <c r="N4" s="9">
        <f>VLOOKUP(Tabla410[[#This Row],[Entidad]],Tabla3[[#All],[name]:[ID_2]],2,FALSE)</f>
        <v>2</v>
      </c>
      <c r="O4" s="9">
        <f>IFERROR(VLOOKUP(Tabla410[[#This Row],[CLAVE PI]], Tabla10[], 10, FALSE), 0)</f>
        <v>0</v>
      </c>
      <c r="P4" s="35">
        <f>IFERROR(VLOOKUP(Tabla410[[#This Row],[CLAVE PS]], Tabla10[], 10, FALSE), 0)</f>
        <v>0</v>
      </c>
      <c r="Q4" s="41" t="str">
        <f t="shared" ref="Q3:Q34" si="0">"INSERT INTO indicator_category_details (category_id, year_id, gender_id, center_id, state_id, PI, PS, status) VALUES ("
&amp;J4&amp;", "&amp;K4&amp;", "&amp;L4&amp;", "&amp;M4&amp;", "&amp;N4&amp;", "&amp;O4&amp;", "&amp;P4&amp;", 1);"</f>
        <v>INSERT INTO indicator_category_details (category_id, year_id, gender_id, center_id, state_id, PI, PS, status) VALUES (28, 25, 1, NULL, 2, 0, 0, 1);</v>
      </c>
    </row>
    <row r="5" spans="1:17" ht="15" customHeight="1" x14ac:dyDescent="0.3">
      <c r="A5" s="68"/>
      <c r="B5" s="78" t="s">
        <v>1046</v>
      </c>
      <c r="C5" s="52" t="s">
        <v>1050</v>
      </c>
      <c r="D5" s="31"/>
      <c r="E5" s="31" t="s">
        <v>1042</v>
      </c>
      <c r="F5" s="79" t="s">
        <v>528</v>
      </c>
      <c r="G5" s="70"/>
      <c r="H5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protección|Mujer|Baja California Sur</v>
      </c>
      <c r="I5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protección|Mujer|Baja California Sur</v>
      </c>
      <c r="J5" s="9">
        <f>VLOOKUP($E$1,Tabla5[[#All],[name]:[id_1]],2,FALSE)</f>
        <v>28</v>
      </c>
      <c r="K5" s="9">
        <f>VLOOKUP($B$1,Tabla6[[#All],[name]:[id_2]],2)</f>
        <v>25</v>
      </c>
      <c r="L5" s="9">
        <f>VLOOKUP(Tabla410[[#This Row],[Sexo]],Tabla8[[#All],[name]:[gender_id]],2,FALSE)</f>
        <v>1</v>
      </c>
      <c r="M5" s="9" t="str">
        <f>IF(LEN(Tabla410[[#This Row],[centros]])&gt;0,VLOOKUP(Tabla410[[#This Row],[centros]],Tabla2[[#All],[Centros]:[ID]],2,FALSE),"NULL")</f>
        <v>NULL</v>
      </c>
      <c r="N5" s="9">
        <f>VLOOKUP(Tabla410[[#This Row],[Entidad]],Tabla3[[#All],[name]:[ID_2]],2,FALSE)</f>
        <v>3</v>
      </c>
      <c r="O5" s="9">
        <f>IFERROR(VLOOKUP(Tabla410[[#This Row],[CLAVE PI]], Tabla10[], 10, FALSE), 0)</f>
        <v>0</v>
      </c>
      <c r="P5" s="35">
        <f>IFERROR(VLOOKUP(Tabla410[[#This Row],[CLAVE PS]], Tabla10[], 10, FALSE), 0)</f>
        <v>0</v>
      </c>
      <c r="Q5" s="41" t="str">
        <f t="shared" si="0"/>
        <v>INSERT INTO indicator_category_details (category_id, year_id, gender_id, center_id, state_id, PI, PS, status) VALUES (28, 25, 1, NULL, 3, 0, 0, 1);</v>
      </c>
    </row>
    <row r="6" spans="1:17" ht="15" customHeight="1" x14ac:dyDescent="0.3">
      <c r="A6" s="68"/>
      <c r="B6" s="78" t="s">
        <v>1046</v>
      </c>
      <c r="C6" s="52" t="s">
        <v>1050</v>
      </c>
      <c r="D6" s="31"/>
      <c r="E6" s="31" t="s">
        <v>1042</v>
      </c>
      <c r="F6" s="79" t="s">
        <v>534</v>
      </c>
      <c r="G6" s="70"/>
      <c r="H6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protección|Mujer|Campeche</v>
      </c>
      <c r="I6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protección|Mujer|Campeche</v>
      </c>
      <c r="J6" s="9">
        <f>VLOOKUP($E$1,Tabla5[[#All],[name]:[id_1]],2,FALSE)</f>
        <v>28</v>
      </c>
      <c r="K6" s="9">
        <f>VLOOKUP($B$1,Tabla6[[#All],[name]:[id_2]],2)</f>
        <v>25</v>
      </c>
      <c r="L6" s="9">
        <f>VLOOKUP(Tabla410[[#This Row],[Sexo]],Tabla8[[#All],[name]:[gender_id]],2,FALSE)</f>
        <v>1</v>
      </c>
      <c r="M6" s="9" t="str">
        <f>IF(LEN(Tabla410[[#This Row],[centros]])&gt;0,VLOOKUP(Tabla410[[#This Row],[centros]],Tabla2[[#All],[Centros]:[ID]],2,FALSE),"NULL")</f>
        <v>NULL</v>
      </c>
      <c r="N6" s="9">
        <f>VLOOKUP(Tabla410[[#This Row],[Entidad]],Tabla3[[#All],[name]:[ID_2]],2,FALSE)</f>
        <v>4</v>
      </c>
      <c r="O6" s="9">
        <f>IFERROR(VLOOKUP(Tabla410[[#This Row],[CLAVE PI]], Tabla10[], 10, FALSE), 0)</f>
        <v>0</v>
      </c>
      <c r="P6" s="35">
        <f>IFERROR(VLOOKUP(Tabla410[[#This Row],[CLAVE PS]], Tabla10[], 10, FALSE), 0)</f>
        <v>0</v>
      </c>
      <c r="Q6" s="41" t="str">
        <f t="shared" si="0"/>
        <v>INSERT INTO indicator_category_details (category_id, year_id, gender_id, center_id, state_id, PI, PS, status) VALUES (28, 25, 1, NULL, 4, 0, 0, 1);</v>
      </c>
    </row>
    <row r="7" spans="1:17" ht="15" customHeight="1" x14ac:dyDescent="0.3">
      <c r="A7" s="68"/>
      <c r="B7" s="78" t="s">
        <v>1046</v>
      </c>
      <c r="C7" s="52" t="s">
        <v>1050</v>
      </c>
      <c r="D7" s="31"/>
      <c r="E7" s="31" t="s">
        <v>1042</v>
      </c>
      <c r="F7" s="79" t="s">
        <v>553</v>
      </c>
      <c r="G7" s="70"/>
      <c r="H7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protección|Mujer|Chiapas</v>
      </c>
      <c r="I7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protección|Mujer|Chiapas</v>
      </c>
      <c r="J7" s="9">
        <f>VLOOKUP($E$1,Tabla5[[#All],[name]:[id_1]],2,FALSE)</f>
        <v>28</v>
      </c>
      <c r="K7" s="9">
        <f>VLOOKUP($B$1,Tabla6[[#All],[name]:[id_2]],2)</f>
        <v>25</v>
      </c>
      <c r="L7" s="9">
        <f>VLOOKUP(Tabla410[[#This Row],[Sexo]],Tabla8[[#All],[name]:[gender_id]],2,FALSE)</f>
        <v>1</v>
      </c>
      <c r="M7" s="9" t="str">
        <f>IF(LEN(Tabla410[[#This Row],[centros]])&gt;0,VLOOKUP(Tabla410[[#This Row],[centros]],Tabla2[[#All],[Centros]:[ID]],2,FALSE),"NULL")</f>
        <v>NULL</v>
      </c>
      <c r="N7" s="9">
        <f>VLOOKUP(Tabla410[[#This Row],[Entidad]],Tabla3[[#All],[name]:[ID_2]],2,FALSE)</f>
        <v>5</v>
      </c>
      <c r="O7" s="9">
        <f>IFERROR(VLOOKUP(Tabla410[[#This Row],[CLAVE PI]], Tabla10[], 10, FALSE), 0)</f>
        <v>0</v>
      </c>
      <c r="P7" s="35">
        <f>IFERROR(VLOOKUP(Tabla410[[#This Row],[CLAVE PS]], Tabla10[], 10, FALSE), 0)</f>
        <v>0</v>
      </c>
      <c r="Q7" s="41" t="str">
        <f t="shared" si="0"/>
        <v>INSERT INTO indicator_category_details (category_id, year_id, gender_id, center_id, state_id, PI, PS, status) VALUES (28, 25, 1, NULL, 5, 0, 0, 1);</v>
      </c>
    </row>
    <row r="8" spans="1:17" ht="15" customHeight="1" x14ac:dyDescent="0.3">
      <c r="A8" s="68"/>
      <c r="B8" s="78" t="s">
        <v>1046</v>
      </c>
      <c r="C8" s="52" t="s">
        <v>1050</v>
      </c>
      <c r="D8" s="31"/>
      <c r="E8" s="31" t="s">
        <v>1042</v>
      </c>
      <c r="F8" s="79" t="s">
        <v>570</v>
      </c>
      <c r="G8" s="70"/>
      <c r="H8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protección|Mujer|Chihuahua</v>
      </c>
      <c r="I8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protección|Mujer|Chihuahua</v>
      </c>
      <c r="J8" s="9">
        <f>VLOOKUP($E$1,Tabla5[[#All],[name]:[id_1]],2,FALSE)</f>
        <v>28</v>
      </c>
      <c r="K8" s="9">
        <f>VLOOKUP($B$1,Tabla6[[#All],[name]:[id_2]],2)</f>
        <v>25</v>
      </c>
      <c r="L8" s="9">
        <f>VLOOKUP(Tabla410[[#This Row],[Sexo]],Tabla8[[#All],[name]:[gender_id]],2,FALSE)</f>
        <v>1</v>
      </c>
      <c r="M8" s="9" t="str">
        <f>IF(LEN(Tabla410[[#This Row],[centros]])&gt;0,VLOOKUP(Tabla410[[#This Row],[centros]],Tabla2[[#All],[Centros]:[ID]],2,FALSE),"NULL")</f>
        <v>NULL</v>
      </c>
      <c r="N8" s="9">
        <f>VLOOKUP(Tabla410[[#This Row],[Entidad]],Tabla3[[#All],[name]:[ID_2]],2,FALSE)</f>
        <v>6</v>
      </c>
      <c r="O8" s="9">
        <f>IFERROR(VLOOKUP(Tabla410[[#This Row],[CLAVE PI]], Tabla10[], 10, FALSE), 0)</f>
        <v>0</v>
      </c>
      <c r="P8" s="35">
        <f>IFERROR(VLOOKUP(Tabla410[[#This Row],[CLAVE PS]], Tabla10[], 10, FALSE), 0)</f>
        <v>0</v>
      </c>
      <c r="Q8" s="41" t="str">
        <f t="shared" si="0"/>
        <v>INSERT INTO indicator_category_details (category_id, year_id, gender_id, center_id, state_id, PI, PS, status) VALUES (28, 25, 1, NULL, 6, 0, 0, 1);</v>
      </c>
    </row>
    <row r="9" spans="1:17" ht="15" customHeight="1" x14ac:dyDescent="0.3">
      <c r="A9" s="68"/>
      <c r="B9" s="78" t="s">
        <v>1046</v>
      </c>
      <c r="C9" s="52" t="s">
        <v>1050</v>
      </c>
      <c r="D9" s="31"/>
      <c r="E9" s="31" t="s">
        <v>1042</v>
      </c>
      <c r="F9" s="79" t="s">
        <v>582</v>
      </c>
      <c r="G9" s="70"/>
      <c r="H9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protección|Mujer|Ciudad de México</v>
      </c>
      <c r="I9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protección|Mujer|Ciudad de México</v>
      </c>
      <c r="J9" s="9">
        <f>VLOOKUP($E$1,Tabla5[[#All],[name]:[id_1]],2,FALSE)</f>
        <v>28</v>
      </c>
      <c r="K9" s="9">
        <f>VLOOKUP($B$1,Tabla6[[#All],[name]:[id_2]],2)</f>
        <v>25</v>
      </c>
      <c r="L9" s="9">
        <f>VLOOKUP(Tabla410[[#This Row],[Sexo]],Tabla8[[#All],[name]:[gender_id]],2,FALSE)</f>
        <v>1</v>
      </c>
      <c r="M9" s="9" t="str">
        <f>IF(LEN(Tabla410[[#This Row],[centros]])&gt;0,VLOOKUP(Tabla410[[#This Row],[centros]],Tabla2[[#All],[Centros]:[ID]],2,FALSE),"NULL")</f>
        <v>NULL</v>
      </c>
      <c r="N9" s="9">
        <f>VLOOKUP(Tabla410[[#This Row],[Entidad]],Tabla3[[#All],[name]:[ID_2]],2,FALSE)</f>
        <v>7</v>
      </c>
      <c r="O9" s="9">
        <f>IFERROR(VLOOKUP(Tabla410[[#This Row],[CLAVE PI]], Tabla10[], 10, FALSE), 0)</f>
        <v>0</v>
      </c>
      <c r="P9" s="35">
        <f>IFERROR(VLOOKUP(Tabla410[[#This Row],[CLAVE PS]], Tabla10[], 10, FALSE), 0)</f>
        <v>0</v>
      </c>
      <c r="Q9" s="41" t="str">
        <f t="shared" si="0"/>
        <v>INSERT INTO indicator_category_details (category_id, year_id, gender_id, center_id, state_id, PI, PS, status) VALUES (28, 25, 1, NULL, 7, 0, 0, 1);</v>
      </c>
    </row>
    <row r="10" spans="1:17" ht="15" customHeight="1" x14ac:dyDescent="0.3">
      <c r="A10" s="68"/>
      <c r="B10" s="78" t="s">
        <v>1046</v>
      </c>
      <c r="C10" s="52" t="s">
        <v>1050</v>
      </c>
      <c r="D10" s="31"/>
      <c r="E10" s="31" t="s">
        <v>1042</v>
      </c>
      <c r="F10" s="79" t="s">
        <v>538</v>
      </c>
      <c r="G10" s="70"/>
      <c r="H10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protección|Mujer|Coahuila de Zaragoza</v>
      </c>
      <c r="I10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protección|Mujer|Coahuila de Zaragoza</v>
      </c>
      <c r="J10" s="9">
        <f>VLOOKUP($E$1,Tabla5[[#All],[name]:[id_1]],2,FALSE)</f>
        <v>28</v>
      </c>
      <c r="K10" s="9">
        <f>VLOOKUP($B$1,Tabla6[[#All],[name]:[id_2]],2)</f>
        <v>25</v>
      </c>
      <c r="L10" s="9">
        <f>VLOOKUP(Tabla410[[#This Row],[Sexo]],Tabla8[[#All],[name]:[gender_id]],2,FALSE)</f>
        <v>1</v>
      </c>
      <c r="M10" s="9" t="str">
        <f>IF(LEN(Tabla410[[#This Row],[centros]])&gt;0,VLOOKUP(Tabla410[[#This Row],[centros]],Tabla2[[#All],[Centros]:[ID]],2,FALSE),"NULL")</f>
        <v>NULL</v>
      </c>
      <c r="N10" s="9">
        <f>VLOOKUP(Tabla410[[#This Row],[Entidad]],Tabla3[[#All],[name]:[ID_2]],2,FALSE)</f>
        <v>8</v>
      </c>
      <c r="O10" s="9">
        <f>IFERROR(VLOOKUP(Tabla410[[#This Row],[CLAVE PI]], Tabla10[], 10, FALSE), 0)</f>
        <v>0</v>
      </c>
      <c r="P10" s="35">
        <f>IFERROR(VLOOKUP(Tabla410[[#This Row],[CLAVE PS]], Tabla10[], 10, FALSE), 0)</f>
        <v>0</v>
      </c>
      <c r="Q10" s="41" t="str">
        <f t="shared" si="0"/>
        <v>INSERT INTO indicator_category_details (category_id, year_id, gender_id, center_id, state_id, PI, PS, status) VALUES (28, 25, 1, NULL, 8, 0, 0, 1);</v>
      </c>
    </row>
    <row r="11" spans="1:17" ht="15" customHeight="1" x14ac:dyDescent="0.3">
      <c r="A11" s="68"/>
      <c r="B11" s="78" t="s">
        <v>1046</v>
      </c>
      <c r="C11" s="52" t="s">
        <v>1050</v>
      </c>
      <c r="D11" s="31"/>
      <c r="E11" s="31" t="s">
        <v>1042</v>
      </c>
      <c r="F11" s="79" t="s">
        <v>547</v>
      </c>
      <c r="G11" s="70"/>
      <c r="H11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protección|Mujer|Colima</v>
      </c>
      <c r="I11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protección|Mujer|Colima</v>
      </c>
      <c r="J11" s="9">
        <f>VLOOKUP($E$1,Tabla5[[#All],[name]:[id_1]],2,FALSE)</f>
        <v>28</v>
      </c>
      <c r="K11" s="9">
        <f>VLOOKUP($B$1,Tabla6[[#All],[name]:[id_2]],2)</f>
        <v>25</v>
      </c>
      <c r="L11" s="9">
        <f>VLOOKUP(Tabla410[[#This Row],[Sexo]],Tabla8[[#All],[name]:[gender_id]],2,FALSE)</f>
        <v>1</v>
      </c>
      <c r="M11" s="9" t="str">
        <f>IF(LEN(Tabla410[[#This Row],[centros]])&gt;0,VLOOKUP(Tabla410[[#This Row],[centros]],Tabla2[[#All],[Centros]:[ID]],2,FALSE),"NULL")</f>
        <v>NULL</v>
      </c>
      <c r="N11" s="9">
        <f>VLOOKUP(Tabla410[[#This Row],[Entidad]],Tabla3[[#All],[name]:[ID_2]],2,FALSE)</f>
        <v>9</v>
      </c>
      <c r="O11" s="9">
        <f>IFERROR(VLOOKUP(Tabla410[[#This Row],[CLAVE PI]], Tabla10[], 10, FALSE), 0)</f>
        <v>0</v>
      </c>
      <c r="P11" s="35">
        <f>IFERROR(VLOOKUP(Tabla410[[#This Row],[CLAVE PS]], Tabla10[], 10, FALSE), 0)</f>
        <v>0</v>
      </c>
      <c r="Q11" s="41" t="str">
        <f t="shared" si="0"/>
        <v>INSERT INTO indicator_category_details (category_id, year_id, gender_id, center_id, state_id, PI, PS, status) VALUES (28, 25, 1, NULL, 9, 0, 0, 1);</v>
      </c>
    </row>
    <row r="12" spans="1:17" ht="15" customHeight="1" x14ac:dyDescent="0.3">
      <c r="A12" s="68"/>
      <c r="B12" s="78" t="s">
        <v>1046</v>
      </c>
      <c r="C12" s="52" t="s">
        <v>1050</v>
      </c>
      <c r="D12" s="31"/>
      <c r="E12" s="31" t="s">
        <v>1042</v>
      </c>
      <c r="F12" s="79" t="s">
        <v>600</v>
      </c>
      <c r="G12" s="70"/>
      <c r="H12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protección|Mujer|Durango</v>
      </c>
      <c r="I12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protección|Mujer|Durango</v>
      </c>
      <c r="J12" s="9">
        <f>VLOOKUP($E$1,Tabla5[[#All],[name]:[id_1]],2,FALSE)</f>
        <v>28</v>
      </c>
      <c r="K12" s="9">
        <f>VLOOKUP($B$1,Tabla6[[#All],[name]:[id_2]],2)</f>
        <v>25</v>
      </c>
      <c r="L12" s="9">
        <f>VLOOKUP(Tabla410[[#This Row],[Sexo]],Tabla8[[#All],[name]:[gender_id]],2,FALSE)</f>
        <v>1</v>
      </c>
      <c r="M12" s="9" t="str">
        <f>IF(LEN(Tabla410[[#This Row],[centros]])&gt;0,VLOOKUP(Tabla410[[#This Row],[centros]],Tabla2[[#All],[Centros]:[ID]],2,FALSE),"NULL")</f>
        <v>NULL</v>
      </c>
      <c r="N12" s="9">
        <f>VLOOKUP(Tabla410[[#This Row],[Entidad]],Tabla3[[#All],[name]:[ID_2]],2,FALSE)</f>
        <v>10</v>
      </c>
      <c r="O12" s="9">
        <f>IFERROR(VLOOKUP(Tabla410[[#This Row],[CLAVE PI]], Tabla10[], 10, FALSE), 0)</f>
        <v>0</v>
      </c>
      <c r="P12" s="35">
        <f>IFERROR(VLOOKUP(Tabla410[[#This Row],[CLAVE PS]], Tabla10[], 10, FALSE), 0)</f>
        <v>0</v>
      </c>
      <c r="Q12" s="41" t="str">
        <f t="shared" si="0"/>
        <v>INSERT INTO indicator_category_details (category_id, year_id, gender_id, center_id, state_id, PI, PS, status) VALUES (28, 25, 1, NULL, 10, 0, 0, 1);</v>
      </c>
    </row>
    <row r="13" spans="1:17" ht="15" customHeight="1" x14ac:dyDescent="0.3">
      <c r="A13" s="68"/>
      <c r="B13" s="78" t="s">
        <v>1046</v>
      </c>
      <c r="C13" s="52" t="s">
        <v>1050</v>
      </c>
      <c r="D13" s="31"/>
      <c r="E13" s="31" t="s">
        <v>1042</v>
      </c>
      <c r="F13" s="79" t="s">
        <v>606</v>
      </c>
      <c r="G13" s="70"/>
      <c r="H13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protección|Mujer|Guanajuato</v>
      </c>
      <c r="I13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protección|Mujer|Guanajuato</v>
      </c>
      <c r="J13" s="9">
        <f>VLOOKUP($E$1,Tabla5[[#All],[name]:[id_1]],2,FALSE)</f>
        <v>28</v>
      </c>
      <c r="K13" s="9">
        <f>VLOOKUP($B$1,Tabla6[[#All],[name]:[id_2]],2)</f>
        <v>25</v>
      </c>
      <c r="L13" s="9">
        <f>VLOOKUP(Tabla410[[#This Row],[Sexo]],Tabla8[[#All],[name]:[gender_id]],2,FALSE)</f>
        <v>1</v>
      </c>
      <c r="M13" s="9" t="str">
        <f>IF(LEN(Tabla410[[#This Row],[centros]])&gt;0,VLOOKUP(Tabla410[[#This Row],[centros]],Tabla2[[#All],[Centros]:[ID]],2,FALSE),"NULL")</f>
        <v>NULL</v>
      </c>
      <c r="N13" s="9">
        <f>VLOOKUP(Tabla410[[#This Row],[Entidad]],Tabla3[[#All],[name]:[ID_2]],2,FALSE)</f>
        <v>11</v>
      </c>
      <c r="O13" s="9">
        <f>IFERROR(VLOOKUP(Tabla410[[#This Row],[CLAVE PI]], Tabla10[], 10, FALSE), 0)</f>
        <v>0</v>
      </c>
      <c r="P13" s="35">
        <f>IFERROR(VLOOKUP(Tabla410[[#This Row],[CLAVE PS]], Tabla10[], 10, FALSE), 0)</f>
        <v>0</v>
      </c>
      <c r="Q13" s="41" t="str">
        <f t="shared" si="0"/>
        <v>INSERT INTO indicator_category_details (category_id, year_id, gender_id, center_id, state_id, PI, PS, status) VALUES (28, 25, 1, NULL, 11, 0, 0, 1);</v>
      </c>
    </row>
    <row r="14" spans="1:17" ht="15" customHeight="1" x14ac:dyDescent="0.3">
      <c r="A14" s="68"/>
      <c r="B14" s="78" t="s">
        <v>1046</v>
      </c>
      <c r="C14" s="52" t="s">
        <v>1050</v>
      </c>
      <c r="D14" s="31"/>
      <c r="E14" s="31" t="s">
        <v>1042</v>
      </c>
      <c r="F14" s="79" t="s">
        <v>619</v>
      </c>
      <c r="G14" s="70"/>
      <c r="H14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protección|Mujer|Guerrero</v>
      </c>
      <c r="I14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protección|Mujer|Guerrero</v>
      </c>
      <c r="J14" s="9">
        <f>VLOOKUP($E$1,Tabla5[[#All],[name]:[id_1]],2,FALSE)</f>
        <v>28</v>
      </c>
      <c r="K14" s="9">
        <f>VLOOKUP($B$1,Tabla6[[#All],[name]:[id_2]],2)</f>
        <v>25</v>
      </c>
      <c r="L14" s="9">
        <f>VLOOKUP(Tabla410[[#This Row],[Sexo]],Tabla8[[#All],[name]:[gender_id]],2,FALSE)</f>
        <v>1</v>
      </c>
      <c r="M14" s="9" t="str">
        <f>IF(LEN(Tabla410[[#This Row],[centros]])&gt;0,VLOOKUP(Tabla410[[#This Row],[centros]],Tabla2[[#All],[Centros]:[ID]],2,FALSE),"NULL")</f>
        <v>NULL</v>
      </c>
      <c r="N14" s="9">
        <f>VLOOKUP(Tabla410[[#This Row],[Entidad]],Tabla3[[#All],[name]:[ID_2]],2,FALSE)</f>
        <v>12</v>
      </c>
      <c r="O14" s="9">
        <f>IFERROR(VLOOKUP(Tabla410[[#This Row],[CLAVE PI]], Tabla10[], 10, FALSE), 0)</f>
        <v>0</v>
      </c>
      <c r="P14" s="35">
        <f>IFERROR(VLOOKUP(Tabla410[[#This Row],[CLAVE PS]], Tabla10[], 10, FALSE), 0)</f>
        <v>0</v>
      </c>
      <c r="Q14" s="41" t="str">
        <f t="shared" si="0"/>
        <v>INSERT INTO indicator_category_details (category_id, year_id, gender_id, center_id, state_id, PI, PS, status) VALUES (28, 25, 1, NULL, 12, 0, 0, 1);</v>
      </c>
    </row>
    <row r="15" spans="1:17" ht="15" customHeight="1" x14ac:dyDescent="0.3">
      <c r="A15" s="68"/>
      <c r="B15" s="78" t="s">
        <v>1046</v>
      </c>
      <c r="C15" s="52" t="s">
        <v>1050</v>
      </c>
      <c r="D15" s="31"/>
      <c r="E15" s="31" t="s">
        <v>1042</v>
      </c>
      <c r="F15" s="79" t="s">
        <v>633</v>
      </c>
      <c r="G15" s="70"/>
      <c r="H15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protección|Mujer|Hidalgo</v>
      </c>
      <c r="I15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protección|Mujer|Hidalgo</v>
      </c>
      <c r="J15" s="9">
        <f>VLOOKUP($E$1,Tabla5[[#All],[name]:[id_1]],2,FALSE)</f>
        <v>28</v>
      </c>
      <c r="K15" s="9">
        <f>VLOOKUP($B$1,Tabla6[[#All],[name]:[id_2]],2)</f>
        <v>25</v>
      </c>
      <c r="L15" s="9">
        <f>VLOOKUP(Tabla410[[#This Row],[Sexo]],Tabla8[[#All],[name]:[gender_id]],2,FALSE)</f>
        <v>1</v>
      </c>
      <c r="M15" s="9" t="str">
        <f>IF(LEN(Tabla410[[#This Row],[centros]])&gt;0,VLOOKUP(Tabla410[[#This Row],[centros]],Tabla2[[#All],[Centros]:[ID]],2,FALSE),"NULL")</f>
        <v>NULL</v>
      </c>
      <c r="N15" s="9">
        <f>VLOOKUP(Tabla410[[#This Row],[Entidad]],Tabla3[[#All],[name]:[ID_2]],2,FALSE)</f>
        <v>13</v>
      </c>
      <c r="O15" s="9">
        <f>IFERROR(VLOOKUP(Tabla410[[#This Row],[CLAVE PI]], Tabla10[], 10, FALSE), 0)</f>
        <v>0</v>
      </c>
      <c r="P15" s="35">
        <f>IFERROR(VLOOKUP(Tabla410[[#This Row],[CLAVE PS]], Tabla10[], 10, FALSE), 0)</f>
        <v>0</v>
      </c>
      <c r="Q15" s="41" t="str">
        <f t="shared" si="0"/>
        <v>INSERT INTO indicator_category_details (category_id, year_id, gender_id, center_id, state_id, PI, PS, status) VALUES (28, 25, 1, NULL, 13, 0, 0, 1);</v>
      </c>
    </row>
    <row r="16" spans="1:17" ht="15" customHeight="1" x14ac:dyDescent="0.3">
      <c r="A16" s="68"/>
      <c r="B16" s="78" t="s">
        <v>1046</v>
      </c>
      <c r="C16" s="52" t="s">
        <v>1050</v>
      </c>
      <c r="D16" s="31"/>
      <c r="E16" s="31" t="s">
        <v>1042</v>
      </c>
      <c r="F16" s="79" t="s">
        <v>647</v>
      </c>
      <c r="G16" s="70"/>
      <c r="H16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protección|Mujer|Jalisco</v>
      </c>
      <c r="I16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protección|Mujer|Jalisco</v>
      </c>
      <c r="J16" s="9">
        <f>VLOOKUP($E$1,Tabla5[[#All],[name]:[id_1]],2,FALSE)</f>
        <v>28</v>
      </c>
      <c r="K16" s="9">
        <f>VLOOKUP($B$1,Tabla6[[#All],[name]:[id_2]],2)</f>
        <v>25</v>
      </c>
      <c r="L16" s="9">
        <f>VLOOKUP(Tabla410[[#This Row],[Sexo]],Tabla8[[#All],[name]:[gender_id]],2,FALSE)</f>
        <v>1</v>
      </c>
      <c r="M16" s="9" t="str">
        <f>IF(LEN(Tabla410[[#This Row],[centros]])&gt;0,VLOOKUP(Tabla410[[#This Row],[centros]],Tabla2[[#All],[Centros]:[ID]],2,FALSE),"NULL")</f>
        <v>NULL</v>
      </c>
      <c r="N16" s="9">
        <f>VLOOKUP(Tabla410[[#This Row],[Entidad]],Tabla3[[#All],[name]:[ID_2]],2,FALSE)</f>
        <v>14</v>
      </c>
      <c r="O16" s="9">
        <f>IFERROR(VLOOKUP(Tabla410[[#This Row],[CLAVE PI]], Tabla10[], 10, FALSE), 0)</f>
        <v>0</v>
      </c>
      <c r="P16" s="35">
        <f>IFERROR(VLOOKUP(Tabla410[[#This Row],[CLAVE PS]], Tabla10[], 10, FALSE), 0)</f>
        <v>0</v>
      </c>
      <c r="Q16" s="41" t="str">
        <f t="shared" si="0"/>
        <v>INSERT INTO indicator_category_details (category_id, year_id, gender_id, center_id, state_id, PI, PS, status) VALUES (28, 25, 1, NULL, 14, 0, 0, 1);</v>
      </c>
    </row>
    <row r="17" spans="1:17" ht="15" customHeight="1" x14ac:dyDescent="0.3">
      <c r="A17" s="68"/>
      <c r="B17" s="78" t="s">
        <v>1046</v>
      </c>
      <c r="C17" s="52" t="s">
        <v>1050</v>
      </c>
      <c r="D17" s="31"/>
      <c r="E17" s="31" t="s">
        <v>1042</v>
      </c>
      <c r="F17" s="79" t="s">
        <v>662</v>
      </c>
      <c r="G17" s="70"/>
      <c r="H17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protección|Mujer|México</v>
      </c>
      <c r="I17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protección|Mujer|México</v>
      </c>
      <c r="J17" s="9">
        <f>VLOOKUP($E$1,Tabla5[[#All],[name]:[id_1]],2,FALSE)</f>
        <v>28</v>
      </c>
      <c r="K17" s="9">
        <f>VLOOKUP($B$1,Tabla6[[#All],[name]:[id_2]],2)</f>
        <v>25</v>
      </c>
      <c r="L17" s="9">
        <f>VLOOKUP(Tabla410[[#This Row],[Sexo]],Tabla8[[#All],[name]:[gender_id]],2,FALSE)</f>
        <v>1</v>
      </c>
      <c r="M17" s="9" t="str">
        <f>IF(LEN(Tabla410[[#This Row],[centros]])&gt;0,VLOOKUP(Tabla410[[#This Row],[centros]],Tabla2[[#All],[Centros]:[ID]],2,FALSE),"NULL")</f>
        <v>NULL</v>
      </c>
      <c r="N17" s="9">
        <f>VLOOKUP(Tabla410[[#This Row],[Entidad]],Tabla3[[#All],[name]:[ID_2]],2,FALSE)</f>
        <v>15</v>
      </c>
      <c r="O17" s="9">
        <f>IFERROR(VLOOKUP(Tabla410[[#This Row],[CLAVE PI]], Tabla10[], 10, FALSE), 0)</f>
        <v>0</v>
      </c>
      <c r="P17" s="35">
        <f>IFERROR(VLOOKUP(Tabla410[[#This Row],[CLAVE PS]], Tabla10[], 10, FALSE), 0)</f>
        <v>0</v>
      </c>
      <c r="Q17" s="41" t="str">
        <f t="shared" si="0"/>
        <v>INSERT INTO indicator_category_details (category_id, year_id, gender_id, center_id, state_id, PI, PS, status) VALUES (28, 25, 1, NULL, 15, 0, 0, 1);</v>
      </c>
    </row>
    <row r="18" spans="1:17" ht="15" customHeight="1" x14ac:dyDescent="0.3">
      <c r="A18" s="68"/>
      <c r="B18" s="78" t="s">
        <v>1046</v>
      </c>
      <c r="C18" s="52" t="s">
        <v>1050</v>
      </c>
      <c r="D18" s="31"/>
      <c r="E18" s="31" t="s">
        <v>1042</v>
      </c>
      <c r="F18" s="79" t="s">
        <v>685</v>
      </c>
      <c r="G18" s="70"/>
      <c r="H18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protección|Mujer|Michoacán de Ocampo</v>
      </c>
      <c r="I18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protección|Mujer|Michoacán de Ocampo</v>
      </c>
      <c r="J18" s="9">
        <f>VLOOKUP($E$1,Tabla5[[#All],[name]:[id_1]],2,FALSE)</f>
        <v>28</v>
      </c>
      <c r="K18" s="9">
        <f>VLOOKUP($B$1,Tabla6[[#All],[name]:[id_2]],2)</f>
        <v>25</v>
      </c>
      <c r="L18" s="9">
        <f>VLOOKUP(Tabla410[[#This Row],[Sexo]],Tabla8[[#All],[name]:[gender_id]],2,FALSE)</f>
        <v>1</v>
      </c>
      <c r="M18" s="9" t="str">
        <f>IF(LEN(Tabla410[[#This Row],[centros]])&gt;0,VLOOKUP(Tabla410[[#This Row],[centros]],Tabla2[[#All],[Centros]:[ID]],2,FALSE),"NULL")</f>
        <v>NULL</v>
      </c>
      <c r="N18" s="9">
        <f>VLOOKUP(Tabla410[[#This Row],[Entidad]],Tabla3[[#All],[name]:[ID_2]],2,FALSE)</f>
        <v>16</v>
      </c>
      <c r="O18" s="9">
        <f>IFERROR(VLOOKUP(Tabla410[[#This Row],[CLAVE PI]], Tabla10[], 10, FALSE), 0)</f>
        <v>0</v>
      </c>
      <c r="P18" s="35">
        <f>IFERROR(VLOOKUP(Tabla410[[#This Row],[CLAVE PS]], Tabla10[], 10, FALSE), 0)</f>
        <v>0</v>
      </c>
      <c r="Q18" s="41" t="str">
        <f t="shared" si="0"/>
        <v>INSERT INTO indicator_category_details (category_id, year_id, gender_id, center_id, state_id, PI, PS, status) VALUES (28, 25, 1, NULL, 16, 0, 0, 1);</v>
      </c>
    </row>
    <row r="19" spans="1:17" ht="15" customHeight="1" x14ac:dyDescent="0.3">
      <c r="A19" s="68"/>
      <c r="B19" s="78" t="s">
        <v>1046</v>
      </c>
      <c r="C19" s="52" t="s">
        <v>1050</v>
      </c>
      <c r="D19" s="31"/>
      <c r="E19" s="31" t="s">
        <v>1042</v>
      </c>
      <c r="F19" s="79" t="s">
        <v>698</v>
      </c>
      <c r="G19" s="70"/>
      <c r="H19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protección|Mujer|Morelos</v>
      </c>
      <c r="I19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protección|Mujer|Morelos</v>
      </c>
      <c r="J19" s="9">
        <f>VLOOKUP($E$1,Tabla5[[#All],[name]:[id_1]],2,FALSE)</f>
        <v>28</v>
      </c>
      <c r="K19" s="9">
        <f>VLOOKUP($B$1,Tabla6[[#All],[name]:[id_2]],2)</f>
        <v>25</v>
      </c>
      <c r="L19" s="9">
        <f>VLOOKUP(Tabla410[[#This Row],[Sexo]],Tabla8[[#All],[name]:[gender_id]],2,FALSE)</f>
        <v>1</v>
      </c>
      <c r="M19" s="9" t="str">
        <f>IF(LEN(Tabla410[[#This Row],[centros]])&gt;0,VLOOKUP(Tabla410[[#This Row],[centros]],Tabla2[[#All],[Centros]:[ID]],2,FALSE),"NULL")</f>
        <v>NULL</v>
      </c>
      <c r="N19" s="9">
        <f>VLOOKUP(Tabla410[[#This Row],[Entidad]],Tabla3[[#All],[name]:[ID_2]],2,FALSE)</f>
        <v>17</v>
      </c>
      <c r="O19" s="9">
        <f>IFERROR(VLOOKUP(Tabla410[[#This Row],[CLAVE PI]], Tabla10[], 10, FALSE), 0)</f>
        <v>0</v>
      </c>
      <c r="P19" s="35">
        <f>IFERROR(VLOOKUP(Tabla410[[#This Row],[CLAVE PS]], Tabla10[], 10, FALSE), 0)</f>
        <v>0</v>
      </c>
      <c r="Q19" s="41" t="str">
        <f t="shared" si="0"/>
        <v>INSERT INTO indicator_category_details (category_id, year_id, gender_id, center_id, state_id, PI, PS, status) VALUES (28, 25, 1, NULL, 17, 0, 0, 1);</v>
      </c>
    </row>
    <row r="20" spans="1:17" ht="15" customHeight="1" x14ac:dyDescent="0.3">
      <c r="A20" s="68"/>
      <c r="B20" s="78" t="s">
        <v>1046</v>
      </c>
      <c r="C20" s="52" t="s">
        <v>1050</v>
      </c>
      <c r="D20" s="31"/>
      <c r="E20" s="31" t="s">
        <v>1042</v>
      </c>
      <c r="F20" s="79" t="s">
        <v>705</v>
      </c>
      <c r="G20" s="70"/>
      <c r="H20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protección|Mujer|Nayarit</v>
      </c>
      <c r="I20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protección|Mujer|Nayarit</v>
      </c>
      <c r="J20" s="9">
        <f>VLOOKUP($E$1,Tabla5[[#All],[name]:[id_1]],2,FALSE)</f>
        <v>28</v>
      </c>
      <c r="K20" s="9">
        <f>VLOOKUP($B$1,Tabla6[[#All],[name]:[id_2]],2)</f>
        <v>25</v>
      </c>
      <c r="L20" s="9">
        <f>VLOOKUP(Tabla410[[#This Row],[Sexo]],Tabla8[[#All],[name]:[gender_id]],2,FALSE)</f>
        <v>1</v>
      </c>
      <c r="M20" s="9" t="str">
        <f>IF(LEN(Tabla410[[#This Row],[centros]])&gt;0,VLOOKUP(Tabla410[[#This Row],[centros]],Tabla2[[#All],[Centros]:[ID]],2,FALSE),"NULL")</f>
        <v>NULL</v>
      </c>
      <c r="N20" s="9">
        <f>VLOOKUP(Tabla410[[#This Row],[Entidad]],Tabla3[[#All],[name]:[ID_2]],2,FALSE)</f>
        <v>18</v>
      </c>
      <c r="O20" s="9">
        <f>IFERROR(VLOOKUP(Tabla410[[#This Row],[CLAVE PI]], Tabla10[], 10, FALSE), 0)</f>
        <v>0</v>
      </c>
      <c r="P20" s="35">
        <f>IFERROR(VLOOKUP(Tabla410[[#This Row],[CLAVE PS]], Tabla10[], 10, FALSE), 0)</f>
        <v>0</v>
      </c>
      <c r="Q20" s="41" t="str">
        <f t="shared" si="0"/>
        <v>INSERT INTO indicator_category_details (category_id, year_id, gender_id, center_id, state_id, PI, PS, status) VALUES (28, 25, 1, NULL, 18, 0, 0, 1);</v>
      </c>
    </row>
    <row r="21" spans="1:17" ht="15" customHeight="1" x14ac:dyDescent="0.3">
      <c r="A21" s="68"/>
      <c r="B21" s="78" t="s">
        <v>1046</v>
      </c>
      <c r="C21" s="52" t="s">
        <v>1050</v>
      </c>
      <c r="D21" s="31"/>
      <c r="E21" s="31" t="s">
        <v>1042</v>
      </c>
      <c r="F21" s="80" t="s">
        <v>710</v>
      </c>
      <c r="G21" s="71"/>
      <c r="H21" s="36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protección|Mujer|Nuevo León</v>
      </c>
      <c r="I21" s="22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protección|Mujer|Nuevo León</v>
      </c>
      <c r="J21" s="13">
        <f>VLOOKUP($E$1,Tabla5[[#All],[name]:[id_1]],2,FALSE)</f>
        <v>28</v>
      </c>
      <c r="K21" s="13">
        <f>VLOOKUP($B$1,Tabla6[[#All],[name]:[id_2]],2)</f>
        <v>25</v>
      </c>
      <c r="L21" s="13">
        <f>VLOOKUP(Tabla410[[#This Row],[Sexo]],Tabla8[[#All],[name]:[gender_id]],2,FALSE)</f>
        <v>1</v>
      </c>
      <c r="M21" s="13" t="str">
        <f>IF(LEN(Tabla410[[#This Row],[centros]])&gt;0,VLOOKUP(Tabla410[[#This Row],[centros]],Tabla2[[#All],[Centros]:[ID]],2,FALSE),"NULL")</f>
        <v>NULL</v>
      </c>
      <c r="N21" s="13">
        <f>VLOOKUP(Tabla410[[#This Row],[Entidad]],Tabla3[[#All],[name]:[ID_2]],2,FALSE)</f>
        <v>19</v>
      </c>
      <c r="O21" s="9">
        <f>IFERROR(VLOOKUP(Tabla410[[#This Row],[CLAVE PI]], Tabla10[], 10, FALSE), 0)</f>
        <v>0</v>
      </c>
      <c r="P21" s="35">
        <f>IFERROR(VLOOKUP(Tabla410[[#This Row],[CLAVE PS]], Tabla10[], 10, FALSE), 0)</f>
        <v>0</v>
      </c>
      <c r="Q21" s="42" t="str">
        <f t="shared" si="0"/>
        <v>INSERT INTO indicator_category_details (category_id, year_id, gender_id, center_id, state_id, PI, PS, status) VALUES (28, 25, 1, NULL, 19, 0, 0, 1);</v>
      </c>
    </row>
    <row r="22" spans="1:17" ht="15" customHeight="1" x14ac:dyDescent="0.3">
      <c r="A22" s="68"/>
      <c r="B22" s="78" t="s">
        <v>1046</v>
      </c>
      <c r="C22" s="52" t="s">
        <v>1050</v>
      </c>
      <c r="D22" s="31"/>
      <c r="E22" s="31" t="s">
        <v>1042</v>
      </c>
      <c r="F22" s="79" t="s">
        <v>716</v>
      </c>
      <c r="G22" s="70"/>
      <c r="H22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protección|Mujer|Oaxaca</v>
      </c>
      <c r="I22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protección|Mujer|Oaxaca</v>
      </c>
      <c r="J22" s="9">
        <f>VLOOKUP($E$1,Tabla5[[#All],[name]:[id_1]],2,FALSE)</f>
        <v>28</v>
      </c>
      <c r="K22" s="9">
        <f>VLOOKUP($B$1,Tabla6[[#All],[name]:[id_2]],2)</f>
        <v>25</v>
      </c>
      <c r="L22" s="9">
        <f>VLOOKUP(Tabla410[[#This Row],[Sexo]],Tabla8[[#All],[name]:[gender_id]],2,FALSE)</f>
        <v>1</v>
      </c>
      <c r="M22" s="9" t="str">
        <f>IF(LEN(Tabla410[[#This Row],[centros]])&gt;0,VLOOKUP(Tabla410[[#This Row],[centros]],Tabla2[[#All],[Centros]:[ID]],2,FALSE),"NULL")</f>
        <v>NULL</v>
      </c>
      <c r="N22" s="9">
        <f>VLOOKUP(Tabla410[[#This Row],[Entidad]],Tabla3[[#All],[name]:[ID_2]],2,FALSE)</f>
        <v>20</v>
      </c>
      <c r="O22" s="9">
        <f>IFERROR(VLOOKUP(Tabla410[[#This Row],[CLAVE PI]], Tabla10[], 10, FALSE), 0)</f>
        <v>0</v>
      </c>
      <c r="P22" s="35">
        <f>IFERROR(VLOOKUP(Tabla410[[#This Row],[CLAVE PS]], Tabla10[], 10, FALSE), 0)</f>
        <v>0</v>
      </c>
      <c r="Q22" s="41" t="str">
        <f t="shared" si="0"/>
        <v>INSERT INTO indicator_category_details (category_id, year_id, gender_id, center_id, state_id, PI, PS, status) VALUES (28, 25, 1, NULL, 20, 0, 0, 1);</v>
      </c>
    </row>
    <row r="23" spans="1:17" ht="15" customHeight="1" x14ac:dyDescent="0.3">
      <c r="A23" s="68"/>
      <c r="B23" s="78" t="s">
        <v>1046</v>
      </c>
      <c r="C23" s="52" t="s">
        <v>1050</v>
      </c>
      <c r="D23" s="31"/>
      <c r="E23" s="31" t="s">
        <v>1042</v>
      </c>
      <c r="F23" s="79" t="s">
        <v>727</v>
      </c>
      <c r="G23" s="70"/>
      <c r="H23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protección|Mujer|Puebla</v>
      </c>
      <c r="I23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protección|Mujer|Puebla</v>
      </c>
      <c r="J23" s="9">
        <f>VLOOKUP($E$1,Tabla5[[#All],[name]:[id_1]],2,FALSE)</f>
        <v>28</v>
      </c>
      <c r="K23" s="9">
        <f>VLOOKUP($B$1,Tabla6[[#All],[name]:[id_2]],2)</f>
        <v>25</v>
      </c>
      <c r="L23" s="9">
        <f>VLOOKUP(Tabla410[[#This Row],[Sexo]],Tabla8[[#All],[name]:[gender_id]],2,FALSE)</f>
        <v>1</v>
      </c>
      <c r="M23" s="9" t="str">
        <f>IF(LEN(Tabla410[[#This Row],[centros]])&gt;0,VLOOKUP(Tabla410[[#This Row],[centros]],Tabla2[[#All],[Centros]:[ID]],2,FALSE),"NULL")</f>
        <v>NULL</v>
      </c>
      <c r="N23" s="9">
        <f>VLOOKUP(Tabla410[[#This Row],[Entidad]],Tabla3[[#All],[name]:[ID_2]],2,FALSE)</f>
        <v>21</v>
      </c>
      <c r="O23" s="9">
        <f>IFERROR(VLOOKUP(Tabla410[[#This Row],[CLAVE PI]], Tabla10[], 10, FALSE), 0)</f>
        <v>0</v>
      </c>
      <c r="P23" s="35">
        <f>IFERROR(VLOOKUP(Tabla410[[#This Row],[CLAVE PS]], Tabla10[], 10, FALSE), 0)</f>
        <v>0</v>
      </c>
      <c r="Q23" s="41" t="str">
        <f t="shared" si="0"/>
        <v>INSERT INTO indicator_category_details (category_id, year_id, gender_id, center_id, state_id, PI, PS, status) VALUES (28, 25, 1, NULL, 21, 0, 0, 1);</v>
      </c>
    </row>
    <row r="24" spans="1:17" ht="15" customHeight="1" x14ac:dyDescent="0.3">
      <c r="A24" s="68"/>
      <c r="B24" s="78" t="s">
        <v>1046</v>
      </c>
      <c r="C24" s="52" t="s">
        <v>1050</v>
      </c>
      <c r="D24" s="31"/>
      <c r="E24" s="31" t="s">
        <v>1042</v>
      </c>
      <c r="F24" s="79" t="s">
        <v>731</v>
      </c>
      <c r="G24" s="70"/>
      <c r="H24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protección|Mujer|Querétaro</v>
      </c>
      <c r="I24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protección|Mujer|Querétaro</v>
      </c>
      <c r="J24" s="9">
        <f>VLOOKUP($E$1,Tabla5[[#All],[name]:[id_1]],2,FALSE)</f>
        <v>28</v>
      </c>
      <c r="K24" s="9">
        <f>VLOOKUP($B$1,Tabla6[[#All],[name]:[id_2]],2)</f>
        <v>25</v>
      </c>
      <c r="L24" s="9">
        <f>VLOOKUP(Tabla410[[#This Row],[Sexo]],Tabla8[[#All],[name]:[gender_id]],2,FALSE)</f>
        <v>1</v>
      </c>
      <c r="M24" s="9" t="str">
        <f>IF(LEN(Tabla410[[#This Row],[centros]])&gt;0,VLOOKUP(Tabla410[[#This Row],[centros]],Tabla2[[#All],[Centros]:[ID]],2,FALSE),"NULL")</f>
        <v>NULL</v>
      </c>
      <c r="N24" s="9">
        <f>VLOOKUP(Tabla410[[#This Row],[Entidad]],Tabla3[[#All],[name]:[ID_2]],2,FALSE)</f>
        <v>22</v>
      </c>
      <c r="O24" s="9">
        <f>IFERROR(VLOOKUP(Tabla410[[#This Row],[CLAVE PI]], Tabla10[], 10, FALSE), 0)</f>
        <v>0</v>
      </c>
      <c r="P24" s="35">
        <f>IFERROR(VLOOKUP(Tabla410[[#This Row],[CLAVE PS]], Tabla10[], 10, FALSE), 0)</f>
        <v>0</v>
      </c>
      <c r="Q24" s="41" t="str">
        <f t="shared" si="0"/>
        <v>INSERT INTO indicator_category_details (category_id, year_id, gender_id, center_id, state_id, PI, PS, status) VALUES (28, 25, 1, NULL, 22, 0, 0, 1);</v>
      </c>
    </row>
    <row r="25" spans="1:17" ht="15" customHeight="1" x14ac:dyDescent="0.3">
      <c r="A25" s="68"/>
      <c r="B25" s="78" t="s">
        <v>1046</v>
      </c>
      <c r="C25" s="52" t="s">
        <v>1050</v>
      </c>
      <c r="D25" s="31"/>
      <c r="E25" s="31" t="s">
        <v>1042</v>
      </c>
      <c r="F25" s="79" t="s">
        <v>737</v>
      </c>
      <c r="G25" s="70"/>
      <c r="H25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protección|Mujer|Quintana Roo</v>
      </c>
      <c r="I25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protección|Mujer|Quintana Roo</v>
      </c>
      <c r="J25" s="9">
        <f>VLOOKUP($E$1,Tabla5[[#All],[name]:[id_1]],2,FALSE)</f>
        <v>28</v>
      </c>
      <c r="K25" s="9">
        <f>VLOOKUP($B$1,Tabla6[[#All],[name]:[id_2]],2)</f>
        <v>25</v>
      </c>
      <c r="L25" s="9">
        <f>VLOOKUP(Tabla410[[#This Row],[Sexo]],Tabla8[[#All],[name]:[gender_id]],2,FALSE)</f>
        <v>1</v>
      </c>
      <c r="M25" s="9" t="str">
        <f>IF(LEN(Tabla410[[#This Row],[centros]])&gt;0,VLOOKUP(Tabla410[[#This Row],[centros]],Tabla2[[#All],[Centros]:[ID]],2,FALSE),"NULL")</f>
        <v>NULL</v>
      </c>
      <c r="N25" s="9">
        <f>VLOOKUP(Tabla410[[#This Row],[Entidad]],Tabla3[[#All],[name]:[ID_2]],2,FALSE)</f>
        <v>23</v>
      </c>
      <c r="O25" s="9">
        <f>IFERROR(VLOOKUP(Tabla410[[#This Row],[CLAVE PI]], Tabla10[], 10, FALSE), 0)</f>
        <v>0</v>
      </c>
      <c r="P25" s="35">
        <f>IFERROR(VLOOKUP(Tabla410[[#This Row],[CLAVE PS]], Tabla10[], 10, FALSE), 0)</f>
        <v>0</v>
      </c>
      <c r="Q25" s="41" t="str">
        <f t="shared" si="0"/>
        <v>INSERT INTO indicator_category_details (category_id, year_id, gender_id, center_id, state_id, PI, PS, status) VALUES (28, 25, 1, NULL, 23, 0, 0, 1);</v>
      </c>
    </row>
    <row r="26" spans="1:17" ht="15" customHeight="1" x14ac:dyDescent="0.3">
      <c r="A26" s="68"/>
      <c r="B26" s="78" t="s">
        <v>1046</v>
      </c>
      <c r="C26" s="52" t="s">
        <v>1050</v>
      </c>
      <c r="D26" s="31"/>
      <c r="E26" s="31" t="s">
        <v>1042</v>
      </c>
      <c r="F26" s="79" t="s">
        <v>741</v>
      </c>
      <c r="G26" s="70"/>
      <c r="H26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protección|Mujer|San Luis Potosí</v>
      </c>
      <c r="I26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protección|Mujer|San Luis Potosí</v>
      </c>
      <c r="J26" s="9">
        <f>VLOOKUP($E$1,Tabla5[[#All],[name]:[id_1]],2,FALSE)</f>
        <v>28</v>
      </c>
      <c r="K26" s="9">
        <f>VLOOKUP($B$1,Tabla6[[#All],[name]:[id_2]],2)</f>
        <v>25</v>
      </c>
      <c r="L26" s="9">
        <f>VLOOKUP(Tabla410[[#This Row],[Sexo]],Tabla8[[#All],[name]:[gender_id]],2,FALSE)</f>
        <v>1</v>
      </c>
      <c r="M26" s="9" t="str">
        <f>IF(LEN(Tabla410[[#This Row],[centros]])&gt;0,VLOOKUP(Tabla410[[#This Row],[centros]],Tabla2[[#All],[Centros]:[ID]],2,FALSE),"NULL")</f>
        <v>NULL</v>
      </c>
      <c r="N26" s="9">
        <f>VLOOKUP(Tabla410[[#This Row],[Entidad]],Tabla3[[#All],[name]:[ID_2]],2,FALSE)</f>
        <v>24</v>
      </c>
      <c r="O26" s="9">
        <f>IFERROR(VLOOKUP(Tabla410[[#This Row],[CLAVE PI]], Tabla10[], 10, FALSE), 0)</f>
        <v>0</v>
      </c>
      <c r="P26" s="35">
        <f>IFERROR(VLOOKUP(Tabla410[[#This Row],[CLAVE PS]], Tabla10[], 10, FALSE), 0)</f>
        <v>0</v>
      </c>
      <c r="Q26" s="41" t="str">
        <f t="shared" si="0"/>
        <v>INSERT INTO indicator_category_details (category_id, year_id, gender_id, center_id, state_id, PI, PS, status) VALUES (28, 25, 1, NULL, 24, 0, 0, 1);</v>
      </c>
    </row>
    <row r="27" spans="1:17" ht="15" customHeight="1" x14ac:dyDescent="0.3">
      <c r="A27" s="68"/>
      <c r="B27" s="78" t="s">
        <v>1046</v>
      </c>
      <c r="C27" s="52" t="s">
        <v>1050</v>
      </c>
      <c r="D27" s="31"/>
      <c r="E27" s="31" t="s">
        <v>1042</v>
      </c>
      <c r="F27" s="79" t="s">
        <v>749</v>
      </c>
      <c r="G27" s="70"/>
      <c r="H27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protección|Mujer|Sinaloa</v>
      </c>
      <c r="I27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protección|Mujer|Sinaloa</v>
      </c>
      <c r="J27" s="9">
        <f>VLOOKUP($E$1,Tabla5[[#All],[name]:[id_1]],2,FALSE)</f>
        <v>28</v>
      </c>
      <c r="K27" s="9">
        <f>VLOOKUP($B$1,Tabla6[[#All],[name]:[id_2]],2)</f>
        <v>25</v>
      </c>
      <c r="L27" s="9">
        <f>VLOOKUP(Tabla410[[#This Row],[Sexo]],Tabla8[[#All],[name]:[gender_id]],2,FALSE)</f>
        <v>1</v>
      </c>
      <c r="M27" s="9" t="str">
        <f>IF(LEN(Tabla410[[#This Row],[centros]])&gt;0,VLOOKUP(Tabla410[[#This Row],[centros]],Tabla2[[#All],[Centros]:[ID]],2,FALSE),"NULL")</f>
        <v>NULL</v>
      </c>
      <c r="N27" s="9">
        <f>VLOOKUP(Tabla410[[#This Row],[Entidad]],Tabla3[[#All],[name]:[ID_2]],2,FALSE)</f>
        <v>25</v>
      </c>
      <c r="O27" s="9">
        <f>IFERROR(VLOOKUP(Tabla410[[#This Row],[CLAVE PI]], Tabla10[], 10, FALSE), 0)</f>
        <v>0</v>
      </c>
      <c r="P27" s="35">
        <f>IFERROR(VLOOKUP(Tabla410[[#This Row],[CLAVE PS]], Tabla10[], 10, FALSE), 0)</f>
        <v>0</v>
      </c>
      <c r="Q27" s="41" t="str">
        <f t="shared" si="0"/>
        <v>INSERT INTO indicator_category_details (category_id, year_id, gender_id, center_id, state_id, PI, PS, status) VALUES (28, 25, 1, NULL, 25, 0, 0, 1);</v>
      </c>
    </row>
    <row r="28" spans="1:17" ht="15" customHeight="1" x14ac:dyDescent="0.3">
      <c r="A28" s="68"/>
      <c r="B28" s="78" t="s">
        <v>1046</v>
      </c>
      <c r="C28" s="52" t="s">
        <v>1050</v>
      </c>
      <c r="D28" s="31"/>
      <c r="E28" s="31" t="s">
        <v>1042</v>
      </c>
      <c r="F28" s="79" t="s">
        <v>755</v>
      </c>
      <c r="G28" s="70"/>
      <c r="H28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protección|Mujer|Sonora</v>
      </c>
      <c r="I28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protección|Mujer|Sonora</v>
      </c>
      <c r="J28" s="9">
        <f>VLOOKUP($E$1,Tabla5[[#All],[name]:[id_1]],2,FALSE)</f>
        <v>28</v>
      </c>
      <c r="K28" s="9">
        <f>VLOOKUP($B$1,Tabla6[[#All],[name]:[id_2]],2)</f>
        <v>25</v>
      </c>
      <c r="L28" s="9">
        <f>VLOOKUP(Tabla410[[#This Row],[Sexo]],Tabla8[[#All],[name]:[gender_id]],2,FALSE)</f>
        <v>1</v>
      </c>
      <c r="M28" s="9" t="str">
        <f>IF(LEN(Tabla410[[#This Row],[centros]])&gt;0,VLOOKUP(Tabla410[[#This Row],[centros]],Tabla2[[#All],[Centros]:[ID]],2,FALSE),"NULL")</f>
        <v>NULL</v>
      </c>
      <c r="N28" s="9">
        <f>VLOOKUP(Tabla410[[#This Row],[Entidad]],Tabla3[[#All],[name]:[ID_2]],2,FALSE)</f>
        <v>26</v>
      </c>
      <c r="O28" s="9">
        <f>IFERROR(VLOOKUP(Tabla410[[#This Row],[CLAVE PI]], Tabla10[], 10, FALSE), 0)</f>
        <v>0</v>
      </c>
      <c r="P28" s="35">
        <f>IFERROR(VLOOKUP(Tabla410[[#This Row],[CLAVE PS]], Tabla10[], 10, FALSE), 0)</f>
        <v>0</v>
      </c>
      <c r="Q28" s="41" t="str">
        <f t="shared" si="0"/>
        <v>INSERT INTO indicator_category_details (category_id, year_id, gender_id, center_id, state_id, PI, PS, status) VALUES (28, 25, 1, NULL, 26, 0, 0, 1);</v>
      </c>
    </row>
    <row r="29" spans="1:17" ht="15" customHeight="1" x14ac:dyDescent="0.3">
      <c r="A29" s="68"/>
      <c r="B29" s="78" t="s">
        <v>1046</v>
      </c>
      <c r="C29" s="52" t="s">
        <v>1050</v>
      </c>
      <c r="D29" s="31"/>
      <c r="E29" s="31" t="s">
        <v>1042</v>
      </c>
      <c r="F29" s="79" t="s">
        <v>775</v>
      </c>
      <c r="G29" s="70"/>
      <c r="H29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protección|Mujer|Tabasco</v>
      </c>
      <c r="I29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protección|Mujer|Tabasco</v>
      </c>
      <c r="J29" s="9">
        <f>VLOOKUP($E$1,Tabla5[[#All],[name]:[id_1]],2,FALSE)</f>
        <v>28</v>
      </c>
      <c r="K29" s="9">
        <f>VLOOKUP($B$1,Tabla6[[#All],[name]:[id_2]],2)</f>
        <v>25</v>
      </c>
      <c r="L29" s="9">
        <f>VLOOKUP(Tabla410[[#This Row],[Sexo]],Tabla8[[#All],[name]:[gender_id]],2,FALSE)</f>
        <v>1</v>
      </c>
      <c r="M29" s="9" t="str">
        <f>IF(LEN(Tabla410[[#This Row],[centros]])&gt;0,VLOOKUP(Tabla410[[#This Row],[centros]],Tabla2[[#All],[Centros]:[ID]],2,FALSE),"NULL")</f>
        <v>NULL</v>
      </c>
      <c r="N29" s="9">
        <f>VLOOKUP(Tabla410[[#This Row],[Entidad]],Tabla3[[#All],[name]:[ID_2]],2,FALSE)</f>
        <v>27</v>
      </c>
      <c r="O29" s="9">
        <f>IFERROR(VLOOKUP(Tabla410[[#This Row],[CLAVE PI]], Tabla10[], 10, FALSE), 0)</f>
        <v>0</v>
      </c>
      <c r="P29" s="35">
        <f>IFERROR(VLOOKUP(Tabla410[[#This Row],[CLAVE PS]], Tabla10[], 10, FALSE), 0)</f>
        <v>0</v>
      </c>
      <c r="Q29" s="41" t="str">
        <f t="shared" si="0"/>
        <v>INSERT INTO indicator_category_details (category_id, year_id, gender_id, center_id, state_id, PI, PS, status) VALUES (28, 25, 1, NULL, 27, 0, 0, 1);</v>
      </c>
    </row>
    <row r="30" spans="1:17" ht="15" customHeight="1" x14ac:dyDescent="0.3">
      <c r="A30" s="68"/>
      <c r="B30" s="78" t="s">
        <v>1046</v>
      </c>
      <c r="C30" s="52" t="s">
        <v>1050</v>
      </c>
      <c r="D30" s="31"/>
      <c r="E30" s="31" t="s">
        <v>1042</v>
      </c>
      <c r="F30" s="79" t="s">
        <v>785</v>
      </c>
      <c r="G30" s="70"/>
      <c r="H30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protección|Mujer|Tamaulipas</v>
      </c>
      <c r="I30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protección|Mujer|Tamaulipas</v>
      </c>
      <c r="J30" s="9">
        <f>VLOOKUP($E$1,Tabla5[[#All],[name]:[id_1]],2,FALSE)</f>
        <v>28</v>
      </c>
      <c r="K30" s="9">
        <f>VLOOKUP($B$1,Tabla6[[#All],[name]:[id_2]],2)</f>
        <v>25</v>
      </c>
      <c r="L30" s="9">
        <f>VLOOKUP(Tabla410[[#This Row],[Sexo]],Tabla8[[#All],[name]:[gender_id]],2,FALSE)</f>
        <v>1</v>
      </c>
      <c r="M30" s="9" t="str">
        <f>IF(LEN(Tabla410[[#This Row],[centros]])&gt;0,VLOOKUP(Tabla410[[#This Row],[centros]],Tabla2[[#All],[Centros]:[ID]],2,FALSE),"NULL")</f>
        <v>NULL</v>
      </c>
      <c r="N30" s="9">
        <f>VLOOKUP(Tabla410[[#This Row],[Entidad]],Tabla3[[#All],[name]:[ID_2]],2,FALSE)</f>
        <v>28</v>
      </c>
      <c r="O30" s="9">
        <f>IFERROR(VLOOKUP(Tabla410[[#This Row],[CLAVE PI]], Tabla10[], 10, FALSE), 0)</f>
        <v>0</v>
      </c>
      <c r="P30" s="35">
        <f>IFERROR(VLOOKUP(Tabla410[[#This Row],[CLAVE PS]], Tabla10[], 10, FALSE), 0)</f>
        <v>0</v>
      </c>
      <c r="Q30" s="41" t="str">
        <f t="shared" si="0"/>
        <v>INSERT INTO indicator_category_details (category_id, year_id, gender_id, center_id, state_id, PI, PS, status) VALUES (28, 25, 1, NULL, 28, 0, 0, 1);</v>
      </c>
    </row>
    <row r="31" spans="1:17" ht="15" customHeight="1" x14ac:dyDescent="0.3">
      <c r="A31" s="68"/>
      <c r="B31" s="78" t="s">
        <v>1046</v>
      </c>
      <c r="C31" s="52" t="s">
        <v>1050</v>
      </c>
      <c r="D31" s="31"/>
      <c r="E31" s="31" t="s">
        <v>1042</v>
      </c>
      <c r="F31" s="79" t="s">
        <v>797</v>
      </c>
      <c r="G31" s="70"/>
      <c r="H31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protección|Mujer|Tlaxcala</v>
      </c>
      <c r="I31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protección|Mujer|Tlaxcala</v>
      </c>
      <c r="J31" s="9">
        <f>VLOOKUP($E$1,Tabla5[[#All],[name]:[id_1]],2,FALSE)</f>
        <v>28</v>
      </c>
      <c r="K31" s="9">
        <f>VLOOKUP($B$1,Tabla6[[#All],[name]:[id_2]],2)</f>
        <v>25</v>
      </c>
      <c r="L31" s="9">
        <f>VLOOKUP(Tabla410[[#This Row],[Sexo]],Tabla8[[#All],[name]:[gender_id]],2,FALSE)</f>
        <v>1</v>
      </c>
      <c r="M31" s="9" t="str">
        <f>IF(LEN(Tabla410[[#This Row],[centros]])&gt;0,VLOOKUP(Tabla410[[#This Row],[centros]],Tabla2[[#All],[Centros]:[ID]],2,FALSE),"NULL")</f>
        <v>NULL</v>
      </c>
      <c r="N31" s="9">
        <f>VLOOKUP(Tabla410[[#This Row],[Entidad]],Tabla3[[#All],[name]:[ID_2]],2,FALSE)</f>
        <v>29</v>
      </c>
      <c r="O31" s="9">
        <f>IFERROR(VLOOKUP(Tabla410[[#This Row],[CLAVE PI]], Tabla10[], 10, FALSE), 0)</f>
        <v>0</v>
      </c>
      <c r="P31" s="35">
        <f>IFERROR(VLOOKUP(Tabla410[[#This Row],[CLAVE PS]], Tabla10[], 10, FALSE), 0)</f>
        <v>0</v>
      </c>
      <c r="Q31" s="41" t="str">
        <f t="shared" si="0"/>
        <v>INSERT INTO indicator_category_details (category_id, year_id, gender_id, center_id, state_id, PI, PS, status) VALUES (28, 25, 1, NULL, 29, 0, 0, 1);</v>
      </c>
    </row>
    <row r="32" spans="1:17" ht="15" customHeight="1" x14ac:dyDescent="0.3">
      <c r="A32" s="68"/>
      <c r="B32" s="78" t="s">
        <v>1046</v>
      </c>
      <c r="C32" s="52" t="s">
        <v>1050</v>
      </c>
      <c r="D32" s="31"/>
      <c r="E32" s="31" t="s">
        <v>1042</v>
      </c>
      <c r="F32" s="79" t="s">
        <v>802</v>
      </c>
      <c r="G32" s="70"/>
      <c r="H32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protección|Mujer|Veracruz de Ignacio de la Llave</v>
      </c>
      <c r="I32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protección|Mujer|Veracruz de Ignacio de la Llave</v>
      </c>
      <c r="J32" s="9">
        <f>VLOOKUP($E$1,Tabla5[[#All],[name]:[id_1]],2,FALSE)</f>
        <v>28</v>
      </c>
      <c r="K32" s="9">
        <f>VLOOKUP($B$1,Tabla6[[#All],[name]:[id_2]],2)</f>
        <v>25</v>
      </c>
      <c r="L32" s="9">
        <f>VLOOKUP(Tabla410[[#This Row],[Sexo]],Tabla8[[#All],[name]:[gender_id]],2,FALSE)</f>
        <v>1</v>
      </c>
      <c r="M32" s="9" t="str">
        <f>IF(LEN(Tabla410[[#This Row],[centros]])&gt;0,VLOOKUP(Tabla410[[#This Row],[centros]],Tabla2[[#All],[Centros]:[ID]],2,FALSE),"NULL")</f>
        <v>NULL</v>
      </c>
      <c r="N32" s="9">
        <f>VLOOKUP(Tabla410[[#This Row],[Entidad]],Tabla3[[#All],[name]:[ID_2]],2,FALSE)</f>
        <v>30</v>
      </c>
      <c r="O32" s="9">
        <f>IFERROR(VLOOKUP(Tabla410[[#This Row],[CLAVE PI]], Tabla10[], 10, FALSE), 0)</f>
        <v>0</v>
      </c>
      <c r="P32" s="35">
        <f>IFERROR(VLOOKUP(Tabla410[[#This Row],[CLAVE PS]], Tabla10[], 10, FALSE), 0)</f>
        <v>0</v>
      </c>
      <c r="Q32" s="41" t="str">
        <f t="shared" si="0"/>
        <v>INSERT INTO indicator_category_details (category_id, year_id, gender_id, center_id, state_id, PI, PS, status) VALUES (28, 25, 1, NULL, 30, 0, 0, 1);</v>
      </c>
    </row>
    <row r="33" spans="1:17" ht="15" customHeight="1" x14ac:dyDescent="0.3">
      <c r="A33" s="68"/>
      <c r="B33" s="78" t="s">
        <v>1046</v>
      </c>
      <c r="C33" s="52" t="s">
        <v>1050</v>
      </c>
      <c r="D33" s="31"/>
      <c r="E33" s="31" t="s">
        <v>1042</v>
      </c>
      <c r="F33" s="79" t="s">
        <v>822</v>
      </c>
      <c r="G33" s="70"/>
      <c r="H33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protección|Mujer|Yucatán</v>
      </c>
      <c r="I33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protección|Mujer|Yucatán</v>
      </c>
      <c r="J33" s="9">
        <f>VLOOKUP($E$1,Tabla5[[#All],[name]:[id_1]],2,FALSE)</f>
        <v>28</v>
      </c>
      <c r="K33" s="9">
        <f>VLOOKUP($B$1,Tabla6[[#All],[name]:[id_2]],2)</f>
        <v>25</v>
      </c>
      <c r="L33" s="9">
        <f>VLOOKUP(Tabla410[[#This Row],[Sexo]],Tabla8[[#All],[name]:[gender_id]],2,FALSE)</f>
        <v>1</v>
      </c>
      <c r="M33" s="9" t="str">
        <f>IF(LEN(Tabla410[[#This Row],[centros]])&gt;0,VLOOKUP(Tabla410[[#This Row],[centros]],Tabla2[[#All],[Centros]:[ID]],2,FALSE),"NULL")</f>
        <v>NULL</v>
      </c>
      <c r="N33" s="9">
        <f>VLOOKUP(Tabla410[[#This Row],[Entidad]],Tabla3[[#All],[name]:[ID_2]],2,FALSE)</f>
        <v>31</v>
      </c>
      <c r="O33" s="9">
        <f>IFERROR(VLOOKUP(Tabla410[[#This Row],[CLAVE PI]], Tabla10[], 10, FALSE), 0)</f>
        <v>0</v>
      </c>
      <c r="P33" s="35">
        <f>IFERROR(VLOOKUP(Tabla410[[#This Row],[CLAVE PS]], Tabla10[], 10, FALSE), 0)</f>
        <v>0</v>
      </c>
      <c r="Q33" s="41" t="str">
        <f t="shared" si="0"/>
        <v>INSERT INTO indicator_category_details (category_id, year_id, gender_id, center_id, state_id, PI, PS, status) VALUES (28, 25, 1, NULL, 31, 0, 0, 1);</v>
      </c>
    </row>
    <row r="34" spans="1:17" ht="15" customHeight="1" thickBot="1" x14ac:dyDescent="0.35">
      <c r="A34" s="68"/>
      <c r="B34" s="81" t="s">
        <v>1046</v>
      </c>
      <c r="C34" s="53" t="s">
        <v>1050</v>
      </c>
      <c r="D34" s="82"/>
      <c r="E34" s="82" t="s">
        <v>1042</v>
      </c>
      <c r="F34" s="83" t="s">
        <v>827</v>
      </c>
      <c r="G34" s="72"/>
      <c r="H34" s="37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protección|Mujer|Zacatecas</v>
      </c>
      <c r="I34" s="38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protección|Mujer|Zacatecas</v>
      </c>
      <c r="J34" s="39">
        <f>VLOOKUP($E$1,Tabla5[[#All],[name]:[id_1]],2,FALSE)</f>
        <v>28</v>
      </c>
      <c r="K34" s="39">
        <f>VLOOKUP($B$1,Tabla6[[#All],[name]:[id_2]],2)</f>
        <v>25</v>
      </c>
      <c r="L34" s="39">
        <f>VLOOKUP(Tabla410[[#This Row],[Sexo]],Tabla8[[#All],[name]:[gender_id]],2,FALSE)</f>
        <v>1</v>
      </c>
      <c r="M34" s="39" t="str">
        <f>IF(LEN(Tabla410[[#This Row],[centros]])&gt;0,VLOOKUP(Tabla410[[#This Row],[centros]],Tabla2[[#All],[Centros]:[ID]],2,FALSE),"NULL")</f>
        <v>NULL</v>
      </c>
      <c r="N34" s="39">
        <f>VLOOKUP(Tabla410[[#This Row],[Entidad]],Tabla3[[#All],[name]:[ID_2]],2,FALSE)</f>
        <v>32</v>
      </c>
      <c r="O34" s="39">
        <f>IFERROR(VLOOKUP(Tabla410[[#This Row],[CLAVE PI]], Tabla10[], 10, FALSE), 0)</f>
        <v>0</v>
      </c>
      <c r="P34" s="40">
        <f>IFERROR(VLOOKUP(Tabla410[[#This Row],[CLAVE PS]], Tabla10[], 10, FALSE), 0)</f>
        <v>0</v>
      </c>
      <c r="Q34" s="43" t="str">
        <f t="shared" si="0"/>
        <v>INSERT INTO indicator_category_details (category_id, year_id, gender_id, center_id, state_id, PI, PS, status) VALUES (28, 25, 1, NULL, 32, 0, 0, 1);</v>
      </c>
    </row>
    <row r="35" spans="1:17" ht="15.6" x14ac:dyDescent="0.3">
      <c r="A35" s="45"/>
      <c r="B35" s="51" t="s">
        <v>1046</v>
      </c>
      <c r="C35" s="51" t="s">
        <v>1050</v>
      </c>
      <c r="D35" s="31"/>
      <c r="E35" s="31" t="s">
        <v>1043</v>
      </c>
      <c r="F35" s="31" t="s">
        <v>518</v>
      </c>
      <c r="G35" s="4"/>
      <c r="H35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protección|Hombre|Aguascalientes</v>
      </c>
      <c r="I35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protección|Hombre|Aguascalientes</v>
      </c>
      <c r="J35" s="9">
        <f>VLOOKUP($E$1,Tabla5[[#All],[name]:[id_1]],2,FALSE)</f>
        <v>28</v>
      </c>
      <c r="K35" s="9">
        <f>VLOOKUP($B$1,Tabla6[[#All],[name]:[id_2]],2)</f>
        <v>25</v>
      </c>
      <c r="L35" s="9">
        <f>VLOOKUP(Tabla410[[#This Row],[Sexo]],Tabla8[[#All],[name]:[gender_id]],2,FALSE)</f>
        <v>2</v>
      </c>
      <c r="M35" s="9" t="str">
        <f>IF(LEN(Tabla410[[#This Row],[centros]])&gt;0,VLOOKUP(Tabla410[[#This Row],[centros]],Tabla2[[#All],[Centros]:[ID]],2,FALSE),"NULL")</f>
        <v>NULL</v>
      </c>
      <c r="N35" s="9">
        <f>VLOOKUP(Tabla410[[#This Row],[Entidad]],Tabla3[[#All],[name]:[ID_2]],2,FALSE)</f>
        <v>1</v>
      </c>
      <c r="O35" s="9">
        <f>IFERROR(VLOOKUP(Tabla410[[#This Row],[CLAVE PI]], Tabla10[], 10, FALSE), 0)</f>
        <v>0</v>
      </c>
      <c r="P35" s="35">
        <f>IFERROR(VLOOKUP(Tabla410[[#This Row],[CLAVE PS]], Tabla10[], 10, FALSE), 0)</f>
        <v>0</v>
      </c>
      <c r="Q35" s="41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(28, 25, 2, NULL, 1, 0, 0, 1);</v>
      </c>
    </row>
    <row r="36" spans="1:17" ht="15.6" x14ac:dyDescent="0.3">
      <c r="A36" s="45"/>
      <c r="B36" s="52" t="s">
        <v>1046</v>
      </c>
      <c r="C36" s="52" t="s">
        <v>1050</v>
      </c>
      <c r="D36" s="31"/>
      <c r="E36" s="3" t="s">
        <v>1043</v>
      </c>
      <c r="F36" s="3" t="s">
        <v>519</v>
      </c>
      <c r="G36" s="4"/>
      <c r="H36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protección|Hombre|Baja California</v>
      </c>
      <c r="I36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protección|Hombre|Baja California</v>
      </c>
      <c r="J36" s="9">
        <f>VLOOKUP($E$1,Tabla5[[#All],[name]:[id_1]],2,FALSE)</f>
        <v>28</v>
      </c>
      <c r="K36" s="9">
        <f>VLOOKUP($B$1,Tabla6[[#All],[name]:[id_2]],2)</f>
        <v>25</v>
      </c>
      <c r="L36" s="9">
        <f>VLOOKUP(Tabla410[[#This Row],[Sexo]],Tabla8[[#All],[name]:[gender_id]],2,FALSE)</f>
        <v>2</v>
      </c>
      <c r="M36" s="9" t="str">
        <f>IF(LEN(Tabla410[[#This Row],[centros]])&gt;0,VLOOKUP(Tabla410[[#This Row],[centros]],Tabla2[[#All],[Centros]:[ID]],2,FALSE),"NULL")</f>
        <v>NULL</v>
      </c>
      <c r="N36" s="9">
        <f>VLOOKUP(Tabla410[[#This Row],[Entidad]],Tabla3[[#All],[name]:[ID_2]],2,FALSE)</f>
        <v>2</v>
      </c>
      <c r="O36" s="9">
        <f>IFERROR(VLOOKUP(Tabla410[[#This Row],[CLAVE PI]], Tabla10[], 10, FALSE), 0)</f>
        <v>0</v>
      </c>
      <c r="P36" s="35">
        <f>IFERROR(VLOOKUP(Tabla410[[#This Row],[CLAVE PS]], Tabla10[], 10, FALSE), 0)</f>
        <v>0</v>
      </c>
      <c r="Q36" s="41" t="str">
        <f t="shared" si="1"/>
        <v>INSERT INTO indicator_category_details (category_id, year_id, gender_id, center_id, state_id, PI, PS, status) VALUES (28, 25, 2, NULL, 2, 0, 0, 1);</v>
      </c>
    </row>
    <row r="37" spans="1:17" ht="15.6" x14ac:dyDescent="0.3">
      <c r="A37" s="45"/>
      <c r="B37" s="52" t="s">
        <v>1046</v>
      </c>
      <c r="C37" s="52" t="s">
        <v>1050</v>
      </c>
      <c r="D37" s="31"/>
      <c r="E37" s="3" t="s">
        <v>1043</v>
      </c>
      <c r="F37" s="3" t="s">
        <v>528</v>
      </c>
      <c r="G37" s="4"/>
      <c r="H37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protección|Hombre|Baja California Sur</v>
      </c>
      <c r="I37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protección|Hombre|Baja California Sur</v>
      </c>
      <c r="J37" s="9">
        <f>VLOOKUP($E$1,Tabla5[[#All],[name]:[id_1]],2,FALSE)</f>
        <v>28</v>
      </c>
      <c r="K37" s="9">
        <f>VLOOKUP($B$1,Tabla6[[#All],[name]:[id_2]],2)</f>
        <v>25</v>
      </c>
      <c r="L37" s="9">
        <f>VLOOKUP(Tabla410[[#This Row],[Sexo]],Tabla8[[#All],[name]:[gender_id]],2,FALSE)</f>
        <v>2</v>
      </c>
      <c r="M37" s="9" t="str">
        <f>IF(LEN(Tabla410[[#This Row],[centros]])&gt;0,VLOOKUP(Tabla410[[#This Row],[centros]],Tabla2[[#All],[Centros]:[ID]],2,FALSE),"NULL")</f>
        <v>NULL</v>
      </c>
      <c r="N37" s="9">
        <f>VLOOKUP(Tabla410[[#This Row],[Entidad]],Tabla3[[#All],[name]:[ID_2]],2,FALSE)</f>
        <v>3</v>
      </c>
      <c r="O37" s="9">
        <f>IFERROR(VLOOKUP(Tabla410[[#This Row],[CLAVE PI]], Tabla10[], 10, FALSE), 0)</f>
        <v>0</v>
      </c>
      <c r="P37" s="35">
        <f>IFERROR(VLOOKUP(Tabla410[[#This Row],[CLAVE PS]], Tabla10[], 10, FALSE), 0)</f>
        <v>0</v>
      </c>
      <c r="Q37" s="41" t="str">
        <f t="shared" si="1"/>
        <v>INSERT INTO indicator_category_details (category_id, year_id, gender_id, center_id, state_id, PI, PS, status) VALUES (28, 25, 2, NULL, 3, 0, 0, 1);</v>
      </c>
    </row>
    <row r="38" spans="1:17" ht="15.6" x14ac:dyDescent="0.3">
      <c r="A38" s="45"/>
      <c r="B38" s="52" t="s">
        <v>1046</v>
      </c>
      <c r="C38" s="52" t="s">
        <v>1050</v>
      </c>
      <c r="D38" s="31"/>
      <c r="E38" s="3" t="s">
        <v>1043</v>
      </c>
      <c r="F38" s="3" t="s">
        <v>534</v>
      </c>
      <c r="G38" s="4"/>
      <c r="H38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protección|Hombre|Campeche</v>
      </c>
      <c r="I38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protección|Hombre|Campeche</v>
      </c>
      <c r="J38" s="9">
        <f>VLOOKUP($E$1,Tabla5[[#All],[name]:[id_1]],2,FALSE)</f>
        <v>28</v>
      </c>
      <c r="K38" s="9">
        <f>VLOOKUP($B$1,Tabla6[[#All],[name]:[id_2]],2)</f>
        <v>25</v>
      </c>
      <c r="L38" s="9">
        <f>VLOOKUP(Tabla410[[#This Row],[Sexo]],Tabla8[[#All],[name]:[gender_id]],2,FALSE)</f>
        <v>2</v>
      </c>
      <c r="M38" s="9" t="str">
        <f>IF(LEN(Tabla410[[#This Row],[centros]])&gt;0,VLOOKUP(Tabla410[[#This Row],[centros]],Tabla2[[#All],[Centros]:[ID]],2,FALSE),"NULL")</f>
        <v>NULL</v>
      </c>
      <c r="N38" s="9">
        <f>VLOOKUP(Tabla410[[#This Row],[Entidad]],Tabla3[[#All],[name]:[ID_2]],2,FALSE)</f>
        <v>4</v>
      </c>
      <c r="O38" s="9">
        <f>IFERROR(VLOOKUP(Tabla410[[#This Row],[CLAVE PI]], Tabla10[], 10, FALSE), 0)</f>
        <v>0</v>
      </c>
      <c r="P38" s="35">
        <f>IFERROR(VLOOKUP(Tabla410[[#This Row],[CLAVE PS]], Tabla10[], 10, FALSE), 0)</f>
        <v>0</v>
      </c>
      <c r="Q38" s="41" t="str">
        <f t="shared" si="1"/>
        <v>INSERT INTO indicator_category_details (category_id, year_id, gender_id, center_id, state_id, PI, PS, status) VALUES (28, 25, 2, NULL, 4, 0, 0, 1);</v>
      </c>
    </row>
    <row r="39" spans="1:17" ht="15.6" x14ac:dyDescent="0.3">
      <c r="A39" s="45"/>
      <c r="B39" s="52" t="s">
        <v>1046</v>
      </c>
      <c r="C39" s="52" t="s">
        <v>1050</v>
      </c>
      <c r="D39" s="31"/>
      <c r="E39" s="3" t="s">
        <v>1043</v>
      </c>
      <c r="F39" s="3" t="s">
        <v>553</v>
      </c>
      <c r="G39" s="4"/>
      <c r="H39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protección|Hombre|Chiapas</v>
      </c>
      <c r="I39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protección|Hombre|Chiapas</v>
      </c>
      <c r="J39" s="9">
        <f>VLOOKUP($E$1,Tabla5[[#All],[name]:[id_1]],2,FALSE)</f>
        <v>28</v>
      </c>
      <c r="K39" s="9">
        <f>VLOOKUP($B$1,Tabla6[[#All],[name]:[id_2]],2)</f>
        <v>25</v>
      </c>
      <c r="L39" s="9">
        <f>VLOOKUP(Tabla410[[#This Row],[Sexo]],Tabla8[[#All],[name]:[gender_id]],2,FALSE)</f>
        <v>2</v>
      </c>
      <c r="M39" s="9" t="str">
        <f>IF(LEN(Tabla410[[#This Row],[centros]])&gt;0,VLOOKUP(Tabla410[[#This Row],[centros]],Tabla2[[#All],[Centros]:[ID]],2,FALSE),"NULL")</f>
        <v>NULL</v>
      </c>
      <c r="N39" s="9">
        <f>VLOOKUP(Tabla410[[#This Row],[Entidad]],Tabla3[[#All],[name]:[ID_2]],2,FALSE)</f>
        <v>5</v>
      </c>
      <c r="O39" s="9">
        <f>IFERROR(VLOOKUP(Tabla410[[#This Row],[CLAVE PI]], Tabla10[], 10, FALSE), 0)</f>
        <v>0</v>
      </c>
      <c r="P39" s="35">
        <f>IFERROR(VLOOKUP(Tabla410[[#This Row],[CLAVE PS]], Tabla10[], 10, FALSE), 0)</f>
        <v>0</v>
      </c>
      <c r="Q39" s="41" t="str">
        <f t="shared" si="1"/>
        <v>INSERT INTO indicator_category_details (category_id, year_id, gender_id, center_id, state_id, PI, PS, status) VALUES (28, 25, 2, NULL, 5, 0, 0, 1);</v>
      </c>
    </row>
    <row r="40" spans="1:17" ht="15.6" x14ac:dyDescent="0.3">
      <c r="A40" s="45"/>
      <c r="B40" s="52" t="s">
        <v>1046</v>
      </c>
      <c r="C40" s="52" t="s">
        <v>1050</v>
      </c>
      <c r="D40" s="31"/>
      <c r="E40" s="3" t="s">
        <v>1043</v>
      </c>
      <c r="F40" s="3" t="s">
        <v>570</v>
      </c>
      <c r="G40" s="4"/>
      <c r="H40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protección|Hombre|Chihuahua</v>
      </c>
      <c r="I40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protección|Hombre|Chihuahua</v>
      </c>
      <c r="J40" s="9">
        <f>VLOOKUP($E$1,Tabla5[[#All],[name]:[id_1]],2,FALSE)</f>
        <v>28</v>
      </c>
      <c r="K40" s="9">
        <f>VLOOKUP($B$1,Tabla6[[#All],[name]:[id_2]],2)</f>
        <v>25</v>
      </c>
      <c r="L40" s="9">
        <f>VLOOKUP(Tabla410[[#This Row],[Sexo]],Tabla8[[#All],[name]:[gender_id]],2,FALSE)</f>
        <v>2</v>
      </c>
      <c r="M40" s="9" t="str">
        <f>IF(LEN(Tabla410[[#This Row],[centros]])&gt;0,VLOOKUP(Tabla410[[#This Row],[centros]],Tabla2[[#All],[Centros]:[ID]],2,FALSE),"NULL")</f>
        <v>NULL</v>
      </c>
      <c r="N40" s="9">
        <f>VLOOKUP(Tabla410[[#This Row],[Entidad]],Tabla3[[#All],[name]:[ID_2]],2,FALSE)</f>
        <v>6</v>
      </c>
      <c r="O40" s="9">
        <f>IFERROR(VLOOKUP(Tabla410[[#This Row],[CLAVE PI]], Tabla10[], 10, FALSE), 0)</f>
        <v>0</v>
      </c>
      <c r="P40" s="35">
        <f>IFERROR(VLOOKUP(Tabla410[[#This Row],[CLAVE PS]], Tabla10[], 10, FALSE), 0)</f>
        <v>0</v>
      </c>
      <c r="Q40" s="41" t="str">
        <f t="shared" si="1"/>
        <v>INSERT INTO indicator_category_details (category_id, year_id, gender_id, center_id, state_id, PI, PS, status) VALUES (28, 25, 2, NULL, 6, 0, 0, 1);</v>
      </c>
    </row>
    <row r="41" spans="1:17" ht="15.6" x14ac:dyDescent="0.3">
      <c r="A41" s="45"/>
      <c r="B41" s="52" t="s">
        <v>1046</v>
      </c>
      <c r="C41" s="52" t="s">
        <v>1050</v>
      </c>
      <c r="D41" s="31"/>
      <c r="E41" s="3" t="s">
        <v>1043</v>
      </c>
      <c r="F41" s="3" t="s">
        <v>582</v>
      </c>
      <c r="G41" s="4"/>
      <c r="H41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protección|Hombre|Ciudad de México</v>
      </c>
      <c r="I41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protección|Hombre|Ciudad de México</v>
      </c>
      <c r="J41" s="9">
        <f>VLOOKUP($E$1,Tabla5[[#All],[name]:[id_1]],2,FALSE)</f>
        <v>28</v>
      </c>
      <c r="K41" s="9">
        <f>VLOOKUP($B$1,Tabla6[[#All],[name]:[id_2]],2)</f>
        <v>25</v>
      </c>
      <c r="L41" s="9">
        <f>VLOOKUP(Tabla410[[#This Row],[Sexo]],Tabla8[[#All],[name]:[gender_id]],2,FALSE)</f>
        <v>2</v>
      </c>
      <c r="M41" s="9" t="str">
        <f>IF(LEN(Tabla410[[#This Row],[centros]])&gt;0,VLOOKUP(Tabla410[[#This Row],[centros]],Tabla2[[#All],[Centros]:[ID]],2,FALSE),"NULL")</f>
        <v>NULL</v>
      </c>
      <c r="N41" s="9">
        <f>VLOOKUP(Tabla410[[#This Row],[Entidad]],Tabla3[[#All],[name]:[ID_2]],2,FALSE)</f>
        <v>7</v>
      </c>
      <c r="O41" s="9">
        <f>IFERROR(VLOOKUP(Tabla410[[#This Row],[CLAVE PI]], Tabla10[], 10, FALSE), 0)</f>
        <v>0</v>
      </c>
      <c r="P41" s="35">
        <f>IFERROR(VLOOKUP(Tabla410[[#This Row],[CLAVE PS]], Tabla10[], 10, FALSE), 0)</f>
        <v>0</v>
      </c>
      <c r="Q41" s="41" t="str">
        <f t="shared" si="1"/>
        <v>INSERT INTO indicator_category_details (category_id, year_id, gender_id, center_id, state_id, PI, PS, status) VALUES (28, 25, 2, NULL, 7, 0, 0, 1);</v>
      </c>
    </row>
    <row r="42" spans="1:17" ht="15.6" x14ac:dyDescent="0.3">
      <c r="A42" s="45"/>
      <c r="B42" s="52" t="s">
        <v>1046</v>
      </c>
      <c r="C42" s="52" t="s">
        <v>1050</v>
      </c>
      <c r="D42" s="31"/>
      <c r="E42" s="3" t="s">
        <v>1043</v>
      </c>
      <c r="F42" s="3" t="s">
        <v>538</v>
      </c>
      <c r="G42" s="4"/>
      <c r="H42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protección|Hombre|Coahuila de Zaragoza</v>
      </c>
      <c r="I42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protección|Hombre|Coahuila de Zaragoza</v>
      </c>
      <c r="J42" s="9">
        <f>VLOOKUP($E$1,Tabla5[[#All],[name]:[id_1]],2,FALSE)</f>
        <v>28</v>
      </c>
      <c r="K42" s="9">
        <f>VLOOKUP($B$1,Tabla6[[#All],[name]:[id_2]],2)</f>
        <v>25</v>
      </c>
      <c r="L42" s="9">
        <f>VLOOKUP(Tabla410[[#This Row],[Sexo]],Tabla8[[#All],[name]:[gender_id]],2,FALSE)</f>
        <v>2</v>
      </c>
      <c r="M42" s="9" t="str">
        <f>IF(LEN(Tabla410[[#This Row],[centros]])&gt;0,VLOOKUP(Tabla410[[#This Row],[centros]],Tabla2[[#All],[Centros]:[ID]],2,FALSE),"NULL")</f>
        <v>NULL</v>
      </c>
      <c r="N42" s="9">
        <f>VLOOKUP(Tabla410[[#This Row],[Entidad]],Tabla3[[#All],[name]:[ID_2]],2,FALSE)</f>
        <v>8</v>
      </c>
      <c r="O42" s="9">
        <f>IFERROR(VLOOKUP(Tabla410[[#This Row],[CLAVE PI]], Tabla10[], 10, FALSE), 0)</f>
        <v>0</v>
      </c>
      <c r="P42" s="35">
        <f>IFERROR(VLOOKUP(Tabla410[[#This Row],[CLAVE PS]], Tabla10[], 10, FALSE), 0)</f>
        <v>0</v>
      </c>
      <c r="Q42" s="41" t="str">
        <f t="shared" si="1"/>
        <v>INSERT INTO indicator_category_details (category_id, year_id, gender_id, center_id, state_id, PI, PS, status) VALUES (28, 25, 2, NULL, 8, 0, 0, 1);</v>
      </c>
    </row>
    <row r="43" spans="1:17" ht="15.6" x14ac:dyDescent="0.3">
      <c r="A43" s="45"/>
      <c r="B43" s="52" t="s">
        <v>1046</v>
      </c>
      <c r="C43" s="52" t="s">
        <v>1050</v>
      </c>
      <c r="D43" s="31"/>
      <c r="E43" s="3" t="s">
        <v>1043</v>
      </c>
      <c r="F43" s="3" t="s">
        <v>547</v>
      </c>
      <c r="G43" s="4"/>
      <c r="H43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protección|Hombre|Colima</v>
      </c>
      <c r="I43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protección|Hombre|Colima</v>
      </c>
      <c r="J43" s="9">
        <f>VLOOKUP($E$1,Tabla5[[#All],[name]:[id_1]],2,FALSE)</f>
        <v>28</v>
      </c>
      <c r="K43" s="9">
        <f>VLOOKUP($B$1,Tabla6[[#All],[name]:[id_2]],2)</f>
        <v>25</v>
      </c>
      <c r="L43" s="9">
        <f>VLOOKUP(Tabla410[[#This Row],[Sexo]],Tabla8[[#All],[name]:[gender_id]],2,FALSE)</f>
        <v>2</v>
      </c>
      <c r="M43" s="9" t="str">
        <f>IF(LEN(Tabla410[[#This Row],[centros]])&gt;0,VLOOKUP(Tabla410[[#This Row],[centros]],Tabla2[[#All],[Centros]:[ID]],2,FALSE),"NULL")</f>
        <v>NULL</v>
      </c>
      <c r="N43" s="9">
        <f>VLOOKUP(Tabla410[[#This Row],[Entidad]],Tabla3[[#All],[name]:[ID_2]],2,FALSE)</f>
        <v>9</v>
      </c>
      <c r="O43" s="9">
        <f>IFERROR(VLOOKUP(Tabla410[[#This Row],[CLAVE PI]], Tabla10[], 10, FALSE), 0)</f>
        <v>0</v>
      </c>
      <c r="P43" s="35">
        <f>IFERROR(VLOOKUP(Tabla410[[#This Row],[CLAVE PS]], Tabla10[], 10, FALSE), 0)</f>
        <v>0</v>
      </c>
      <c r="Q43" s="41" t="str">
        <f t="shared" si="1"/>
        <v>INSERT INTO indicator_category_details (category_id, year_id, gender_id, center_id, state_id, PI, PS, status) VALUES (28, 25, 2, NULL, 9, 0, 0, 1);</v>
      </c>
    </row>
    <row r="44" spans="1:17" ht="15.6" x14ac:dyDescent="0.3">
      <c r="A44" s="45"/>
      <c r="B44" s="52" t="s">
        <v>1046</v>
      </c>
      <c r="C44" s="52" t="s">
        <v>1050</v>
      </c>
      <c r="D44" s="31"/>
      <c r="E44" s="3" t="s">
        <v>1043</v>
      </c>
      <c r="F44" s="3" t="s">
        <v>600</v>
      </c>
      <c r="G44" s="4"/>
      <c r="H44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protección|Hombre|Durango</v>
      </c>
      <c r="I44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protección|Hombre|Durango</v>
      </c>
      <c r="J44" s="9">
        <f>VLOOKUP($E$1,Tabla5[[#All],[name]:[id_1]],2,FALSE)</f>
        <v>28</v>
      </c>
      <c r="K44" s="9">
        <f>VLOOKUP($B$1,Tabla6[[#All],[name]:[id_2]],2)</f>
        <v>25</v>
      </c>
      <c r="L44" s="9">
        <f>VLOOKUP(Tabla410[[#This Row],[Sexo]],Tabla8[[#All],[name]:[gender_id]],2,FALSE)</f>
        <v>2</v>
      </c>
      <c r="M44" s="9" t="str">
        <f>IF(LEN(Tabla410[[#This Row],[centros]])&gt;0,VLOOKUP(Tabla410[[#This Row],[centros]],Tabla2[[#All],[Centros]:[ID]],2,FALSE),"NULL")</f>
        <v>NULL</v>
      </c>
      <c r="N44" s="9">
        <f>VLOOKUP(Tabla410[[#This Row],[Entidad]],Tabla3[[#All],[name]:[ID_2]],2,FALSE)</f>
        <v>10</v>
      </c>
      <c r="O44" s="9">
        <f>IFERROR(VLOOKUP(Tabla410[[#This Row],[CLAVE PI]], Tabla10[], 10, FALSE), 0)</f>
        <v>0</v>
      </c>
      <c r="P44" s="35">
        <f>IFERROR(VLOOKUP(Tabla410[[#This Row],[CLAVE PS]], Tabla10[], 10, FALSE), 0)</f>
        <v>0</v>
      </c>
      <c r="Q44" s="41" t="str">
        <f t="shared" si="1"/>
        <v>INSERT INTO indicator_category_details (category_id, year_id, gender_id, center_id, state_id, PI, PS, status) VALUES (28, 25, 2, NULL, 10, 0, 0, 1);</v>
      </c>
    </row>
    <row r="45" spans="1:17" ht="15.6" x14ac:dyDescent="0.3">
      <c r="A45" s="45"/>
      <c r="B45" s="52" t="s">
        <v>1046</v>
      </c>
      <c r="C45" s="52" t="s">
        <v>1050</v>
      </c>
      <c r="D45" s="31"/>
      <c r="E45" s="3" t="s">
        <v>1043</v>
      </c>
      <c r="F45" s="3" t="s">
        <v>606</v>
      </c>
      <c r="G45" s="4"/>
      <c r="H45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protección|Hombre|Guanajuato</v>
      </c>
      <c r="I45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protección|Hombre|Guanajuato</v>
      </c>
      <c r="J45" s="9">
        <f>VLOOKUP($E$1,Tabla5[[#All],[name]:[id_1]],2,FALSE)</f>
        <v>28</v>
      </c>
      <c r="K45" s="9">
        <f>VLOOKUP($B$1,Tabla6[[#All],[name]:[id_2]],2)</f>
        <v>25</v>
      </c>
      <c r="L45" s="9">
        <f>VLOOKUP(Tabla410[[#This Row],[Sexo]],Tabla8[[#All],[name]:[gender_id]],2,FALSE)</f>
        <v>2</v>
      </c>
      <c r="M45" s="9" t="str">
        <f>IF(LEN(Tabla410[[#This Row],[centros]])&gt;0,VLOOKUP(Tabla410[[#This Row],[centros]],Tabla2[[#All],[Centros]:[ID]],2,FALSE),"NULL")</f>
        <v>NULL</v>
      </c>
      <c r="N45" s="9">
        <f>VLOOKUP(Tabla410[[#This Row],[Entidad]],Tabla3[[#All],[name]:[ID_2]],2,FALSE)</f>
        <v>11</v>
      </c>
      <c r="O45" s="9">
        <f>IFERROR(VLOOKUP(Tabla410[[#This Row],[CLAVE PI]], Tabla10[], 10, FALSE), 0)</f>
        <v>0</v>
      </c>
      <c r="P45" s="35">
        <f>IFERROR(VLOOKUP(Tabla410[[#This Row],[CLAVE PS]], Tabla10[], 10, FALSE), 0)</f>
        <v>0</v>
      </c>
      <c r="Q45" s="41" t="str">
        <f t="shared" si="1"/>
        <v>INSERT INTO indicator_category_details (category_id, year_id, gender_id, center_id, state_id, PI, PS, status) VALUES (28, 25, 2, NULL, 11, 0, 0, 1);</v>
      </c>
    </row>
    <row r="46" spans="1:17" ht="15.6" x14ac:dyDescent="0.3">
      <c r="A46" s="45"/>
      <c r="B46" s="52" t="s">
        <v>1046</v>
      </c>
      <c r="C46" s="52" t="s">
        <v>1050</v>
      </c>
      <c r="D46" s="31"/>
      <c r="E46" s="3" t="s">
        <v>1043</v>
      </c>
      <c r="F46" s="3" t="s">
        <v>619</v>
      </c>
      <c r="G46" s="4"/>
      <c r="H46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protección|Hombre|Guerrero</v>
      </c>
      <c r="I46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protección|Hombre|Guerrero</v>
      </c>
      <c r="J46" s="9">
        <f>VLOOKUP($E$1,Tabla5[[#All],[name]:[id_1]],2,FALSE)</f>
        <v>28</v>
      </c>
      <c r="K46" s="9">
        <f>VLOOKUP($B$1,Tabla6[[#All],[name]:[id_2]],2)</f>
        <v>25</v>
      </c>
      <c r="L46" s="9">
        <f>VLOOKUP(Tabla410[[#This Row],[Sexo]],Tabla8[[#All],[name]:[gender_id]],2,FALSE)</f>
        <v>2</v>
      </c>
      <c r="M46" s="9" t="str">
        <f>IF(LEN(Tabla410[[#This Row],[centros]])&gt;0,VLOOKUP(Tabla410[[#This Row],[centros]],Tabla2[[#All],[Centros]:[ID]],2,FALSE),"NULL")</f>
        <v>NULL</v>
      </c>
      <c r="N46" s="9">
        <f>VLOOKUP(Tabla410[[#This Row],[Entidad]],Tabla3[[#All],[name]:[ID_2]],2,FALSE)</f>
        <v>12</v>
      </c>
      <c r="O46" s="9">
        <f>IFERROR(VLOOKUP(Tabla410[[#This Row],[CLAVE PI]], Tabla10[], 10, FALSE), 0)</f>
        <v>0</v>
      </c>
      <c r="P46" s="35">
        <f>IFERROR(VLOOKUP(Tabla410[[#This Row],[CLAVE PS]], Tabla10[], 10, FALSE), 0)</f>
        <v>0</v>
      </c>
      <c r="Q46" s="41" t="str">
        <f t="shared" si="1"/>
        <v>INSERT INTO indicator_category_details (category_id, year_id, gender_id, center_id, state_id, PI, PS, status) VALUES (28, 25, 2, NULL, 12, 0, 0, 1);</v>
      </c>
    </row>
    <row r="47" spans="1:17" ht="15.6" x14ac:dyDescent="0.3">
      <c r="A47" s="45"/>
      <c r="B47" s="52" t="s">
        <v>1046</v>
      </c>
      <c r="C47" s="52" t="s">
        <v>1050</v>
      </c>
      <c r="D47" s="31"/>
      <c r="E47" s="3" t="s">
        <v>1043</v>
      </c>
      <c r="F47" s="3" t="s">
        <v>633</v>
      </c>
      <c r="G47" s="4"/>
      <c r="H47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protección|Hombre|Hidalgo</v>
      </c>
      <c r="I47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protección|Hombre|Hidalgo</v>
      </c>
      <c r="J47" s="9">
        <f>VLOOKUP($E$1,Tabla5[[#All],[name]:[id_1]],2,FALSE)</f>
        <v>28</v>
      </c>
      <c r="K47" s="9">
        <f>VLOOKUP($B$1,Tabla6[[#All],[name]:[id_2]],2)</f>
        <v>25</v>
      </c>
      <c r="L47" s="9">
        <f>VLOOKUP(Tabla410[[#This Row],[Sexo]],Tabla8[[#All],[name]:[gender_id]],2,FALSE)</f>
        <v>2</v>
      </c>
      <c r="M47" s="9" t="str">
        <f>IF(LEN(Tabla410[[#This Row],[centros]])&gt;0,VLOOKUP(Tabla410[[#This Row],[centros]],Tabla2[[#All],[Centros]:[ID]],2,FALSE),"NULL")</f>
        <v>NULL</v>
      </c>
      <c r="N47" s="9">
        <f>VLOOKUP(Tabla410[[#This Row],[Entidad]],Tabla3[[#All],[name]:[ID_2]],2,FALSE)</f>
        <v>13</v>
      </c>
      <c r="O47" s="9">
        <f>IFERROR(VLOOKUP(Tabla410[[#This Row],[CLAVE PI]], Tabla10[], 10, FALSE), 0)</f>
        <v>0</v>
      </c>
      <c r="P47" s="35">
        <f>IFERROR(VLOOKUP(Tabla410[[#This Row],[CLAVE PS]], Tabla10[], 10, FALSE), 0)</f>
        <v>0</v>
      </c>
      <c r="Q47" s="41" t="str">
        <f t="shared" si="1"/>
        <v>INSERT INTO indicator_category_details (category_id, year_id, gender_id, center_id, state_id, PI, PS, status) VALUES (28, 25, 2, NULL, 13, 0, 0, 1);</v>
      </c>
    </row>
    <row r="48" spans="1:17" ht="15.6" x14ac:dyDescent="0.3">
      <c r="A48" s="45"/>
      <c r="B48" s="52" t="s">
        <v>1046</v>
      </c>
      <c r="C48" s="52" t="s">
        <v>1050</v>
      </c>
      <c r="D48" s="31"/>
      <c r="E48" s="3" t="s">
        <v>1043</v>
      </c>
      <c r="F48" s="3" t="s">
        <v>647</v>
      </c>
      <c r="G48" s="4"/>
      <c r="H48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protección|Hombre|Jalisco</v>
      </c>
      <c r="I48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protección|Hombre|Jalisco</v>
      </c>
      <c r="J48" s="9">
        <f>VLOOKUP($E$1,Tabla5[[#All],[name]:[id_1]],2,FALSE)</f>
        <v>28</v>
      </c>
      <c r="K48" s="9">
        <f>VLOOKUP($B$1,Tabla6[[#All],[name]:[id_2]],2)</f>
        <v>25</v>
      </c>
      <c r="L48" s="9">
        <f>VLOOKUP(Tabla410[[#This Row],[Sexo]],Tabla8[[#All],[name]:[gender_id]],2,FALSE)</f>
        <v>2</v>
      </c>
      <c r="M48" s="9" t="str">
        <f>IF(LEN(Tabla410[[#This Row],[centros]])&gt;0,VLOOKUP(Tabla410[[#This Row],[centros]],Tabla2[[#All],[Centros]:[ID]],2,FALSE),"NULL")</f>
        <v>NULL</v>
      </c>
      <c r="N48" s="9">
        <f>VLOOKUP(Tabla410[[#This Row],[Entidad]],Tabla3[[#All],[name]:[ID_2]],2,FALSE)</f>
        <v>14</v>
      </c>
      <c r="O48" s="9">
        <f>IFERROR(VLOOKUP(Tabla410[[#This Row],[CLAVE PI]], Tabla10[], 10, FALSE), 0)</f>
        <v>0</v>
      </c>
      <c r="P48" s="35">
        <f>IFERROR(VLOOKUP(Tabla410[[#This Row],[CLAVE PS]], Tabla10[], 10, FALSE), 0)</f>
        <v>0</v>
      </c>
      <c r="Q48" s="41" t="str">
        <f t="shared" si="1"/>
        <v>INSERT INTO indicator_category_details (category_id, year_id, gender_id, center_id, state_id, PI, PS, status) VALUES (28, 25, 2, NULL, 14, 0, 0, 1);</v>
      </c>
    </row>
    <row r="49" spans="1:17" ht="15.6" x14ac:dyDescent="0.3">
      <c r="A49" s="45"/>
      <c r="B49" s="52" t="s">
        <v>1046</v>
      </c>
      <c r="C49" s="52" t="s">
        <v>1050</v>
      </c>
      <c r="D49" s="31"/>
      <c r="E49" s="3" t="s">
        <v>1043</v>
      </c>
      <c r="F49" s="3" t="s">
        <v>662</v>
      </c>
      <c r="G49" s="4"/>
      <c r="H49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protección|Hombre|México</v>
      </c>
      <c r="I49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protección|Hombre|México</v>
      </c>
      <c r="J49" s="9">
        <f>VLOOKUP($E$1,Tabla5[[#All],[name]:[id_1]],2,FALSE)</f>
        <v>28</v>
      </c>
      <c r="K49" s="9">
        <f>VLOOKUP($B$1,Tabla6[[#All],[name]:[id_2]],2)</f>
        <v>25</v>
      </c>
      <c r="L49" s="9">
        <f>VLOOKUP(Tabla410[[#This Row],[Sexo]],Tabla8[[#All],[name]:[gender_id]],2,FALSE)</f>
        <v>2</v>
      </c>
      <c r="M49" s="9" t="str">
        <f>IF(LEN(Tabla410[[#This Row],[centros]])&gt;0,VLOOKUP(Tabla410[[#This Row],[centros]],Tabla2[[#All],[Centros]:[ID]],2,FALSE),"NULL")</f>
        <v>NULL</v>
      </c>
      <c r="N49" s="9">
        <f>VLOOKUP(Tabla410[[#This Row],[Entidad]],Tabla3[[#All],[name]:[ID_2]],2,FALSE)</f>
        <v>15</v>
      </c>
      <c r="O49" s="9">
        <f>IFERROR(VLOOKUP(Tabla410[[#This Row],[CLAVE PI]], Tabla10[], 10, FALSE), 0)</f>
        <v>0</v>
      </c>
      <c r="P49" s="35">
        <f>IFERROR(VLOOKUP(Tabla410[[#This Row],[CLAVE PS]], Tabla10[], 10, FALSE), 0)</f>
        <v>0</v>
      </c>
      <c r="Q49" s="41" t="str">
        <f t="shared" si="1"/>
        <v>INSERT INTO indicator_category_details (category_id, year_id, gender_id, center_id, state_id, PI, PS, status) VALUES (28, 25, 2, NULL, 15, 0, 0, 1);</v>
      </c>
    </row>
    <row r="50" spans="1:17" ht="15.6" x14ac:dyDescent="0.3">
      <c r="A50" s="45"/>
      <c r="B50" s="52" t="s">
        <v>1046</v>
      </c>
      <c r="C50" s="52" t="s">
        <v>1050</v>
      </c>
      <c r="D50" s="31"/>
      <c r="E50" s="3" t="s">
        <v>1043</v>
      </c>
      <c r="F50" s="3" t="s">
        <v>685</v>
      </c>
      <c r="G50" s="4"/>
      <c r="H50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protección|Hombre|Michoacán de Ocampo</v>
      </c>
      <c r="I50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protección|Hombre|Michoacán de Ocampo</v>
      </c>
      <c r="J50" s="9">
        <f>VLOOKUP($E$1,Tabla5[[#All],[name]:[id_1]],2,FALSE)</f>
        <v>28</v>
      </c>
      <c r="K50" s="9">
        <f>VLOOKUP($B$1,Tabla6[[#All],[name]:[id_2]],2)</f>
        <v>25</v>
      </c>
      <c r="L50" s="9">
        <f>VLOOKUP(Tabla410[[#This Row],[Sexo]],Tabla8[[#All],[name]:[gender_id]],2,FALSE)</f>
        <v>2</v>
      </c>
      <c r="M50" s="9" t="str">
        <f>IF(LEN(Tabla410[[#This Row],[centros]])&gt;0,VLOOKUP(Tabla410[[#This Row],[centros]],Tabla2[[#All],[Centros]:[ID]],2,FALSE),"NULL")</f>
        <v>NULL</v>
      </c>
      <c r="N50" s="9">
        <f>VLOOKUP(Tabla410[[#This Row],[Entidad]],Tabla3[[#All],[name]:[ID_2]],2,FALSE)</f>
        <v>16</v>
      </c>
      <c r="O50" s="9">
        <f>IFERROR(VLOOKUP(Tabla410[[#This Row],[CLAVE PI]], Tabla10[], 10, FALSE), 0)</f>
        <v>0</v>
      </c>
      <c r="P50" s="35">
        <f>IFERROR(VLOOKUP(Tabla410[[#This Row],[CLAVE PS]], Tabla10[], 10, FALSE), 0)</f>
        <v>0</v>
      </c>
      <c r="Q50" s="41" t="str">
        <f t="shared" si="1"/>
        <v>INSERT INTO indicator_category_details (category_id, year_id, gender_id, center_id, state_id, PI, PS, status) VALUES (28, 25, 2, NULL, 16, 0, 0, 1);</v>
      </c>
    </row>
    <row r="51" spans="1:17" ht="15.6" x14ac:dyDescent="0.3">
      <c r="A51" s="45"/>
      <c r="B51" s="52" t="s">
        <v>1046</v>
      </c>
      <c r="C51" s="52" t="s">
        <v>1050</v>
      </c>
      <c r="D51" s="31"/>
      <c r="E51" s="3" t="s">
        <v>1043</v>
      </c>
      <c r="F51" s="3" t="s">
        <v>698</v>
      </c>
      <c r="G51" s="4"/>
      <c r="H51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protección|Hombre|Morelos</v>
      </c>
      <c r="I51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protección|Hombre|Morelos</v>
      </c>
      <c r="J51" s="9">
        <f>VLOOKUP($E$1,Tabla5[[#All],[name]:[id_1]],2,FALSE)</f>
        <v>28</v>
      </c>
      <c r="K51" s="9">
        <f>VLOOKUP($B$1,Tabla6[[#All],[name]:[id_2]],2)</f>
        <v>25</v>
      </c>
      <c r="L51" s="9">
        <f>VLOOKUP(Tabla410[[#This Row],[Sexo]],Tabla8[[#All],[name]:[gender_id]],2,FALSE)</f>
        <v>2</v>
      </c>
      <c r="M51" s="9" t="str">
        <f>IF(LEN(Tabla410[[#This Row],[centros]])&gt;0,VLOOKUP(Tabla410[[#This Row],[centros]],Tabla2[[#All],[Centros]:[ID]],2,FALSE),"NULL")</f>
        <v>NULL</v>
      </c>
      <c r="N51" s="9">
        <f>VLOOKUP(Tabla410[[#This Row],[Entidad]],Tabla3[[#All],[name]:[ID_2]],2,FALSE)</f>
        <v>17</v>
      </c>
      <c r="O51" s="9">
        <f>IFERROR(VLOOKUP(Tabla410[[#This Row],[CLAVE PI]], Tabla10[], 10, FALSE), 0)</f>
        <v>0</v>
      </c>
      <c r="P51" s="35">
        <f>IFERROR(VLOOKUP(Tabla410[[#This Row],[CLAVE PS]], Tabla10[], 10, FALSE), 0)</f>
        <v>0</v>
      </c>
      <c r="Q51" s="41" t="str">
        <f t="shared" si="1"/>
        <v>INSERT INTO indicator_category_details (category_id, year_id, gender_id, center_id, state_id, PI, PS, status) VALUES (28, 25, 2, NULL, 17, 0, 0, 1);</v>
      </c>
    </row>
    <row r="52" spans="1:17" ht="15.6" x14ac:dyDescent="0.3">
      <c r="A52" s="45"/>
      <c r="B52" s="52" t="s">
        <v>1046</v>
      </c>
      <c r="C52" s="52" t="s">
        <v>1050</v>
      </c>
      <c r="D52" s="31"/>
      <c r="E52" s="3" t="s">
        <v>1043</v>
      </c>
      <c r="F52" s="3" t="s">
        <v>705</v>
      </c>
      <c r="G52" s="4"/>
      <c r="H52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protección|Hombre|Nayarit</v>
      </c>
      <c r="I52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protección|Hombre|Nayarit</v>
      </c>
      <c r="J52" s="9">
        <f>VLOOKUP($E$1,Tabla5[[#All],[name]:[id_1]],2,FALSE)</f>
        <v>28</v>
      </c>
      <c r="K52" s="9">
        <f>VLOOKUP($B$1,Tabla6[[#All],[name]:[id_2]],2)</f>
        <v>25</v>
      </c>
      <c r="L52" s="9">
        <f>VLOOKUP(Tabla410[[#This Row],[Sexo]],Tabla8[[#All],[name]:[gender_id]],2,FALSE)</f>
        <v>2</v>
      </c>
      <c r="M52" s="9" t="str">
        <f>IF(LEN(Tabla410[[#This Row],[centros]])&gt;0,VLOOKUP(Tabla410[[#This Row],[centros]],Tabla2[[#All],[Centros]:[ID]],2,FALSE),"NULL")</f>
        <v>NULL</v>
      </c>
      <c r="N52" s="9">
        <f>VLOOKUP(Tabla410[[#This Row],[Entidad]],Tabla3[[#All],[name]:[ID_2]],2,FALSE)</f>
        <v>18</v>
      </c>
      <c r="O52" s="9">
        <f>IFERROR(VLOOKUP(Tabla410[[#This Row],[CLAVE PI]], Tabla10[], 10, FALSE), 0)</f>
        <v>0</v>
      </c>
      <c r="P52" s="35">
        <f>IFERROR(VLOOKUP(Tabla410[[#This Row],[CLAVE PS]], Tabla10[], 10, FALSE), 0)</f>
        <v>0</v>
      </c>
      <c r="Q52" s="41" t="str">
        <f t="shared" si="1"/>
        <v>INSERT INTO indicator_category_details (category_id, year_id, gender_id, center_id, state_id, PI, PS, status) VALUES (28, 25, 2, NULL, 18, 0, 0, 1);</v>
      </c>
    </row>
    <row r="53" spans="1:17" ht="15.6" x14ac:dyDescent="0.3">
      <c r="A53" s="45"/>
      <c r="B53" s="52" t="s">
        <v>1046</v>
      </c>
      <c r="C53" s="52" t="s">
        <v>1050</v>
      </c>
      <c r="D53" s="31"/>
      <c r="E53" s="3" t="s">
        <v>1043</v>
      </c>
      <c r="F53" s="3" t="s">
        <v>710</v>
      </c>
      <c r="G53" s="4"/>
      <c r="H53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protección|Hombre|Nuevo León</v>
      </c>
      <c r="I53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protección|Hombre|Nuevo León</v>
      </c>
      <c r="J53" s="9">
        <f>VLOOKUP($E$1,Tabla5[[#All],[name]:[id_1]],2,FALSE)</f>
        <v>28</v>
      </c>
      <c r="K53" s="9">
        <f>VLOOKUP($B$1,Tabla6[[#All],[name]:[id_2]],2)</f>
        <v>25</v>
      </c>
      <c r="L53" s="9">
        <f>VLOOKUP(Tabla410[[#This Row],[Sexo]],Tabla8[[#All],[name]:[gender_id]],2,FALSE)</f>
        <v>2</v>
      </c>
      <c r="M53" s="9" t="str">
        <f>IF(LEN(Tabla410[[#This Row],[centros]])&gt;0,VLOOKUP(Tabla410[[#This Row],[centros]],Tabla2[[#All],[Centros]:[ID]],2,FALSE),"NULL")</f>
        <v>NULL</v>
      </c>
      <c r="N53" s="9">
        <f>VLOOKUP(Tabla410[[#This Row],[Entidad]],Tabla3[[#All],[name]:[ID_2]],2,FALSE)</f>
        <v>19</v>
      </c>
      <c r="O53" s="9">
        <f>IFERROR(VLOOKUP(Tabla410[[#This Row],[CLAVE PI]], Tabla10[], 10, FALSE), 0)</f>
        <v>0</v>
      </c>
      <c r="P53" s="35">
        <f>IFERROR(VLOOKUP(Tabla410[[#This Row],[CLAVE PS]], Tabla10[], 10, FALSE), 0)</f>
        <v>0</v>
      </c>
      <c r="Q53" s="41" t="str">
        <f t="shared" si="1"/>
        <v>INSERT INTO indicator_category_details (category_id, year_id, gender_id, center_id, state_id, PI, PS, status) VALUES (28, 25, 2, NULL, 19, 0, 0, 1);</v>
      </c>
    </row>
    <row r="54" spans="1:17" ht="15.6" x14ac:dyDescent="0.3">
      <c r="A54" s="45"/>
      <c r="B54" s="52" t="s">
        <v>1046</v>
      </c>
      <c r="C54" s="52" t="s">
        <v>1050</v>
      </c>
      <c r="D54" s="31"/>
      <c r="E54" s="3" t="s">
        <v>1043</v>
      </c>
      <c r="F54" s="3" t="s">
        <v>716</v>
      </c>
      <c r="G54" s="4"/>
      <c r="H54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protección|Hombre|Oaxaca</v>
      </c>
      <c r="I54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protección|Hombre|Oaxaca</v>
      </c>
      <c r="J54" s="9">
        <f>VLOOKUP($E$1,Tabla5[[#All],[name]:[id_1]],2,FALSE)</f>
        <v>28</v>
      </c>
      <c r="K54" s="9">
        <f>VLOOKUP($B$1,Tabla6[[#All],[name]:[id_2]],2)</f>
        <v>25</v>
      </c>
      <c r="L54" s="9">
        <f>VLOOKUP(Tabla410[[#This Row],[Sexo]],Tabla8[[#All],[name]:[gender_id]],2,FALSE)</f>
        <v>2</v>
      </c>
      <c r="M54" s="9" t="str">
        <f>IF(LEN(Tabla410[[#This Row],[centros]])&gt;0,VLOOKUP(Tabla410[[#This Row],[centros]],Tabla2[[#All],[Centros]:[ID]],2,FALSE),"NULL")</f>
        <v>NULL</v>
      </c>
      <c r="N54" s="9">
        <f>VLOOKUP(Tabla410[[#This Row],[Entidad]],Tabla3[[#All],[name]:[ID_2]],2,FALSE)</f>
        <v>20</v>
      </c>
      <c r="O54" s="9">
        <f>IFERROR(VLOOKUP(Tabla410[[#This Row],[CLAVE PI]], Tabla10[], 10, FALSE), 0)</f>
        <v>0</v>
      </c>
      <c r="P54" s="35">
        <f>IFERROR(VLOOKUP(Tabla410[[#This Row],[CLAVE PS]], Tabla10[], 10, FALSE), 0)</f>
        <v>0</v>
      </c>
      <c r="Q54" s="41" t="str">
        <f t="shared" si="1"/>
        <v>INSERT INTO indicator_category_details (category_id, year_id, gender_id, center_id, state_id, PI, PS, status) VALUES (28, 25, 2, NULL, 20, 0, 0, 1);</v>
      </c>
    </row>
    <row r="55" spans="1:17" ht="15.6" x14ac:dyDescent="0.3">
      <c r="A55" s="45"/>
      <c r="B55" s="52" t="s">
        <v>1046</v>
      </c>
      <c r="C55" s="52" t="s">
        <v>1050</v>
      </c>
      <c r="D55" s="31"/>
      <c r="E55" s="3" t="s">
        <v>1043</v>
      </c>
      <c r="F55" s="3" t="s">
        <v>727</v>
      </c>
      <c r="G55" s="4"/>
      <c r="H55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protección|Hombre|Puebla</v>
      </c>
      <c r="I55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protección|Hombre|Puebla</v>
      </c>
      <c r="J55" s="9">
        <f>VLOOKUP($E$1,Tabla5[[#All],[name]:[id_1]],2,FALSE)</f>
        <v>28</v>
      </c>
      <c r="K55" s="9">
        <f>VLOOKUP($B$1,Tabla6[[#All],[name]:[id_2]],2)</f>
        <v>25</v>
      </c>
      <c r="L55" s="9">
        <f>VLOOKUP(Tabla410[[#This Row],[Sexo]],Tabla8[[#All],[name]:[gender_id]],2,FALSE)</f>
        <v>2</v>
      </c>
      <c r="M55" s="9" t="str">
        <f>IF(LEN(Tabla410[[#This Row],[centros]])&gt;0,VLOOKUP(Tabla410[[#This Row],[centros]],Tabla2[[#All],[Centros]:[ID]],2,FALSE),"NULL")</f>
        <v>NULL</v>
      </c>
      <c r="N55" s="9">
        <f>VLOOKUP(Tabla410[[#This Row],[Entidad]],Tabla3[[#All],[name]:[ID_2]],2,FALSE)</f>
        <v>21</v>
      </c>
      <c r="O55" s="9">
        <f>IFERROR(VLOOKUP(Tabla410[[#This Row],[CLAVE PI]], Tabla10[], 10, FALSE), 0)</f>
        <v>0</v>
      </c>
      <c r="P55" s="35">
        <f>IFERROR(VLOOKUP(Tabla410[[#This Row],[CLAVE PS]], Tabla10[], 10, FALSE), 0)</f>
        <v>0</v>
      </c>
      <c r="Q55" s="41" t="str">
        <f t="shared" si="1"/>
        <v>INSERT INTO indicator_category_details (category_id, year_id, gender_id, center_id, state_id, PI, PS, status) VALUES (28, 25, 2, NULL, 21, 0, 0, 1);</v>
      </c>
    </row>
    <row r="56" spans="1:17" ht="15.6" x14ac:dyDescent="0.3">
      <c r="A56" s="45"/>
      <c r="B56" s="52" t="s">
        <v>1046</v>
      </c>
      <c r="C56" s="52" t="s">
        <v>1050</v>
      </c>
      <c r="D56" s="31"/>
      <c r="E56" s="3" t="s">
        <v>1043</v>
      </c>
      <c r="F56" s="3" t="s">
        <v>731</v>
      </c>
      <c r="G56" s="4"/>
      <c r="H56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protección|Hombre|Querétaro</v>
      </c>
      <c r="I56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protección|Hombre|Querétaro</v>
      </c>
      <c r="J56" s="9">
        <f>VLOOKUP($E$1,Tabla5[[#All],[name]:[id_1]],2,FALSE)</f>
        <v>28</v>
      </c>
      <c r="K56" s="9">
        <f>VLOOKUP($B$1,Tabla6[[#All],[name]:[id_2]],2)</f>
        <v>25</v>
      </c>
      <c r="L56" s="9">
        <f>VLOOKUP(Tabla410[[#This Row],[Sexo]],Tabla8[[#All],[name]:[gender_id]],2,FALSE)</f>
        <v>2</v>
      </c>
      <c r="M56" s="9" t="str">
        <f>IF(LEN(Tabla410[[#This Row],[centros]])&gt;0,VLOOKUP(Tabla410[[#This Row],[centros]],Tabla2[[#All],[Centros]:[ID]],2,FALSE),"NULL")</f>
        <v>NULL</v>
      </c>
      <c r="N56" s="9">
        <f>VLOOKUP(Tabla410[[#This Row],[Entidad]],Tabla3[[#All],[name]:[ID_2]],2,FALSE)</f>
        <v>22</v>
      </c>
      <c r="O56" s="9">
        <f>IFERROR(VLOOKUP(Tabla410[[#This Row],[CLAVE PI]], Tabla10[], 10, FALSE), 0)</f>
        <v>0</v>
      </c>
      <c r="P56" s="35">
        <f>IFERROR(VLOOKUP(Tabla410[[#This Row],[CLAVE PS]], Tabla10[], 10, FALSE), 0)</f>
        <v>0</v>
      </c>
      <c r="Q56" s="41" t="str">
        <f t="shared" si="1"/>
        <v>INSERT INTO indicator_category_details (category_id, year_id, gender_id, center_id, state_id, PI, PS, status) VALUES (28, 25, 2, NULL, 22, 0, 0, 1);</v>
      </c>
    </row>
    <row r="57" spans="1:17" ht="15.6" x14ac:dyDescent="0.3">
      <c r="A57" s="45"/>
      <c r="B57" s="52" t="s">
        <v>1046</v>
      </c>
      <c r="C57" s="52" t="s">
        <v>1050</v>
      </c>
      <c r="D57" s="31"/>
      <c r="E57" s="3" t="s">
        <v>1043</v>
      </c>
      <c r="F57" s="3" t="s">
        <v>737</v>
      </c>
      <c r="G57" s="4"/>
      <c r="H57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protección|Hombre|Quintana Roo</v>
      </c>
      <c r="I57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protección|Hombre|Quintana Roo</v>
      </c>
      <c r="J57" s="9">
        <f>VLOOKUP($E$1,Tabla5[[#All],[name]:[id_1]],2,FALSE)</f>
        <v>28</v>
      </c>
      <c r="K57" s="9">
        <f>VLOOKUP($B$1,Tabla6[[#All],[name]:[id_2]],2)</f>
        <v>25</v>
      </c>
      <c r="L57" s="9">
        <f>VLOOKUP(Tabla410[[#This Row],[Sexo]],Tabla8[[#All],[name]:[gender_id]],2,FALSE)</f>
        <v>2</v>
      </c>
      <c r="M57" s="9" t="str">
        <f>IF(LEN(Tabla410[[#This Row],[centros]])&gt;0,VLOOKUP(Tabla410[[#This Row],[centros]],Tabla2[[#All],[Centros]:[ID]],2,FALSE),"NULL")</f>
        <v>NULL</v>
      </c>
      <c r="N57" s="9">
        <f>VLOOKUP(Tabla410[[#This Row],[Entidad]],Tabla3[[#All],[name]:[ID_2]],2,FALSE)</f>
        <v>23</v>
      </c>
      <c r="O57" s="9">
        <f>IFERROR(VLOOKUP(Tabla410[[#This Row],[CLAVE PI]], Tabla10[], 10, FALSE), 0)</f>
        <v>0</v>
      </c>
      <c r="P57" s="35">
        <f>IFERROR(VLOOKUP(Tabla410[[#This Row],[CLAVE PS]], Tabla10[], 10, FALSE), 0)</f>
        <v>0</v>
      </c>
      <c r="Q57" s="41" t="str">
        <f t="shared" si="1"/>
        <v>INSERT INTO indicator_category_details (category_id, year_id, gender_id, center_id, state_id, PI, PS, status) VALUES (28, 25, 2, NULL, 23, 0, 0, 1);</v>
      </c>
    </row>
    <row r="58" spans="1:17" ht="15.6" x14ac:dyDescent="0.3">
      <c r="A58" s="45"/>
      <c r="B58" s="52" t="s">
        <v>1046</v>
      </c>
      <c r="C58" s="52" t="s">
        <v>1050</v>
      </c>
      <c r="D58" s="31"/>
      <c r="E58" s="3" t="s">
        <v>1043</v>
      </c>
      <c r="F58" s="3" t="s">
        <v>741</v>
      </c>
      <c r="G58" s="4"/>
      <c r="H58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protección|Hombre|San Luis Potosí</v>
      </c>
      <c r="I58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protección|Hombre|San Luis Potosí</v>
      </c>
      <c r="J58" s="9">
        <f>VLOOKUP($E$1,Tabla5[[#All],[name]:[id_1]],2,FALSE)</f>
        <v>28</v>
      </c>
      <c r="K58" s="9">
        <f>VLOOKUP($B$1,Tabla6[[#All],[name]:[id_2]],2)</f>
        <v>25</v>
      </c>
      <c r="L58" s="9">
        <f>VLOOKUP(Tabla410[[#This Row],[Sexo]],Tabla8[[#All],[name]:[gender_id]],2,FALSE)</f>
        <v>2</v>
      </c>
      <c r="M58" s="9" t="str">
        <f>IF(LEN(Tabla410[[#This Row],[centros]])&gt;0,VLOOKUP(Tabla410[[#This Row],[centros]],Tabla2[[#All],[Centros]:[ID]],2,FALSE),"NULL")</f>
        <v>NULL</v>
      </c>
      <c r="N58" s="9">
        <f>VLOOKUP(Tabla410[[#This Row],[Entidad]],Tabla3[[#All],[name]:[ID_2]],2,FALSE)</f>
        <v>24</v>
      </c>
      <c r="O58" s="9">
        <f>IFERROR(VLOOKUP(Tabla410[[#This Row],[CLAVE PI]], Tabla10[], 10, FALSE), 0)</f>
        <v>0</v>
      </c>
      <c r="P58" s="35">
        <f>IFERROR(VLOOKUP(Tabla410[[#This Row],[CLAVE PS]], Tabla10[], 10, FALSE), 0)</f>
        <v>0</v>
      </c>
      <c r="Q58" s="41" t="str">
        <f t="shared" si="1"/>
        <v>INSERT INTO indicator_category_details (category_id, year_id, gender_id, center_id, state_id, PI, PS, status) VALUES (28, 25, 2, NULL, 24, 0, 0, 1);</v>
      </c>
    </row>
    <row r="59" spans="1:17" ht="15.6" x14ac:dyDescent="0.3">
      <c r="A59" s="45"/>
      <c r="B59" s="52" t="s">
        <v>1046</v>
      </c>
      <c r="C59" s="52" t="s">
        <v>1050</v>
      </c>
      <c r="D59" s="31"/>
      <c r="E59" s="3" t="s">
        <v>1043</v>
      </c>
      <c r="F59" s="3" t="s">
        <v>749</v>
      </c>
      <c r="G59" s="4"/>
      <c r="H59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protección|Hombre|Sinaloa</v>
      </c>
      <c r="I59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protección|Hombre|Sinaloa</v>
      </c>
      <c r="J59" s="9">
        <f>VLOOKUP($E$1,Tabla5[[#All],[name]:[id_1]],2,FALSE)</f>
        <v>28</v>
      </c>
      <c r="K59" s="9">
        <f>VLOOKUP($B$1,Tabla6[[#All],[name]:[id_2]],2)</f>
        <v>25</v>
      </c>
      <c r="L59" s="9">
        <f>VLOOKUP(Tabla410[[#This Row],[Sexo]],Tabla8[[#All],[name]:[gender_id]],2,FALSE)</f>
        <v>2</v>
      </c>
      <c r="M59" s="9" t="str">
        <f>IF(LEN(Tabla410[[#This Row],[centros]])&gt;0,VLOOKUP(Tabla410[[#This Row],[centros]],Tabla2[[#All],[Centros]:[ID]],2,FALSE),"NULL")</f>
        <v>NULL</v>
      </c>
      <c r="N59" s="9">
        <f>VLOOKUP(Tabla410[[#This Row],[Entidad]],Tabla3[[#All],[name]:[ID_2]],2,FALSE)</f>
        <v>25</v>
      </c>
      <c r="O59" s="9">
        <f>IFERROR(VLOOKUP(Tabla410[[#This Row],[CLAVE PI]], Tabla10[], 10, FALSE), 0)</f>
        <v>0</v>
      </c>
      <c r="P59" s="35">
        <f>IFERROR(VLOOKUP(Tabla410[[#This Row],[CLAVE PS]], Tabla10[], 10, FALSE), 0)</f>
        <v>0</v>
      </c>
      <c r="Q59" s="41" t="str">
        <f t="shared" si="1"/>
        <v>INSERT INTO indicator_category_details (category_id, year_id, gender_id, center_id, state_id, PI, PS, status) VALUES (28, 25, 2, NULL, 25, 0, 0, 1);</v>
      </c>
    </row>
    <row r="60" spans="1:17" ht="15.6" x14ac:dyDescent="0.3">
      <c r="A60" s="45"/>
      <c r="B60" s="52" t="s">
        <v>1046</v>
      </c>
      <c r="C60" s="52" t="s">
        <v>1050</v>
      </c>
      <c r="D60" s="31"/>
      <c r="E60" s="3" t="s">
        <v>1043</v>
      </c>
      <c r="F60" s="3" t="s">
        <v>755</v>
      </c>
      <c r="G60" s="4"/>
      <c r="H60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protección|Hombre|Sonora</v>
      </c>
      <c r="I60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protección|Hombre|Sonora</v>
      </c>
      <c r="J60" s="9">
        <f>VLOOKUP($E$1,Tabla5[[#All],[name]:[id_1]],2,FALSE)</f>
        <v>28</v>
      </c>
      <c r="K60" s="9">
        <f>VLOOKUP($B$1,Tabla6[[#All],[name]:[id_2]],2)</f>
        <v>25</v>
      </c>
      <c r="L60" s="9">
        <f>VLOOKUP(Tabla410[[#This Row],[Sexo]],Tabla8[[#All],[name]:[gender_id]],2,FALSE)</f>
        <v>2</v>
      </c>
      <c r="M60" s="9" t="str">
        <f>IF(LEN(Tabla410[[#This Row],[centros]])&gt;0,VLOOKUP(Tabla410[[#This Row],[centros]],Tabla2[[#All],[Centros]:[ID]],2,FALSE),"NULL")</f>
        <v>NULL</v>
      </c>
      <c r="N60" s="9">
        <f>VLOOKUP(Tabla410[[#This Row],[Entidad]],Tabla3[[#All],[name]:[ID_2]],2,FALSE)</f>
        <v>26</v>
      </c>
      <c r="O60" s="9">
        <f>IFERROR(VLOOKUP(Tabla410[[#This Row],[CLAVE PI]], Tabla10[], 10, FALSE), 0)</f>
        <v>0</v>
      </c>
      <c r="P60" s="35">
        <f>IFERROR(VLOOKUP(Tabla410[[#This Row],[CLAVE PS]], Tabla10[], 10, FALSE), 0)</f>
        <v>0</v>
      </c>
      <c r="Q60" s="41" t="str">
        <f t="shared" si="1"/>
        <v>INSERT INTO indicator_category_details (category_id, year_id, gender_id, center_id, state_id, PI, PS, status) VALUES (28, 25, 2, NULL, 26, 0, 0, 1);</v>
      </c>
    </row>
    <row r="61" spans="1:17" ht="15.6" x14ac:dyDescent="0.3">
      <c r="A61" s="45"/>
      <c r="B61" s="52" t="s">
        <v>1046</v>
      </c>
      <c r="C61" s="52" t="s">
        <v>1050</v>
      </c>
      <c r="D61" s="31"/>
      <c r="E61" s="3" t="s">
        <v>1043</v>
      </c>
      <c r="F61" s="3" t="s">
        <v>775</v>
      </c>
      <c r="G61" s="4"/>
      <c r="H61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protección|Hombre|Tabasco</v>
      </c>
      <c r="I61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protección|Hombre|Tabasco</v>
      </c>
      <c r="J61" s="9">
        <f>VLOOKUP($E$1,Tabla5[[#All],[name]:[id_1]],2,FALSE)</f>
        <v>28</v>
      </c>
      <c r="K61" s="9">
        <f>VLOOKUP($B$1,Tabla6[[#All],[name]:[id_2]],2)</f>
        <v>25</v>
      </c>
      <c r="L61" s="9">
        <f>VLOOKUP(Tabla410[[#This Row],[Sexo]],Tabla8[[#All],[name]:[gender_id]],2,FALSE)</f>
        <v>2</v>
      </c>
      <c r="M61" s="9" t="str">
        <f>IF(LEN(Tabla410[[#This Row],[centros]])&gt;0,VLOOKUP(Tabla410[[#This Row],[centros]],Tabla2[[#All],[Centros]:[ID]],2,FALSE),"NULL")</f>
        <v>NULL</v>
      </c>
      <c r="N61" s="9">
        <f>VLOOKUP(Tabla410[[#This Row],[Entidad]],Tabla3[[#All],[name]:[ID_2]],2,FALSE)</f>
        <v>27</v>
      </c>
      <c r="O61" s="9">
        <f>IFERROR(VLOOKUP(Tabla410[[#This Row],[CLAVE PI]], Tabla10[], 10, FALSE), 0)</f>
        <v>0</v>
      </c>
      <c r="P61" s="35">
        <f>IFERROR(VLOOKUP(Tabla410[[#This Row],[CLAVE PS]], Tabla10[], 10, FALSE), 0)</f>
        <v>0</v>
      </c>
      <c r="Q61" s="41" t="str">
        <f t="shared" si="1"/>
        <v>INSERT INTO indicator_category_details (category_id, year_id, gender_id, center_id, state_id, PI, PS, status) VALUES (28, 25, 2, NULL, 27, 0, 0, 1);</v>
      </c>
    </row>
    <row r="62" spans="1:17" ht="15.6" x14ac:dyDescent="0.3">
      <c r="A62" s="45"/>
      <c r="B62" s="52" t="s">
        <v>1046</v>
      </c>
      <c r="C62" s="52" t="s">
        <v>1050</v>
      </c>
      <c r="D62" s="31"/>
      <c r="E62" s="3" t="s">
        <v>1043</v>
      </c>
      <c r="F62" s="3" t="s">
        <v>785</v>
      </c>
      <c r="G62" s="4"/>
      <c r="H62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protección|Hombre|Tamaulipas</v>
      </c>
      <c r="I62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protección|Hombre|Tamaulipas</v>
      </c>
      <c r="J62" s="9">
        <f>VLOOKUP($E$1,Tabla5[[#All],[name]:[id_1]],2,FALSE)</f>
        <v>28</v>
      </c>
      <c r="K62" s="9">
        <f>VLOOKUP($B$1,Tabla6[[#All],[name]:[id_2]],2)</f>
        <v>25</v>
      </c>
      <c r="L62" s="9">
        <f>VLOOKUP(Tabla410[[#This Row],[Sexo]],Tabla8[[#All],[name]:[gender_id]],2,FALSE)</f>
        <v>2</v>
      </c>
      <c r="M62" s="9" t="str">
        <f>IF(LEN(Tabla410[[#This Row],[centros]])&gt;0,VLOOKUP(Tabla410[[#This Row],[centros]],Tabla2[[#All],[Centros]:[ID]],2,FALSE),"NULL")</f>
        <v>NULL</v>
      </c>
      <c r="N62" s="9">
        <f>VLOOKUP(Tabla410[[#This Row],[Entidad]],Tabla3[[#All],[name]:[ID_2]],2,FALSE)</f>
        <v>28</v>
      </c>
      <c r="O62" s="9">
        <f>IFERROR(VLOOKUP(Tabla410[[#This Row],[CLAVE PI]], Tabla10[], 10, FALSE), 0)</f>
        <v>0</v>
      </c>
      <c r="P62" s="35">
        <f>IFERROR(VLOOKUP(Tabla410[[#This Row],[CLAVE PS]], Tabla10[], 10, FALSE), 0)</f>
        <v>0</v>
      </c>
      <c r="Q62" s="41" t="str">
        <f t="shared" si="1"/>
        <v>INSERT INTO indicator_category_details (category_id, year_id, gender_id, center_id, state_id, PI, PS, status) VALUES (28, 25, 2, NULL, 28, 0, 0, 1);</v>
      </c>
    </row>
    <row r="63" spans="1:17" ht="15.6" x14ac:dyDescent="0.3">
      <c r="A63" s="45"/>
      <c r="B63" s="52" t="s">
        <v>1046</v>
      </c>
      <c r="C63" s="52" t="s">
        <v>1050</v>
      </c>
      <c r="D63" s="31"/>
      <c r="E63" s="3" t="s">
        <v>1043</v>
      </c>
      <c r="F63" s="3" t="s">
        <v>797</v>
      </c>
      <c r="G63" s="4"/>
      <c r="H63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protección|Hombre|Tlaxcala</v>
      </c>
      <c r="I63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protección|Hombre|Tlaxcala</v>
      </c>
      <c r="J63" s="9">
        <f>VLOOKUP($E$1,Tabla5[[#All],[name]:[id_1]],2,FALSE)</f>
        <v>28</v>
      </c>
      <c r="K63" s="9">
        <f>VLOOKUP($B$1,Tabla6[[#All],[name]:[id_2]],2)</f>
        <v>25</v>
      </c>
      <c r="L63" s="9">
        <f>VLOOKUP(Tabla410[[#This Row],[Sexo]],Tabla8[[#All],[name]:[gender_id]],2,FALSE)</f>
        <v>2</v>
      </c>
      <c r="M63" s="9" t="str">
        <f>IF(LEN(Tabla410[[#This Row],[centros]])&gt;0,VLOOKUP(Tabla410[[#This Row],[centros]],Tabla2[[#All],[Centros]:[ID]],2,FALSE),"NULL")</f>
        <v>NULL</v>
      </c>
      <c r="N63" s="9">
        <f>VLOOKUP(Tabla410[[#This Row],[Entidad]],Tabla3[[#All],[name]:[ID_2]],2,FALSE)</f>
        <v>29</v>
      </c>
      <c r="O63" s="9">
        <f>IFERROR(VLOOKUP(Tabla410[[#This Row],[CLAVE PI]], Tabla10[], 10, FALSE), 0)</f>
        <v>0</v>
      </c>
      <c r="P63" s="35">
        <f>IFERROR(VLOOKUP(Tabla410[[#This Row],[CLAVE PS]], Tabla10[], 10, FALSE), 0)</f>
        <v>0</v>
      </c>
      <c r="Q63" s="41" t="str">
        <f t="shared" si="1"/>
        <v>INSERT INTO indicator_category_details (category_id, year_id, gender_id, center_id, state_id, PI, PS, status) VALUES (28, 25, 2, NULL, 29, 0, 0, 1);</v>
      </c>
    </row>
    <row r="64" spans="1:17" ht="15.6" x14ac:dyDescent="0.3">
      <c r="A64" s="45"/>
      <c r="B64" s="52" t="s">
        <v>1046</v>
      </c>
      <c r="C64" s="52" t="s">
        <v>1050</v>
      </c>
      <c r="D64" s="31"/>
      <c r="E64" s="3" t="s">
        <v>1043</v>
      </c>
      <c r="F64" s="3" t="s">
        <v>802</v>
      </c>
      <c r="G64" s="4"/>
      <c r="H64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protección|Hombre|Veracruz de Ignacio de la Llave</v>
      </c>
      <c r="I64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protección|Hombre|Veracruz de Ignacio de la Llave</v>
      </c>
      <c r="J64" s="9">
        <f>VLOOKUP($E$1,Tabla5[[#All],[name]:[id_1]],2,FALSE)</f>
        <v>28</v>
      </c>
      <c r="K64" s="9">
        <f>VLOOKUP($B$1,Tabla6[[#All],[name]:[id_2]],2)</f>
        <v>25</v>
      </c>
      <c r="L64" s="9">
        <f>VLOOKUP(Tabla410[[#This Row],[Sexo]],Tabla8[[#All],[name]:[gender_id]],2,FALSE)</f>
        <v>2</v>
      </c>
      <c r="M64" s="9" t="str">
        <f>IF(LEN(Tabla410[[#This Row],[centros]])&gt;0,VLOOKUP(Tabla410[[#This Row],[centros]],Tabla2[[#All],[Centros]:[ID]],2,FALSE),"NULL")</f>
        <v>NULL</v>
      </c>
      <c r="N64" s="9">
        <f>VLOOKUP(Tabla410[[#This Row],[Entidad]],Tabla3[[#All],[name]:[ID_2]],2,FALSE)</f>
        <v>30</v>
      </c>
      <c r="O64" s="9">
        <f>IFERROR(VLOOKUP(Tabla410[[#This Row],[CLAVE PI]], Tabla10[], 10, FALSE), 0)</f>
        <v>0</v>
      </c>
      <c r="P64" s="35">
        <f>IFERROR(VLOOKUP(Tabla410[[#This Row],[CLAVE PS]], Tabla10[], 10, FALSE), 0)</f>
        <v>0</v>
      </c>
      <c r="Q64" s="41" t="str">
        <f t="shared" si="1"/>
        <v>INSERT INTO indicator_category_details (category_id, year_id, gender_id, center_id, state_id, PI, PS, status) VALUES (28, 25, 2, NULL, 30, 0, 0, 1);</v>
      </c>
    </row>
    <row r="65" spans="1:17" ht="15.6" x14ac:dyDescent="0.3">
      <c r="A65" s="45"/>
      <c r="B65" s="52" t="s">
        <v>1046</v>
      </c>
      <c r="C65" s="52" t="s">
        <v>1050</v>
      </c>
      <c r="D65" s="31"/>
      <c r="E65" s="3" t="s">
        <v>1043</v>
      </c>
      <c r="F65" s="3" t="s">
        <v>822</v>
      </c>
      <c r="G65" s="4"/>
      <c r="H65" s="34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protección|Hombre|Yucatán</v>
      </c>
      <c r="I65" s="21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protección|Hombre|Yucatán</v>
      </c>
      <c r="J65" s="9">
        <f>VLOOKUP($E$1,Tabla5[[#All],[name]:[id_1]],2,FALSE)</f>
        <v>28</v>
      </c>
      <c r="K65" s="9">
        <f>VLOOKUP($B$1,Tabla6[[#All],[name]:[id_2]],2)</f>
        <v>25</v>
      </c>
      <c r="L65" s="9">
        <f>VLOOKUP(Tabla410[[#This Row],[Sexo]],Tabla8[[#All],[name]:[gender_id]],2,FALSE)</f>
        <v>2</v>
      </c>
      <c r="M65" s="9" t="str">
        <f>IF(LEN(Tabla410[[#This Row],[centros]])&gt;0,VLOOKUP(Tabla410[[#This Row],[centros]],Tabla2[[#All],[Centros]:[ID]],2,FALSE),"NULL")</f>
        <v>NULL</v>
      </c>
      <c r="N65" s="9">
        <f>VLOOKUP(Tabla410[[#This Row],[Entidad]],Tabla3[[#All],[name]:[ID_2]],2,FALSE)</f>
        <v>31</v>
      </c>
      <c r="O65" s="9">
        <f>IFERROR(VLOOKUP(Tabla410[[#This Row],[CLAVE PI]], Tabla10[], 10, FALSE), 0)</f>
        <v>0</v>
      </c>
      <c r="P65" s="35">
        <f>IFERROR(VLOOKUP(Tabla410[[#This Row],[CLAVE PS]], Tabla10[], 10, FALSE), 0)</f>
        <v>0</v>
      </c>
      <c r="Q65" s="41" t="str">
        <f t="shared" si="1"/>
        <v>INSERT INTO indicator_category_details (category_id, year_id, gender_id, center_id, state_id, PI, PS, status) VALUES (28, 25, 2, NULL, 31, 0, 0, 1);</v>
      </c>
    </row>
    <row r="66" spans="1:17" ht="15.6" x14ac:dyDescent="0.3">
      <c r="A66" s="45"/>
      <c r="B66" s="54" t="s">
        <v>1046</v>
      </c>
      <c r="C66" s="54" t="s">
        <v>1050</v>
      </c>
      <c r="D66" s="31"/>
      <c r="E66" s="3" t="s">
        <v>1043</v>
      </c>
      <c r="F66" s="11" t="s">
        <v>827</v>
      </c>
      <c r="G66" s="12"/>
      <c r="H66" s="36" t="str">
        <f>Tabla410[[#This Row],[P1]] &amp; "|" &amp; $E$1 &amp; "|" &amp; Tabla410[[#This Row],[Sexo]] &amp; "|" &amp; Tabla410[[#This Row],[Entidad]]</f>
        <v>PI|Delitos contra el medio ambiente, el equilibrio ecológico y la gestión ambiental - Comercialización de flora o fauna silvestres en peligro de extinción, amenazadas o sujetas a protección|Hombre|Zacatecas</v>
      </c>
      <c r="I66" s="22" t="str">
        <f>Tabla410[[#This Row],[P2]] &amp; "|" &amp; $E$1 &amp; "|" &amp; Tabla410[[#This Row],[Sexo]] &amp; "|" &amp; Tabla410[[#This Row],[Entidad]]</f>
        <v>PS|Delitos contra el medio ambiente, el equilibrio ecológico y la gestión ambiental - Comercialización de flora o fauna silvestres en peligro de extinción, amenazadas o sujetas a protección|Hombre|Zacatecas</v>
      </c>
      <c r="J66" s="13">
        <f>VLOOKUP($E$1,Tabla5[[#All],[name]:[id_1]],2,FALSE)</f>
        <v>28</v>
      </c>
      <c r="K66" s="13">
        <f>VLOOKUP($B$1,Tabla6[[#All],[name]:[id_2]],2)</f>
        <v>25</v>
      </c>
      <c r="L66" s="13">
        <f>VLOOKUP(Tabla410[[#This Row],[Sexo]],Tabla8[[#All],[name]:[gender_id]],2,FALSE)</f>
        <v>2</v>
      </c>
      <c r="M66" s="13" t="str">
        <f>IF(LEN(Tabla410[[#This Row],[centros]])&gt;0,VLOOKUP(Tabla410[[#This Row],[centros]],Tabla2[[#All],[Centros]:[ID]],2,FALSE),"NULL")</f>
        <v>NULL</v>
      </c>
      <c r="N66" s="13">
        <f>VLOOKUP(Tabla410[[#This Row],[Entidad]],Tabla3[[#All],[name]:[ID_2]],2,FALSE)</f>
        <v>32</v>
      </c>
      <c r="O66" s="13">
        <f>IFERROR(VLOOKUP(Tabla410[[#This Row],[CLAVE PI]], Tabla10[], 10, FALSE), 0)</f>
        <v>0</v>
      </c>
      <c r="P66" s="55">
        <f>IFERROR(VLOOKUP(Tabla410[[#This Row],[CLAVE PS]], Tabla10[], 10, FALSE), 0)</f>
        <v>0</v>
      </c>
      <c r="Q66" s="42" t="str">
        <f t="shared" si="1"/>
        <v>INSERT INTO indicator_category_details (category_id, year_id, gender_id, center_id, state_id, PI, PS, status) VALUES (28, 25, 2, NULL, 32, 0, 0, 1);</v>
      </c>
    </row>
  </sheetData>
  <mergeCells count="3">
    <mergeCell ref="O1:P1"/>
    <mergeCell ref="B1:C1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LENOVO</cp:lastModifiedBy>
  <dcterms:created xsi:type="dcterms:W3CDTF">2015-06-05T18:19:34Z</dcterms:created>
  <dcterms:modified xsi:type="dcterms:W3CDTF">2026-03-03T06:32:40Z</dcterms:modified>
</cp:coreProperties>
</file>
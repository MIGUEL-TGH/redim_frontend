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"/>
    </mc:Choice>
  </mc:AlternateContent>
  <xr:revisionPtr revIDLastSave="0" documentId="13_ncr:1_{3F39CA89-BB83-44E1-AEC3-36DFFCC60C80}" xr6:coauthVersionLast="47" xr6:coauthVersionMax="47" xr10:uidLastSave="{00000000-0000-0000-0000-000000000000}"/>
  <bookViews>
    <workbookView xWindow="28680" yWindow="-120" windowWidth="29040" windowHeight="16440" activeTab="9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5" i="16" l="1"/>
  <c r="H3" i="16"/>
  <c r="I3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K3" i="16"/>
  <c r="K4" i="16"/>
  <c r="K5" i="16"/>
  <c r="K6" i="16"/>
  <c r="K7" i="16"/>
  <c r="K8" i="16"/>
  <c r="K9" i="16"/>
  <c r="K10" i="16"/>
  <c r="K11" i="16"/>
  <c r="K12" i="16"/>
  <c r="K13" i="16"/>
  <c r="K14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J1" i="17"/>
  <c r="L1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A4" i="17"/>
  <c r="A3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N34" i="16"/>
  <c r="L34" i="16"/>
  <c r="N33" i="16"/>
  <c r="L33" i="16"/>
  <c r="N32" i="16"/>
  <c r="L32" i="16"/>
  <c r="N31" i="16"/>
  <c r="L31" i="16"/>
  <c r="N30" i="16"/>
  <c r="L30" i="16"/>
  <c r="N29" i="16"/>
  <c r="L29" i="16"/>
  <c r="N28" i="16"/>
  <c r="L28" i="16"/>
  <c r="N27" i="16"/>
  <c r="L27" i="16"/>
  <c r="N26" i="16"/>
  <c r="L26" i="16"/>
  <c r="N25" i="16"/>
  <c r="L25" i="16"/>
  <c r="N24" i="16"/>
  <c r="L24" i="16"/>
  <c r="N23" i="16"/>
  <c r="L23" i="16"/>
  <c r="N22" i="16"/>
  <c r="L22" i="16"/>
  <c r="N21" i="16"/>
  <c r="L21" i="16"/>
  <c r="N20" i="16"/>
  <c r="L20" i="16"/>
  <c r="N19" i="16"/>
  <c r="L19" i="16"/>
  <c r="N18" i="16"/>
  <c r="L18" i="16"/>
  <c r="N17" i="16"/>
  <c r="L17" i="16"/>
  <c r="N16" i="16"/>
  <c r="L16" i="16"/>
  <c r="N15" i="16"/>
  <c r="L15" i="16"/>
  <c r="N14" i="16"/>
  <c r="N13" i="16"/>
  <c r="L13" i="16"/>
  <c r="N12" i="16"/>
  <c r="L12" i="16"/>
  <c r="N9" i="16"/>
  <c r="L9" i="16"/>
  <c r="N8" i="16"/>
  <c r="L8" i="16"/>
  <c r="N7" i="16"/>
  <c r="L7" i="16"/>
  <c r="N11" i="16"/>
  <c r="L11" i="16"/>
  <c r="N10" i="16"/>
  <c r="L10" i="16"/>
  <c r="N6" i="16"/>
  <c r="L6" i="16"/>
  <c r="N5" i="16"/>
  <c r="L5" i="16"/>
  <c r="N4" i="16"/>
  <c r="L4" i="16"/>
  <c r="N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O3" i="16" l="1"/>
  <c r="P3" i="16"/>
  <c r="P23" i="7"/>
  <c r="P31" i="7"/>
  <c r="P27" i="7"/>
  <c r="P40" i="16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O36" i="16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O59" i="16"/>
  <c r="O55" i="16"/>
  <c r="O51" i="16"/>
  <c r="O47" i="16"/>
  <c r="O43" i="16"/>
  <c r="O39" i="16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O62" i="16"/>
  <c r="O58" i="16"/>
  <c r="O54" i="16"/>
  <c r="O50" i="16"/>
  <c r="O46" i="16"/>
  <c r="O42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Q40" i="16" l="1"/>
  <c r="Q50" i="16"/>
  <c r="Q59" i="16"/>
  <c r="Q55" i="16"/>
  <c r="Q62" i="16"/>
  <c r="Q39" i="16"/>
  <c r="Q43" i="16"/>
  <c r="Q47" i="16"/>
  <c r="Q63" i="16"/>
  <c r="Q66" i="16"/>
  <c r="Q36" i="16"/>
  <c r="Q38" i="16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O1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  <c r="Q3" i="16"/>
</calcChain>
</file>

<file path=xl/sharedStrings.xml><?xml version="1.0" encoding="utf-8"?>
<sst xmlns="http://schemas.openxmlformats.org/spreadsheetml/2006/main" count="4903" uniqueCount="1057">
  <si>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</si>
  <si>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</si>
  <si>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</si>
  <si>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</si>
  <si>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</si>
  <si>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</si>
  <si>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</si>
  <si>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</si>
  <si>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</si>
  <si>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</si>
  <si>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</si>
  <si>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</si>
  <si>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</si>
  <si>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</si>
  <si>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</si>
  <si>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</si>
  <si>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</si>
  <si>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</si>
  <si>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</si>
  <si>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</si>
  <si>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</si>
  <si>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</si>
  <si>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</si>
  <si>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</si>
  <si>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</si>
  <si>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</si>
  <si>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</si>
  <si>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</si>
  <si>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</si>
  <si>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</si>
  <si>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</si>
  <si>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</si>
  <si>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</si>
  <si>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</si>
  <si>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</si>
  <si>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</si>
  <si>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</si>
  <si>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</si>
  <si>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</si>
  <si>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</si>
  <si>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</si>
  <si>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</si>
  <si>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</si>
  <si>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</si>
  <si>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</si>
  <si>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</si>
  <si>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</si>
  <si>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</si>
  <si>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</si>
  <si>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</si>
  <si>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</si>
  <si>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</si>
  <si>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</si>
  <si>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</si>
  <si>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</si>
  <si>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</si>
  <si>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</si>
  <si>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</si>
  <si>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</si>
  <si>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</si>
  <si>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</si>
  <si>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</si>
  <si>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</si>
  <si>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</si>
  <si>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</si>
  <si>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</si>
  <si>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</si>
  <si>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</si>
  <si>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</si>
  <si>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</si>
  <si>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</si>
  <si>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</si>
  <si>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</si>
  <si>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</si>
  <si>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</si>
  <si>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</si>
  <si>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</si>
  <si>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</si>
  <si>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</si>
  <si>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</si>
  <si>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</si>
  <si>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</si>
  <si>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</si>
  <si>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</si>
  <si>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</si>
  <si>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</si>
  <si>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</si>
  <si>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</si>
  <si>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</si>
  <si>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</si>
  <si>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</si>
  <si>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</si>
  <si>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</si>
  <si>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</si>
  <si>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</si>
  <si>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</si>
  <si>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</si>
  <si>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</si>
  <si>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</si>
  <si>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</si>
  <si>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</si>
  <si>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</si>
  <si>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</si>
  <si>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</si>
  <si>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</si>
  <si>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</si>
  <si>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</si>
  <si>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</si>
  <si>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</si>
  <si>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</si>
  <si>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</si>
  <si>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</si>
  <si>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</si>
  <si>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</si>
  <si>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</si>
  <si>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</si>
  <si>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</si>
  <si>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</si>
  <si>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</si>
  <si>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</si>
  <si>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</si>
  <si>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</si>
  <si>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</si>
  <si>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</si>
  <si>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</si>
  <si>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</si>
  <si>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</si>
  <si>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</si>
  <si>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</si>
  <si>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</si>
  <si>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</si>
  <si>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</si>
  <si>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</si>
  <si>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</si>
  <si>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</si>
  <si>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</si>
  <si>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</si>
  <si>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</si>
  <si>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</si>
  <si>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</si>
  <si>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</si>
  <si>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</si>
  <si>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</si>
  <si>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</si>
  <si>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</si>
  <si>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</si>
  <si>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</si>
  <si>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</si>
  <si>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</si>
  <si>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</si>
  <si>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</si>
  <si>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</si>
  <si>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</si>
  <si>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</si>
  <si>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</si>
  <si>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</si>
  <si>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</si>
  <si>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</si>
  <si>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</si>
  <si>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</si>
  <si>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</si>
  <si>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</si>
  <si>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</si>
  <si>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</si>
  <si>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</si>
  <si>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</si>
  <si>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</si>
  <si>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</si>
  <si>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</si>
  <si>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</si>
  <si>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</si>
  <si>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</si>
  <si>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</si>
  <si>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</si>
  <si>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</si>
  <si>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</si>
  <si>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</si>
  <si>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</si>
  <si>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</si>
  <si>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</si>
  <si>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</si>
  <si>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</si>
  <si>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</si>
  <si>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</si>
  <si>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</si>
  <si>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</si>
  <si>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</si>
  <si>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</si>
  <si>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</si>
  <si>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</si>
  <si>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</si>
  <si>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</si>
  <si>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</si>
  <si>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</si>
  <si>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</si>
  <si>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</si>
  <si>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</si>
  <si>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</si>
  <si>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</si>
  <si>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</si>
  <si>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</si>
  <si>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</si>
  <si>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</si>
  <si>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</si>
  <si>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</si>
  <si>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</si>
  <si>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</si>
  <si>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</si>
  <si>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</si>
  <si>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</si>
  <si>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</si>
  <si>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</si>
  <si>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</si>
  <si>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</si>
  <si>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</si>
  <si>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</si>
  <si>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</si>
  <si>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</si>
  <si>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</si>
  <si>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</si>
  <si>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</si>
  <si>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</si>
  <si>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</si>
  <si>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</si>
  <si>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</si>
  <si>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</si>
  <si>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</si>
  <si>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</si>
  <si>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</si>
  <si>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</si>
  <si>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</si>
  <si>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</si>
  <si>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</si>
  <si>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</si>
  <si>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</si>
  <si>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</si>
  <si>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</si>
  <si>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</si>
  <si>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</si>
  <si>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</si>
  <si>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</si>
  <si>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</si>
  <si>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</si>
  <si>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</si>
  <si>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</si>
  <si>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</si>
  <si>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</si>
  <si>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</si>
  <si>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</si>
  <si>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</si>
  <si>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</si>
  <si>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</si>
  <si>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</si>
  <si>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</si>
  <si>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</si>
  <si>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</si>
  <si>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</si>
  <si>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</si>
  <si>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</si>
  <si>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</si>
  <si>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</si>
  <si>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</si>
  <si>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</si>
  <si>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</si>
  <si>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</si>
  <si>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</si>
  <si>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</si>
  <si>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</si>
  <si>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</si>
  <si>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</si>
  <si>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</si>
  <si>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</si>
  <si>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</si>
  <si>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</si>
  <si>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</si>
  <si>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</si>
  <si>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</si>
  <si>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</si>
  <si>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</si>
  <si>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</si>
  <si>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</si>
  <si>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</si>
  <si>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</si>
  <si>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</si>
  <si>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</si>
  <si>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</si>
  <si>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</si>
  <si>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</si>
  <si>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</si>
  <si>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</si>
  <si>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</si>
  <si>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</si>
  <si>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</si>
  <si>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</si>
  <si>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</si>
  <si>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</si>
  <si>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</si>
  <si>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</si>
  <si>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</si>
  <si>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</si>
  <si>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</si>
  <si>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</si>
  <si>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</si>
  <si>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</si>
  <si>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</si>
  <si>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</si>
  <si>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</si>
  <si>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</si>
  <si>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</si>
  <si>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</si>
  <si>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</si>
  <si>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</si>
  <si>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</si>
  <si>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</si>
  <si>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</si>
  <si>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</si>
  <si>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</si>
  <si>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</si>
  <si>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</si>
  <si>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</si>
  <si>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</si>
  <si>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</si>
  <si>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</si>
  <si>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</si>
  <si>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</si>
  <si>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</si>
  <si>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</si>
  <si>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</si>
  <si>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</si>
  <si>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</si>
  <si>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</si>
  <si>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</si>
  <si>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</si>
  <si>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</si>
  <si>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</si>
  <si>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</si>
  <si>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</si>
  <si>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</si>
  <si>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</si>
  <si>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</si>
  <si>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</si>
  <si>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</si>
  <si>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</si>
  <si>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</si>
  <si>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</si>
  <si>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</si>
  <si>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</si>
  <si>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</si>
  <si>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</si>
  <si>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</si>
  <si>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</si>
  <si>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</si>
  <si>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</si>
  <si>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</si>
  <si>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</si>
  <si>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</si>
  <si>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</si>
  <si>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</si>
  <si>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</si>
  <si>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</si>
  <si>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</si>
  <si>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</si>
  <si>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</si>
  <si>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</si>
  <si>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</si>
  <si>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</si>
  <si>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</si>
  <si>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</si>
  <si>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</si>
  <si>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</si>
  <si>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</si>
  <si>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</si>
  <si>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</si>
  <si>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</si>
  <si>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</si>
  <si>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</si>
  <si>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</si>
  <si>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</si>
  <si>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</si>
  <si>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</si>
  <si>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</si>
  <si>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</si>
  <si>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</si>
  <si>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</si>
  <si>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</si>
  <si>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</si>
  <si>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</si>
  <si>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</si>
  <si>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</si>
  <si>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</si>
  <si>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</si>
  <si>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</si>
  <si>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</si>
  <si>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</si>
  <si>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</si>
  <si>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</si>
  <si>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</si>
  <si>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</si>
  <si>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</si>
  <si>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</si>
  <si>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</si>
  <si>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</si>
  <si>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</si>
  <si>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</si>
  <si>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</si>
  <si>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</si>
  <si>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</si>
  <si>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</si>
  <si>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</si>
  <si>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</si>
  <si>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</si>
  <si>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</si>
  <si>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</si>
  <si>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</si>
  <si>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</si>
  <si>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</si>
  <si>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</si>
  <si>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</si>
  <si>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</si>
  <si>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</si>
  <si>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</si>
  <si>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</si>
  <si>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</si>
  <si>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</si>
  <si>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</si>
  <si>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</si>
  <si>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</si>
  <si>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</si>
  <si>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</si>
  <si>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</si>
  <si>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</si>
  <si>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</si>
  <si>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</si>
  <si>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</si>
  <si>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</si>
  <si>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</si>
  <si>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</si>
  <si>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</si>
  <si>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</si>
  <si>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</si>
  <si>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</si>
  <si>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</si>
  <si>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</si>
  <si>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</si>
  <si>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</si>
  <si>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</si>
  <si>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</si>
  <si>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</si>
  <si>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</si>
  <si>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</si>
  <si>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</si>
  <si>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</si>
  <si>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</si>
  <si>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</si>
  <si>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</si>
  <si>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</si>
  <si>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</si>
  <si>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</si>
  <si>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</si>
  <si>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</si>
  <si>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</si>
  <si>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</si>
  <si>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</si>
  <si>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</si>
  <si>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</si>
  <si>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</si>
  <si>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</si>
  <si>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</si>
  <si>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</si>
  <si>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</si>
  <si>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</si>
  <si>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</si>
  <si>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</si>
  <si>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</si>
  <si>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</si>
  <si>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</si>
  <si>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</si>
  <si>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</si>
  <si>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</si>
  <si>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</si>
  <si>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</si>
  <si>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</si>
  <si>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</si>
  <si>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</si>
  <si>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</si>
  <si>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</si>
  <si>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</si>
  <si>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</si>
  <si>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</si>
  <si>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</si>
  <si>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</si>
  <si>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</si>
  <si>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</si>
  <si>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</si>
  <si>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</si>
  <si>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</si>
  <si>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</si>
  <si>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</si>
  <si>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</si>
  <si>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</si>
  <si>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</si>
  <si>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</si>
  <si>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</si>
  <si>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</si>
  <si>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</si>
  <si>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</si>
  <si>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</si>
  <si>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</si>
  <si>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</si>
  <si>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</si>
  <si>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</si>
  <si>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</si>
  <si>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</si>
  <si>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</si>
  <si>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</si>
  <si>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</si>
  <si>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</si>
  <si>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</si>
  <si>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</si>
  <si>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</si>
  <si>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</si>
  <si>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</si>
  <si>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</si>
  <si>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</si>
  <si>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</si>
  <si>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</si>
  <si>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</si>
  <si>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</si>
  <si>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</si>
  <si>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</si>
  <si>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</si>
  <si>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</si>
  <si>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</si>
  <si>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</si>
  <si>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</si>
  <si>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</si>
  <si>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</si>
  <si>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</si>
  <si>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</si>
  <si>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</si>
  <si>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</si>
  <si>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</si>
  <si>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</si>
  <si>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</si>
  <si>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</si>
  <si>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</si>
  <si>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</si>
  <si>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</si>
  <si>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</si>
  <si>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</si>
  <si>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</si>
  <si>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</si>
  <si>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</si>
  <si>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</si>
  <si>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</si>
  <si>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</si>
  <si>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</si>
  <si>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</si>
  <si>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</si>
  <si>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</si>
  <si>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</si>
  <si>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</si>
  <si>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</si>
  <si>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</si>
  <si>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</si>
  <si>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</si>
  <si>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</si>
  <si>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</si>
  <si>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</si>
  <si>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</si>
  <si>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</si>
  <si>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</si>
  <si>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</si>
  <si>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</si>
  <si>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</si>
  <si>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</si>
  <si>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</si>
  <si>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</si>
  <si>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</si>
  <si>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</si>
  <si>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</si>
  <si>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</si>
  <si>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</si>
  <si>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</si>
  <si>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</si>
  <si>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</si>
  <si>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</si>
  <si>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</si>
  <si>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</si>
  <si>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</si>
  <si>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</si>
  <si>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</si>
  <si>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</si>
  <si>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</si>
  <si>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</si>
  <si>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</si>
  <si>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</si>
  <si>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</si>
  <si>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</si>
  <si>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</si>
  <si>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</si>
  <si>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</si>
  <si>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</si>
  <si>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</si>
  <si>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</si>
  <si>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</si>
  <si>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</si>
  <si>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</si>
  <si>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</si>
  <si>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</si>
  <si>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</si>
  <si>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</si>
  <si>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</si>
  <si>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</si>
  <si>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</si>
  <si>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</si>
  <si>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</si>
  <si>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</si>
  <si>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</si>
  <si>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</si>
  <si>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</si>
  <si>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</si>
  <si>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</si>
  <si>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</si>
  <si>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</si>
  <si>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</si>
  <si>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</si>
  <si>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</si>
  <si>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</si>
  <si>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</si>
  <si>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</si>
  <si>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</si>
  <si>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</si>
  <si>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</si>
  <si>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</si>
  <si>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</si>
  <si>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</si>
  <si>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</si>
  <si>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</si>
  <si>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</si>
  <si>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</si>
  <si>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</si>
  <si>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</si>
  <si>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</si>
  <si>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</si>
  <si>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</si>
  <si>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</si>
  <si>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</si>
  <si>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</si>
  <si>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</si>
  <si>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</si>
  <si>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</si>
  <si>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</si>
  <si>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</si>
  <si>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</si>
  <si>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</si>
  <si>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</si>
  <si>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</si>
  <si>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</si>
  <si>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</si>
  <si>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</si>
  <si>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</si>
  <si>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</si>
  <si>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</si>
  <si>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</si>
  <si>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</si>
  <si>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</si>
  <si>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</si>
  <si>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</si>
  <si>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</si>
  <si>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</si>
  <si>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</si>
  <si>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</si>
  <si>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</si>
  <si>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</si>
  <si>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</si>
  <si>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</si>
  <si>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</si>
  <si>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</si>
  <si>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</si>
  <si>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</si>
  <si>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</si>
  <si>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</si>
  <si>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</si>
  <si>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</si>
  <si>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</si>
  <si>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</si>
  <si>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</si>
  <si>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</si>
  <si>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</si>
  <si>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</si>
  <si>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</si>
  <si>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</si>
  <si>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</si>
  <si>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</si>
  <si>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</si>
  <si>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</si>
  <si>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</si>
  <si>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</si>
  <si>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</si>
  <si>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</si>
  <si>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</si>
  <si>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</si>
  <si>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</si>
  <si>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</si>
  <si>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</si>
  <si>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</si>
  <si>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</si>
  <si>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</si>
  <si>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</si>
  <si>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</si>
  <si>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</si>
  <si>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</si>
  <si>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</si>
  <si>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</si>
  <si>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</si>
  <si>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</si>
  <si>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</si>
  <si>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</si>
  <si>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</si>
  <si>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</si>
  <si>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</si>
  <si>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</si>
  <si>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</si>
  <si>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</si>
  <si>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</si>
  <si>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</si>
  <si>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</si>
  <si>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</si>
  <si>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</si>
  <si>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</si>
  <si>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</si>
  <si>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</si>
  <si>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</si>
  <si>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</si>
  <si>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</si>
  <si>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</si>
  <si>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</si>
  <si>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</si>
  <si>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</si>
  <si>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</si>
  <si>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</si>
  <si>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</si>
  <si>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</si>
  <si>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</si>
  <si>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</si>
  <si>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</si>
  <si>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</si>
  <si>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</si>
  <si>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</si>
  <si>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</si>
  <si>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</si>
  <si>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</si>
  <si>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</si>
  <si>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</si>
  <si>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</si>
  <si>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</si>
  <si>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</si>
  <si>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</si>
  <si>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</si>
  <si>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</si>
  <si>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</si>
  <si>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</si>
  <si>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</si>
  <si>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</si>
  <si>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</si>
  <si>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</si>
  <si>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</si>
  <si>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</si>
  <si>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</si>
  <si>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</si>
  <si>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</si>
  <si>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</si>
  <si>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</si>
  <si>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</si>
  <si>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</si>
  <si>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</si>
  <si>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</si>
  <si>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</si>
  <si>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</si>
  <si>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</si>
  <si>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</si>
  <si>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</si>
  <si>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</si>
  <si>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</si>
  <si>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</si>
  <si>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</si>
  <si>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</si>
  <si>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</si>
  <si>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</si>
  <si>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</si>
  <si>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</si>
  <si>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</si>
  <si>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</si>
  <si>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</si>
  <si>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</si>
  <si>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</si>
  <si>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</si>
  <si>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</si>
  <si>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</si>
  <si>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</si>
  <si>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</si>
  <si>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</si>
  <si>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</si>
  <si>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</si>
  <si>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</si>
  <si>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</si>
  <si>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</si>
  <si>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</si>
  <si>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</si>
  <si>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</si>
  <si>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</si>
  <si>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</si>
  <si>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</si>
  <si>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</si>
  <si>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</si>
  <si>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</si>
  <si>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</si>
  <si>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</si>
  <si>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</si>
  <si>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</si>
  <si>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</si>
  <si>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</si>
  <si>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</si>
  <si>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</si>
  <si>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</si>
  <si>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</si>
  <si>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</si>
  <si>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</si>
  <si>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</si>
  <si>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</si>
  <si>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</si>
  <si>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</si>
  <si>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</si>
  <si>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</si>
  <si>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</si>
  <si>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</si>
  <si>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</si>
  <si>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</si>
  <si>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</si>
  <si>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</si>
  <si>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</si>
  <si>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</si>
  <si>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</si>
  <si>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</si>
  <si>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</si>
  <si>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</si>
  <si>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</si>
  <si>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</si>
  <si>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</si>
  <si>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</si>
  <si>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</si>
  <si>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</si>
  <si>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</si>
  <si>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</si>
  <si>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</si>
  <si>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</si>
  <si>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</si>
  <si>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</si>
  <si>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</si>
  <si>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</si>
  <si>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</si>
  <si>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</si>
  <si>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</si>
  <si>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</si>
  <si>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</si>
  <si>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</si>
  <si>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</si>
  <si>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</si>
  <si>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</si>
  <si>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</si>
  <si>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</si>
  <si>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</si>
  <si>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</si>
  <si>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</si>
  <si>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</si>
  <si>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</si>
  <si>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</si>
  <si>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</si>
  <si>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</si>
  <si>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</si>
  <si>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</si>
  <si>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</si>
  <si>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</si>
  <si>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</si>
  <si>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</si>
  <si>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</si>
  <si>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</si>
  <si>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</si>
  <si>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</si>
  <si>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</si>
  <si>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</si>
  <si>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</si>
  <si>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</si>
  <si>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</si>
  <si>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</si>
  <si>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</si>
  <si>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</si>
  <si>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</si>
  <si>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</si>
  <si>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</si>
  <si>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</si>
  <si>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</si>
  <si>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</si>
  <si>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</si>
  <si>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</si>
  <si>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</si>
  <si>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</si>
  <si>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</si>
  <si>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</si>
  <si>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</si>
  <si>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</si>
  <si>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</si>
  <si>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</si>
  <si>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</si>
  <si>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</si>
  <si>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</si>
  <si>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</si>
  <si>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</si>
  <si>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</si>
  <si>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</si>
  <si>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</si>
  <si>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</si>
  <si>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</si>
  <si>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</si>
  <si>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</si>
  <si>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</si>
  <si>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</si>
  <si>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</si>
  <si>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</si>
  <si>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</si>
  <si>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</si>
  <si>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</si>
  <si>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</si>
  <si>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</si>
  <si>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</si>
  <si>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</si>
  <si>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</si>
  <si>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</si>
  <si>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</si>
  <si>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</si>
  <si>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</si>
  <si>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</si>
  <si>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</si>
  <si>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</si>
  <si>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</si>
  <si>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</si>
  <si>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</si>
  <si>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</si>
  <si>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</si>
  <si>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</si>
  <si>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</si>
  <si>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</si>
  <si>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</si>
  <si>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</si>
  <si>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</si>
  <si>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</si>
  <si>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</si>
  <si>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</si>
  <si>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</si>
  <si>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</si>
  <si>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</si>
  <si>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</si>
  <si>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</si>
  <si>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</si>
  <si>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</si>
  <si>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</si>
  <si>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</si>
  <si>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</si>
  <si>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</si>
  <si>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</si>
  <si>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</si>
  <si>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</si>
  <si>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</si>
  <si>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</si>
  <si>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</si>
  <si>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</si>
  <si>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</si>
  <si>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</si>
  <si>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</si>
  <si>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</si>
  <si>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</si>
  <si>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</si>
  <si>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</si>
  <si>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</si>
  <si>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</si>
  <si>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</si>
  <si>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</si>
  <si>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</si>
  <si>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</si>
  <si>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</si>
  <si>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</si>
  <si>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</si>
  <si>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</si>
  <si>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</si>
  <si>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</si>
  <si>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</si>
  <si>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</si>
  <si>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</si>
  <si>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</si>
  <si>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</si>
  <si>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</si>
  <si>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</si>
  <si>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</si>
  <si>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</si>
  <si>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</si>
  <si>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</si>
  <si>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</si>
  <si>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</si>
  <si>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</si>
  <si>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</si>
  <si>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</si>
  <si>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</si>
  <si>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</si>
  <si>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</si>
  <si>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</si>
  <si>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</si>
  <si>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</si>
  <si>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</si>
  <si>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</si>
  <si>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</si>
  <si>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</si>
  <si>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</si>
  <si>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</si>
  <si>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</si>
  <si>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</si>
  <si>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</si>
  <si>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</si>
  <si>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</si>
  <si>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</si>
  <si>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</si>
  <si>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</si>
  <si>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</si>
  <si>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</si>
  <si>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</si>
  <si>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</si>
  <si>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</si>
  <si>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</si>
  <si>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</si>
  <si>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</si>
  <si>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</si>
  <si>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</si>
  <si>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</si>
  <si>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</si>
  <si>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</si>
  <si>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</si>
  <si>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</si>
  <si>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</si>
  <si>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</si>
  <si>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</si>
  <si>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</si>
  <si>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</si>
  <si>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</si>
  <si>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</si>
  <si>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</si>
  <si>
    <t>PI: Población Iternada</t>
  </si>
  <si>
    <t>PS: Poblacion Señalada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</si>
</sst>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4" fillId="3" borderId="1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1" fillId="0" borderId="3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4" fillId="3" borderId="21" xfId="0" applyFont="1" applyFill="1" applyBorder="1" applyAlignment="1">
      <alignment vertical="center"/>
    </xf>
    <xf numFmtId="0" fontId="0" fillId="3" borderId="22" xfId="0" applyFill="1" applyBorder="1" applyAlignment="1">
      <alignment horizontal="center" vertical="center"/>
    </xf>
    <xf numFmtId="0" fontId="4" fillId="3" borderId="27" xfId="0" applyFont="1" applyFill="1" applyBorder="1" applyAlignment="1">
      <alignment vertical="center"/>
    </xf>
    <xf numFmtId="0" fontId="4" fillId="3" borderId="24" xfId="0" applyFont="1" applyFill="1" applyBorder="1" applyAlignment="1">
      <alignment vertical="center"/>
    </xf>
    <xf numFmtId="0" fontId="4" fillId="3" borderId="25" xfId="0" applyFont="1" applyFill="1" applyBorder="1" applyAlignment="1">
      <alignment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1" fillId="0" borderId="0" xfId="0" applyFont="1"/>
    <xf numFmtId="0" fontId="3" fillId="0" borderId="31" xfId="0" applyFont="1" applyBorder="1" applyAlignment="1">
      <alignment horizontal="center" vertical="center"/>
    </xf>
    <xf numFmtId="0" fontId="4" fillId="3" borderId="31" xfId="0" applyFont="1" applyFill="1" applyBorder="1" applyAlignment="1">
      <alignment vertical="center"/>
    </xf>
    <xf numFmtId="0" fontId="0" fillId="3" borderId="32" xfId="0" applyFill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5" xfId="0" applyFont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8" xfId="0" applyBorder="1" applyAlignment="1">
      <alignment horizontal="center" vertical="top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3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1" fillId="0" borderId="43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7" fillId="0" borderId="0" xfId="0" applyFont="1"/>
    <xf numFmtId="0" fontId="6" fillId="0" borderId="0" xfId="0" applyFont="1" applyAlignment="1">
      <alignment horizontal="center"/>
    </xf>
    <xf numFmtId="0" fontId="6" fillId="0" borderId="34" xfId="0" applyFont="1" applyBorder="1" applyAlignment="1">
      <alignment horizontal="center" vertical="center"/>
    </xf>
    <xf numFmtId="0" fontId="6" fillId="0" borderId="34" xfId="0" applyFont="1" applyBorder="1" applyAlignment="1">
      <alignment horizontal="left" vertical="center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22" totalsRowShown="0">
  <autoFilter ref="A1:E22" xr:uid="{2D779FAC-E2C1-4E1E-A93F-554CB1A16E27}"/>
  <sortState xmlns:xlrd2="http://schemas.microsoft.com/office/spreadsheetml/2017/richdata2" ref="A2:E21">
    <sortCondition ref="A1:A21"/>
  </sortState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50"/>
    <tableColumn id="2" xr3:uid="{B4C15FDA-B2EC-4A1D-A81E-4B2725E564AF}" name="Centros" dataDxfId="49"/>
    <tableColumn id="4" xr3:uid="{17CD0285-B341-43C7-8ACD-65A35D973F9E}" name="ID" dataDxfId="48"/>
    <tableColumn id="3" xr3:uid="{A0FEF947-428C-44F8-B2A5-5E3ECB03347F}" name="LARGO" dataDxfId="4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6" headerRowBorderDxfId="45" tableBorderDxfId="44" totalsRowBorderDxfId="4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42"/>
    <tableColumn id="2" xr3:uid="{0CB5CA81-988E-4F97-BB11-8B48ABBB9654}" name="Población" dataDxfId="41"/>
    <tableColumn id="3" xr3:uid="{15047A13-D527-4FF6-BF19-A3D6F0F87F1F}" name="Agrupación social" dataDxfId="40"/>
    <tableColumn id="4" xr3:uid="{5A9301CD-C9FB-427F-8910-4C4F80F11CA4}" name="Sexo" dataDxfId="39"/>
    <tableColumn id="5" xr3:uid="{19CFEF7A-3FE4-4E57-8AFE-E1DB1A2C07B4}" name="Entidad" dataDxfId="38"/>
    <tableColumn id="6" xr3:uid="{498A1FCD-7ED4-4A18-9300-2DF473DA8DD0}" name="centros" dataDxfId="37"/>
    <tableColumn id="7" xr3:uid="{0CF34FE6-DEE6-48BD-A06E-1B1900E10662}" name="Total" dataDxfId="36"/>
    <tableColumn id="8" xr3:uid="{875E9C03-E5C8-4C24-BDB3-3555491E0B0F}" name="Cantidad" dataDxfId="35"/>
    <tableColumn id="9" xr3:uid="{3DCD7CA6-AB42-4251-8476-9B604204379A}" name="Porcentaje" dataDxfId="34"/>
    <tableColumn id="10" xr3:uid="{C457D2F8-809B-4F13-A244-1103EA44F8AE}" name="Tasa" dataDxfId="33"/>
    <tableColumn id="17" xr3:uid="{545DFE0D-5E6C-4105-8B05-EE8E6428B50D}" name="year_id" dataDxfId="32">
      <calculatedColumnFormula>VLOOKUP(Tabla4[[#This Row],[Año]],Tabla6[[#All],[name]:[id_2]],2)</calculatedColumnFormula>
    </tableColumn>
    <tableColumn id="19" xr3:uid="{B3FF9074-5129-4ECB-84A0-0C75088A77BA}" name="category_id" dataDxfId="31">
      <calculatedColumnFormula>VLOOKUP(Tabla4[[#This Row],[Agrupación social]],Tabla5[[#All],[name]:[id_1]],2,FALSE)</calculatedColumnFormula>
    </tableColumn>
    <tableColumn id="18" xr3:uid="{28F90810-C2F7-4AC5-877E-98D99181F5E4}" name="gender_id" dataDxfId="30">
      <calculatedColumnFormula>VLOOKUP(Tabla4[[#This Row],[Sexo]],Tabla8[[#All],[name]:[gender_id]],2,FALSE)</calculatedColumnFormula>
    </tableColumn>
    <tableColumn id="20" xr3:uid="{33D1819C-0D35-4F5C-A16B-EE259B2BC252}" name="state_id" dataDxfId="29">
      <calculatedColumnFormula>VLOOKUP(Tabla4[[#This Row],[Entidad]],Tabla3[[#All],[name]:[ID_2]],2,FALSE)</calculatedColumnFormula>
    </tableColumn>
    <tableColumn id="22" xr3:uid="{49416656-C4D0-495F-BBEC-F8342A8D8658}" name="center_id" dataDxfId="2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2:L130" totalsRowShown="0" headerRowBorderDxfId="24">
  <autoFilter ref="A2:L130" xr:uid="{EAC00C4E-73F1-4642-8118-20AD61557C35}"/>
  <tableColumns count="12">
    <tableColumn id="11" xr3:uid="{19713AA2-F325-47E1-A12C-4A21FD0E56CB}" name="clave" dataDxfId="2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2"/>
    <tableColumn id="1" xr3:uid="{020B40CA-F4A7-468D-87B2-7AD625927556}" name="Año" dataDxfId="2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20" headerRowBorderDxfId="19" tableBorderDxfId="18" totalsRowBorderDxfId="17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16"/>
    <tableColumn id="7" xr3:uid="{331A649C-88C6-439B-9544-91B76EFFB31D}" name="P1" dataDxfId="15"/>
    <tableColumn id="2" xr3:uid="{0F9E1E44-85C7-46E0-810E-F6CCB4FCD38B}" name="P2" dataDxfId="14"/>
    <tableColumn id="3" xr3:uid="{3C360704-A620-4712-9DFB-D18F18E1FFAA}" name="Agrupación" dataDxfId="13"/>
    <tableColumn id="4" xr3:uid="{B9C9E24E-431A-4E02-BD27-D9E2FED9D866}" name="Sexo" dataDxfId="12"/>
    <tableColumn id="5" xr3:uid="{A5539537-BC8F-4361-A685-E9D9E0D8D391}" name="Entidad" dataDxfId="11"/>
    <tableColumn id="6" xr3:uid="{7CF3C25D-B790-43EE-86CC-A8FE6753FAE7}" name="centros" dataDxfId="10"/>
    <tableColumn id="12" xr3:uid="{F98FBCDE-6892-487E-9494-975576D9AC0F}" name="CLAVE PI" dataDxfId="9">
      <calculatedColumnFormula>Tabla410[[#This Row],[P1]] &amp; "|" &amp; $E$1 &amp; "|" &amp; Tabla410[[#This Row],[Sexo]] &amp; "|" &amp; Tabla410[[#This Row],[Entidad]]</calculatedColumnFormula>
    </tableColumn>
    <tableColumn id="13" xr3:uid="{45D84198-86DD-489A-80EB-6C69661FFB46}" name="CLAVE PS" dataDxfId="8">
      <calculatedColumnFormula>Tabla410[[#This Row],[P2]] &amp; "|" &amp; $E$1 &amp; "|" &amp; Tabla410[[#This Row],[Sexo]] &amp; "|" &amp; Tabla410[[#This Row],[Entidad]]</calculatedColumnFormula>
    </tableColumn>
    <tableColumn id="19" xr3:uid="{1F439AF8-7D30-4309-B5ED-942819B0E864}" name="category_id" dataDxfId="7">
      <calculatedColumnFormula>VLOOKUP($E$1,Tabla5[[#All],[name]:[id_1]],2,FALSE)</calculatedColumnFormula>
    </tableColumn>
    <tableColumn id="17" xr3:uid="{4E0CDD5E-747E-42EB-82D7-D375E8508F69}" name="year_id" dataDxfId="6">
      <calculatedColumnFormula>VLOOKUP($B$1,Tabla6[[#All],[name]:[id_2]],2)</calculatedColumnFormula>
    </tableColumn>
    <tableColumn id="18" xr3:uid="{0F028C54-C26A-4FB1-AD19-C4819ED71F29}" name="gender_id" dataDxfId="5">
      <calculatedColumnFormula>VLOOKUP(Tabla410[[#This Row],[Sexo]],Tabla8[[#All],[name]:[gender_id]],2,FALSE)</calculatedColumnFormula>
    </tableColumn>
    <tableColumn id="22" xr3:uid="{127CB7B9-68C0-4B60-B118-CF52F42DA41C}" name="center_id" dataDxfId="4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3">
      <calculatedColumnFormula>VLOOKUP(Tabla410[[#This Row],[Entidad]],Tabla3[[#All],[name]:[ID_2]],2,FALSE)</calculatedColumnFormula>
    </tableColumn>
    <tableColumn id="8" xr3:uid="{04CA0156-0EBF-49BA-A619-A63810C9E4E0}" name="PI" dataDxfId="2">
      <calculatedColumnFormula>IFERROR(VLOOKUP(Tabla410[[#This Row],[CLAVE PI]], Tabla10[], 10, FALSE), 0)</calculatedColumnFormula>
    </tableColumn>
    <tableColumn id="9" xr3:uid="{9948CB1D-EA2E-464A-9025-644D9051E5F1}" name="PS" dataDxfId="1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C19" sqref="C19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1028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topLeftCell="A13" zoomScale="130" zoomScaleNormal="130" workbookViewId="0">
      <selection activeCell="A2" sqref="A2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E1" sqref="E1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1030</v>
      </c>
      <c r="D1" t="s">
        <v>955</v>
      </c>
    </row>
    <row r="2" spans="1:4" x14ac:dyDescent="0.25">
      <c r="A2">
        <v>1</v>
      </c>
      <c r="B2" t="s">
        <v>1042</v>
      </c>
      <c r="C2">
        <v>1</v>
      </c>
      <c r="D2">
        <v>1</v>
      </c>
    </row>
    <row r="3" spans="1:4" x14ac:dyDescent="0.25">
      <c r="A3">
        <v>2</v>
      </c>
      <c r="B3" t="s">
        <v>1043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22"/>
  <sheetViews>
    <sheetView workbookViewId="0">
      <selection activeCell="D22" sqref="D22"/>
    </sheetView>
  </sheetViews>
  <sheetFormatPr baseColWidth="10" defaultRowHeight="15" x14ac:dyDescent="0.25"/>
  <cols>
    <col min="2" max="2" width="13.7109375" customWidth="1"/>
    <col min="3" max="3" width="47.7109375" customWidth="1"/>
    <col min="4" max="4" width="11.7109375" customWidth="1"/>
  </cols>
  <sheetData>
    <row r="1" spans="1:7" x14ac:dyDescent="0.25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25">
      <c r="A2" s="45">
        <v>1</v>
      </c>
      <c r="C2" s="45" t="s">
        <v>14</v>
      </c>
      <c r="D2">
        <v>1</v>
      </c>
      <c r="G2">
        <v>384</v>
      </c>
    </row>
    <row r="3" spans="1:7" x14ac:dyDescent="0.25">
      <c r="A3" s="45">
        <v>2</v>
      </c>
      <c r="C3" s="45" t="s">
        <v>16</v>
      </c>
      <c r="D3">
        <v>2</v>
      </c>
      <c r="G3">
        <v>378</v>
      </c>
    </row>
    <row r="4" spans="1:7" x14ac:dyDescent="0.25">
      <c r="A4">
        <v>3</v>
      </c>
      <c r="C4" s="45" t="s">
        <v>140</v>
      </c>
      <c r="D4">
        <v>3</v>
      </c>
      <c r="G4">
        <v>192</v>
      </c>
    </row>
    <row r="5" spans="1:7" x14ac:dyDescent="0.25">
      <c r="A5">
        <v>4</v>
      </c>
      <c r="C5" t="s">
        <v>1054</v>
      </c>
      <c r="D5">
        <v>4</v>
      </c>
      <c r="G5">
        <v>378</v>
      </c>
    </row>
    <row r="6" spans="1:7" x14ac:dyDescent="0.25">
      <c r="A6">
        <v>5</v>
      </c>
      <c r="C6" s="45" t="s">
        <v>17</v>
      </c>
      <c r="D6">
        <v>5</v>
      </c>
      <c r="G6">
        <v>320</v>
      </c>
    </row>
    <row r="7" spans="1:7" x14ac:dyDescent="0.25">
      <c r="A7">
        <v>6</v>
      </c>
      <c r="C7" s="45" t="s">
        <v>20</v>
      </c>
      <c r="D7">
        <v>6</v>
      </c>
    </row>
    <row r="8" spans="1:7" x14ac:dyDescent="0.25">
      <c r="A8">
        <v>7</v>
      </c>
      <c r="D8">
        <v>7</v>
      </c>
    </row>
    <row r="9" spans="1:7" x14ac:dyDescent="0.25">
      <c r="A9">
        <v>8</v>
      </c>
      <c r="D9">
        <v>8</v>
      </c>
    </row>
    <row r="10" spans="1:7" x14ac:dyDescent="0.25">
      <c r="A10">
        <v>9</v>
      </c>
      <c r="D10">
        <v>9</v>
      </c>
    </row>
    <row r="11" spans="1:7" x14ac:dyDescent="0.25">
      <c r="A11">
        <v>10</v>
      </c>
      <c r="C11" s="45" t="s">
        <v>123</v>
      </c>
      <c r="D11">
        <v>10</v>
      </c>
    </row>
    <row r="12" spans="1:7" x14ac:dyDescent="0.25">
      <c r="A12">
        <v>11</v>
      </c>
      <c r="D12">
        <v>11</v>
      </c>
    </row>
    <row r="13" spans="1:7" x14ac:dyDescent="0.25">
      <c r="A13">
        <v>12</v>
      </c>
      <c r="D13">
        <v>12</v>
      </c>
    </row>
    <row r="14" spans="1:7" x14ac:dyDescent="0.25">
      <c r="A14">
        <v>13</v>
      </c>
      <c r="D14">
        <v>13</v>
      </c>
    </row>
    <row r="15" spans="1:7" x14ac:dyDescent="0.25">
      <c r="A15">
        <v>14</v>
      </c>
      <c r="D15">
        <v>14</v>
      </c>
    </row>
    <row r="16" spans="1:7" x14ac:dyDescent="0.25">
      <c r="A16">
        <v>15</v>
      </c>
      <c r="D16">
        <v>15</v>
      </c>
    </row>
    <row r="17" spans="1:4" x14ac:dyDescent="0.25">
      <c r="A17">
        <v>16</v>
      </c>
      <c r="D17">
        <v>16</v>
      </c>
    </row>
    <row r="18" spans="1:4" x14ac:dyDescent="0.25">
      <c r="A18">
        <v>17</v>
      </c>
      <c r="D18">
        <v>17</v>
      </c>
    </row>
    <row r="19" spans="1:4" x14ac:dyDescent="0.25">
      <c r="A19">
        <v>63</v>
      </c>
      <c r="C19" s="45" t="s">
        <v>178</v>
      </c>
      <c r="D19">
        <v>63</v>
      </c>
    </row>
    <row r="20" spans="1:4" x14ac:dyDescent="0.25">
      <c r="A20">
        <v>75</v>
      </c>
      <c r="C20" s="45" t="s">
        <v>26</v>
      </c>
      <c r="D20">
        <v>75</v>
      </c>
    </row>
    <row r="21" spans="1:4" x14ac:dyDescent="0.25">
      <c r="A21">
        <v>221</v>
      </c>
      <c r="C21" s="45" t="s">
        <v>73</v>
      </c>
      <c r="D21">
        <v>221</v>
      </c>
    </row>
    <row r="22" spans="1:4" x14ac:dyDescent="0.25">
      <c r="A22">
        <v>77</v>
      </c>
      <c r="C22" s="85" t="s">
        <v>25</v>
      </c>
      <c r="D22">
        <v>77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2" t="s">
        <v>1035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t="s">
        <v>519</v>
      </c>
      <c r="C35" t="s">
        <v>934</v>
      </c>
      <c r="E35">
        <f>LEN(Tabla2[[#This Row],[Centros]])</f>
        <v>50</v>
      </c>
    </row>
    <row r="36" spans="2:5" x14ac:dyDescent="0.25">
      <c r="B36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25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25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t="s">
        <v>528</v>
      </c>
      <c r="C311" t="s">
        <v>530</v>
      </c>
      <c r="E311">
        <f>LEN(Tabla2[[#This Row],[Centros]])</f>
        <v>38</v>
      </c>
    </row>
    <row r="312" spans="2:5" x14ac:dyDescent="0.25">
      <c r="B312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t="s">
        <v>519</v>
      </c>
      <c r="C361" t="s">
        <v>523</v>
      </c>
      <c r="E361">
        <f>LEN(Tabla2[[#This Row],[Centros]])</f>
        <v>15</v>
      </c>
    </row>
    <row r="362" spans="2:5" x14ac:dyDescent="0.25">
      <c r="B362" t="s">
        <v>519</v>
      </c>
      <c r="C362" t="s">
        <v>524</v>
      </c>
      <c r="E362">
        <f>LEN(Tabla2[[#This Row],[Centros]])</f>
        <v>18</v>
      </c>
    </row>
    <row r="363" spans="2:5" x14ac:dyDescent="0.25">
      <c r="B36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t="s">
        <v>519</v>
      </c>
      <c r="C373" t="s">
        <v>527</v>
      </c>
      <c r="E373">
        <f>LEN(Tabla2[[#This Row],[Centros]])</f>
        <v>12</v>
      </c>
    </row>
    <row r="374" spans="2:5" x14ac:dyDescent="0.25">
      <c r="B374" t="s">
        <v>519</v>
      </c>
      <c r="C374" t="s">
        <v>525</v>
      </c>
      <c r="E374">
        <f>LEN(Tabla2[[#This Row],[Centros]])</f>
        <v>12</v>
      </c>
    </row>
    <row r="375" spans="2:5" x14ac:dyDescent="0.25">
      <c r="B375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5" customHeight="1" x14ac:dyDescent="0.25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5" customHeight="1" x14ac:dyDescent="0.25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5" customHeight="1" x14ac:dyDescent="0.25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5" customHeight="1" x14ac:dyDescent="0.25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5" customHeight="1" x14ac:dyDescent="0.25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5" customHeight="1" x14ac:dyDescent="0.25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5" customHeight="1" x14ac:dyDescent="0.25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5" customHeight="1" x14ac:dyDescent="0.25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5" customHeight="1" x14ac:dyDescent="0.25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5" customHeight="1" x14ac:dyDescent="0.25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5" customHeight="1" x14ac:dyDescent="0.25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5" customHeight="1" x14ac:dyDescent="0.25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5" customHeight="1" x14ac:dyDescent="0.25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5" customHeight="1" x14ac:dyDescent="0.25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5" customHeight="1" x14ac:dyDescent="0.25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5" customHeight="1" x14ac:dyDescent="0.25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5" customHeight="1" x14ac:dyDescent="0.25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5" customHeight="1" x14ac:dyDescent="0.25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5" customHeight="1" x14ac:dyDescent="0.25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5" customHeight="1" x14ac:dyDescent="0.25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5" customHeight="1" x14ac:dyDescent="0.25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5" customHeight="1" x14ac:dyDescent="0.25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5" customHeight="1" x14ac:dyDescent="0.25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5" customHeight="1" x14ac:dyDescent="0.25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5" customHeight="1" x14ac:dyDescent="0.25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5" customHeight="1" x14ac:dyDescent="0.25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5" customHeight="1" x14ac:dyDescent="0.25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5" customHeight="1" x14ac:dyDescent="0.25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5" customHeight="1" x14ac:dyDescent="0.25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5" customHeight="1" x14ac:dyDescent="0.25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5" customHeight="1" x14ac:dyDescent="0.25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5" customHeight="1" x14ac:dyDescent="0.25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x14ac:dyDescent="0.25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25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25">
      <c r="B4" t="s">
        <v>443</v>
      </c>
      <c r="C4" t="s">
        <v>14</v>
      </c>
      <c r="E4">
        <f>LEN(Tabla1[[#This Row],[Categorías]])</f>
        <v>6</v>
      </c>
    </row>
    <row r="5" spans="2:5" x14ac:dyDescent="0.25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25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25">
      <c r="B7" t="s">
        <v>443</v>
      </c>
      <c r="C7" t="s">
        <v>15</v>
      </c>
      <c r="E7">
        <f>LEN(Tabla1[[#This Row],[Categorías]])</f>
        <v>18</v>
      </c>
    </row>
    <row r="8" spans="2:5" x14ac:dyDescent="0.25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25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25">
      <c r="B10" t="s">
        <v>443</v>
      </c>
      <c r="C10" t="s">
        <v>16</v>
      </c>
      <c r="E10">
        <f>LEN(Tabla1[[#This Row],[Categorías]])</f>
        <v>18</v>
      </c>
    </row>
    <row r="11" spans="2:5" x14ac:dyDescent="0.25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25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25">
      <c r="B13" t="s">
        <v>443</v>
      </c>
      <c r="C13" t="s">
        <v>17</v>
      </c>
      <c r="E13">
        <f>LEN(Tabla1[[#This Row],[Categorías]])</f>
        <v>12</v>
      </c>
    </row>
    <row r="14" spans="2:5" x14ac:dyDescent="0.25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25">
      <c r="B15" t="s">
        <v>443</v>
      </c>
      <c r="C15" t="s">
        <v>18</v>
      </c>
      <c r="E15">
        <f>LEN(Tabla1[[#This Row],[Categorías]])</f>
        <v>48</v>
      </c>
    </row>
    <row r="16" spans="2:5" x14ac:dyDescent="0.25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25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25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25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25">
      <c r="B20" t="s">
        <v>443</v>
      </c>
      <c r="C20" t="s">
        <v>20</v>
      </c>
      <c r="E20">
        <f>LEN(Tabla1[[#This Row],[Categorías]])</f>
        <v>12</v>
      </c>
    </row>
    <row r="21" spans="2:5" x14ac:dyDescent="0.25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25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25">
      <c r="B23" t="s">
        <v>443</v>
      </c>
      <c r="C23" t="s">
        <v>21</v>
      </c>
      <c r="E23">
        <f>LEN(Tabla1[[#This Row],[Categorías]])</f>
        <v>22</v>
      </c>
    </row>
    <row r="24" spans="2:5" x14ac:dyDescent="0.25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25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25">
      <c r="B26" t="s">
        <v>443</v>
      </c>
      <c r="C26" t="s">
        <v>22</v>
      </c>
      <c r="E26">
        <f>LEN(Tabla1[[#This Row],[Categorías]])</f>
        <v>8</v>
      </c>
    </row>
    <row r="27" spans="2:5" x14ac:dyDescent="0.25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25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25">
      <c r="B29" t="s">
        <v>443</v>
      </c>
      <c r="C29" t="s">
        <v>23</v>
      </c>
      <c r="E29">
        <f>LEN(Tabla1[[#This Row],[Categorías]])</f>
        <v>48</v>
      </c>
    </row>
    <row r="30" spans="2:5" x14ac:dyDescent="0.25">
      <c r="B30" t="s">
        <v>462</v>
      </c>
      <c r="C30" t="s">
        <v>473</v>
      </c>
      <c r="E30">
        <f>LEN(Tabla1[[#This Row],[Categorías]])</f>
        <v>9</v>
      </c>
    </row>
    <row r="31" spans="2:5" x14ac:dyDescent="0.25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25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25">
      <c r="B33" t="s">
        <v>443</v>
      </c>
      <c r="C33" t="s">
        <v>283</v>
      </c>
      <c r="E33">
        <f>LEN(Tabla1[[#This Row],[Categorías]])</f>
        <v>26</v>
      </c>
    </row>
    <row r="34" spans="2:5" x14ac:dyDescent="0.25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25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25">
      <c r="B36" t="s">
        <v>443</v>
      </c>
      <c r="C36" t="s">
        <v>122</v>
      </c>
      <c r="E36">
        <f>LEN(Tabla1[[#This Row],[Categorías]])</f>
        <v>21</v>
      </c>
    </row>
    <row r="37" spans="2:5" x14ac:dyDescent="0.25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25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25">
      <c r="B39" t="s">
        <v>462</v>
      </c>
      <c r="C39" t="s">
        <v>466</v>
      </c>
      <c r="E39">
        <f>LEN(Tabla1[[#This Row],[Categorías]])</f>
        <v>8</v>
      </c>
    </row>
    <row r="40" spans="2:5" x14ac:dyDescent="0.25">
      <c r="B40" t="s">
        <v>462</v>
      </c>
      <c r="C40" t="s">
        <v>474</v>
      </c>
      <c r="E40">
        <f>LEN(Tabla1[[#This Row],[Categorías]])</f>
        <v>9</v>
      </c>
    </row>
    <row r="41" spans="2:5" x14ac:dyDescent="0.25">
      <c r="B41" t="s">
        <v>462</v>
      </c>
      <c r="C41" t="s">
        <v>465</v>
      </c>
      <c r="E41">
        <f>LEN(Tabla1[[#This Row],[Categorías]])</f>
        <v>10</v>
      </c>
    </row>
    <row r="42" spans="2:5" x14ac:dyDescent="0.25">
      <c r="B42" t="s">
        <v>485</v>
      </c>
      <c r="C42" t="s">
        <v>490</v>
      </c>
      <c r="E42">
        <f>LEN(Tabla1[[#This Row],[Categorías]])</f>
        <v>35</v>
      </c>
    </row>
    <row r="43" spans="2:5" x14ac:dyDescent="0.25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25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25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25">
      <c r="B46" t="s">
        <v>443</v>
      </c>
      <c r="C46" t="s">
        <v>265</v>
      </c>
      <c r="E46">
        <f>LEN(Tabla1[[#This Row],[Categorías]])</f>
        <v>112</v>
      </c>
    </row>
    <row r="47" spans="2:5" x14ac:dyDescent="0.25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25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25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25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25">
      <c r="B51" t="s">
        <v>443</v>
      </c>
      <c r="C51" t="s">
        <v>255</v>
      </c>
      <c r="E51">
        <f>LEN(Tabla1[[#This Row],[Categorías]])</f>
        <v>7</v>
      </c>
    </row>
    <row r="52" spans="2:5" x14ac:dyDescent="0.25">
      <c r="B52" t="s">
        <v>462</v>
      </c>
      <c r="C52" t="s">
        <v>475</v>
      </c>
      <c r="E52">
        <f>LEN(Tabla1[[#This Row],[Categorías]])</f>
        <v>10</v>
      </c>
    </row>
    <row r="53" spans="2:5" x14ac:dyDescent="0.25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25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25">
      <c r="B55" t="s">
        <v>443</v>
      </c>
      <c r="C55" t="s">
        <v>264</v>
      </c>
      <c r="E55">
        <f>LEN(Tabla1[[#This Row],[Categorías]])</f>
        <v>103</v>
      </c>
    </row>
    <row r="56" spans="2:5" x14ac:dyDescent="0.25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25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25">
      <c r="B58" t="s">
        <v>443</v>
      </c>
      <c r="C58" t="s">
        <v>295</v>
      </c>
      <c r="E58">
        <f>LEN(Tabla1[[#This Row],[Categorías]])</f>
        <v>22</v>
      </c>
    </row>
    <row r="59" spans="2:5" x14ac:dyDescent="0.25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25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25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25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25">
      <c r="B63" t="s">
        <v>443</v>
      </c>
      <c r="C63" t="s">
        <v>285</v>
      </c>
      <c r="E63">
        <f>LEN(Tabla1[[#This Row],[Categorías]])</f>
        <v>36</v>
      </c>
    </row>
    <row r="64" spans="2:5" x14ac:dyDescent="0.25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25">
      <c r="B65" t="s">
        <v>443</v>
      </c>
      <c r="C65" t="s">
        <v>330</v>
      </c>
      <c r="E65">
        <f>LEN(Tabla1[[#This Row],[Categorías]])</f>
        <v>33</v>
      </c>
    </row>
    <row r="66" spans="2:5" x14ac:dyDescent="0.25">
      <c r="B66" t="s">
        <v>9</v>
      </c>
      <c r="C66" t="s">
        <v>10</v>
      </c>
      <c r="E66">
        <f>LEN(Tabla1[[#This Row],[Categorías]])</f>
        <v>39</v>
      </c>
    </row>
    <row r="67" spans="2:5" x14ac:dyDescent="0.25">
      <c r="B67" t="s">
        <v>9</v>
      </c>
      <c r="C67" t="s">
        <v>11</v>
      </c>
      <c r="E67">
        <f>LEN(Tabla1[[#This Row],[Categorías]])</f>
        <v>16</v>
      </c>
    </row>
    <row r="68" spans="2:5" x14ac:dyDescent="0.25">
      <c r="B68" t="s">
        <v>455</v>
      </c>
      <c r="C68" t="s">
        <v>460</v>
      </c>
      <c r="E68">
        <f>LEN(Tabla1[[#This Row],[Categorías]])</f>
        <v>35</v>
      </c>
    </row>
    <row r="69" spans="2:5" x14ac:dyDescent="0.25">
      <c r="B69" t="s">
        <v>461</v>
      </c>
      <c r="C69" t="s">
        <v>460</v>
      </c>
      <c r="E69">
        <f>LEN(Tabla1[[#This Row],[Categorías]])</f>
        <v>35</v>
      </c>
    </row>
    <row r="70" spans="2:5" x14ac:dyDescent="0.25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25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25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25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25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25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25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25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25">
      <c r="B78" t="s">
        <v>443</v>
      </c>
      <c r="C78" t="s">
        <v>199</v>
      </c>
      <c r="E78">
        <f>LEN(Tabla1[[#This Row],[Categorías]])</f>
        <v>47</v>
      </c>
    </row>
    <row r="79" spans="2:5" x14ac:dyDescent="0.25">
      <c r="B79" t="s">
        <v>443</v>
      </c>
      <c r="C79" t="s">
        <v>444</v>
      </c>
      <c r="E79">
        <f>LEN(Tabla1[[#This Row],[Categorías]])</f>
        <v>44</v>
      </c>
    </row>
    <row r="80" spans="2:5" x14ac:dyDescent="0.25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25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25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25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25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25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25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25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25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25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25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25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25">
      <c r="B92" t="s">
        <v>443</v>
      </c>
      <c r="C92" t="s">
        <v>194</v>
      </c>
      <c r="E92">
        <f>LEN(Tabla1[[#This Row],[Categorías]])</f>
        <v>21</v>
      </c>
    </row>
    <row r="93" spans="2:5" x14ac:dyDescent="0.25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25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25">
      <c r="B95" t="s">
        <v>443</v>
      </c>
      <c r="C95" t="s">
        <v>237</v>
      </c>
      <c r="E95">
        <f>LEN(Tabla1[[#This Row],[Categorías]])</f>
        <v>33</v>
      </c>
    </row>
    <row r="96" spans="2:5" x14ac:dyDescent="0.25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25">
      <c r="B97" t="s">
        <v>443</v>
      </c>
      <c r="C97" t="s">
        <v>393</v>
      </c>
      <c r="E97">
        <f>LEN(Tabla1[[#This Row],[Categorías]])</f>
        <v>31</v>
      </c>
    </row>
    <row r="98" spans="2:5" x14ac:dyDescent="0.25">
      <c r="B98" t="s">
        <v>462</v>
      </c>
      <c r="C98" t="s">
        <v>467</v>
      </c>
      <c r="E98">
        <f>LEN(Tabla1[[#This Row],[Categorías]])</f>
        <v>13</v>
      </c>
    </row>
    <row r="99" spans="2:5" x14ac:dyDescent="0.25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25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25">
      <c r="B101" t="s">
        <v>443</v>
      </c>
      <c r="C101" t="s">
        <v>77</v>
      </c>
      <c r="E101">
        <f>LEN(Tabla1[[#This Row],[Categorías]])</f>
        <v>19</v>
      </c>
    </row>
    <row r="102" spans="2:5" x14ac:dyDescent="0.25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25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25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25">
      <c r="B105" t="s">
        <v>447</v>
      </c>
      <c r="C105" t="s">
        <v>453</v>
      </c>
      <c r="E105">
        <f>LEN(Tabla1[[#This Row],[Categorías]])</f>
        <v>42</v>
      </c>
    </row>
    <row r="106" spans="2:5" x14ac:dyDescent="0.25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25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25">
      <c r="B108" t="s">
        <v>443</v>
      </c>
      <c r="C108" t="s">
        <v>267</v>
      </c>
      <c r="E108">
        <f>LEN(Tabla1[[#This Row],[Categorías]])</f>
        <v>39</v>
      </c>
    </row>
    <row r="109" spans="2:5" x14ac:dyDescent="0.25">
      <c r="B109" t="s">
        <v>462</v>
      </c>
      <c r="C109" t="s">
        <v>480</v>
      </c>
      <c r="E109">
        <f>LEN(Tabla1[[#This Row],[Categorías]])</f>
        <v>22</v>
      </c>
    </row>
    <row r="110" spans="2:5" x14ac:dyDescent="0.25">
      <c r="B110" t="s">
        <v>462</v>
      </c>
      <c r="C110" t="s">
        <v>479</v>
      </c>
      <c r="E110">
        <f>LEN(Tabla1[[#This Row],[Categorías]])</f>
        <v>22</v>
      </c>
    </row>
    <row r="111" spans="2:5" x14ac:dyDescent="0.25">
      <c r="B111" t="s">
        <v>462</v>
      </c>
      <c r="C111" t="s">
        <v>483</v>
      </c>
      <c r="E111">
        <f>LEN(Tabla1[[#This Row],[Categorías]])</f>
        <v>23</v>
      </c>
    </row>
    <row r="112" spans="2:5" x14ac:dyDescent="0.25">
      <c r="B112" t="s">
        <v>462</v>
      </c>
      <c r="C112" t="s">
        <v>481</v>
      </c>
      <c r="E112">
        <f>LEN(Tabla1[[#This Row],[Categorías]])</f>
        <v>24</v>
      </c>
    </row>
    <row r="113" spans="2:5" x14ac:dyDescent="0.25">
      <c r="B113" t="s">
        <v>462</v>
      </c>
      <c r="C113" t="s">
        <v>484</v>
      </c>
      <c r="E113">
        <f>LEN(Tabla1[[#This Row],[Categorías]])</f>
        <v>25</v>
      </c>
    </row>
    <row r="114" spans="2:5" x14ac:dyDescent="0.25">
      <c r="B114" t="s">
        <v>462</v>
      </c>
      <c r="C114" t="s">
        <v>477</v>
      </c>
      <c r="E114">
        <f>LEN(Tabla1[[#This Row],[Categorías]])</f>
        <v>25</v>
      </c>
    </row>
    <row r="115" spans="2:5" x14ac:dyDescent="0.25">
      <c r="B115" t="s">
        <v>462</v>
      </c>
      <c r="C115" t="s">
        <v>478</v>
      </c>
      <c r="E115">
        <f>LEN(Tabla1[[#This Row],[Categorías]])</f>
        <v>21</v>
      </c>
    </row>
    <row r="116" spans="2:5" x14ac:dyDescent="0.25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25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25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25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25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25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25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25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25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25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25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25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25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25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25">
      <c r="B130" t="s">
        <v>443</v>
      </c>
      <c r="C130" t="s">
        <v>83</v>
      </c>
      <c r="E130">
        <f>LEN(Tabla1[[#This Row],[Categorías]])</f>
        <v>89</v>
      </c>
    </row>
    <row r="131" spans="2:5" x14ac:dyDescent="0.25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25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25">
      <c r="B133" t="s">
        <v>443</v>
      </c>
      <c r="C133" t="s">
        <v>206</v>
      </c>
      <c r="E133">
        <f>LEN(Tabla1[[#This Row],[Categorías]])</f>
        <v>71</v>
      </c>
    </row>
    <row r="134" spans="2:5" x14ac:dyDescent="0.25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25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25">
      <c r="B136" t="s">
        <v>443</v>
      </c>
      <c r="C136" t="s">
        <v>89</v>
      </c>
      <c r="E136">
        <f>LEN(Tabla1[[#This Row],[Categorías]])</f>
        <v>71</v>
      </c>
    </row>
    <row r="137" spans="2:5" x14ac:dyDescent="0.25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25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25">
      <c r="B139" t="s">
        <v>443</v>
      </c>
      <c r="C139" t="s">
        <v>88</v>
      </c>
      <c r="E139">
        <f>LEN(Tabla1[[#This Row],[Categorías]])</f>
        <v>115</v>
      </c>
    </row>
    <row r="140" spans="2:5" x14ac:dyDescent="0.25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25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25">
      <c r="B142" t="s">
        <v>443</v>
      </c>
      <c r="C142" t="s">
        <v>87</v>
      </c>
      <c r="E142">
        <f>LEN(Tabla1[[#This Row],[Categorías]])</f>
        <v>66</v>
      </c>
    </row>
    <row r="143" spans="2:5" x14ac:dyDescent="0.25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25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25">
      <c r="B145" t="s">
        <v>443</v>
      </c>
      <c r="C145" t="s">
        <v>85</v>
      </c>
      <c r="E145">
        <f>LEN(Tabla1[[#This Row],[Categorías]])</f>
        <v>76</v>
      </c>
    </row>
    <row r="146" spans="2:5" x14ac:dyDescent="0.25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25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25">
      <c r="B148" t="s">
        <v>443</v>
      </c>
      <c r="C148" t="s">
        <v>84</v>
      </c>
      <c r="E148">
        <f>LEN(Tabla1[[#This Row],[Categorías]])</f>
        <v>91</v>
      </c>
    </row>
    <row r="149" spans="2:5" x14ac:dyDescent="0.25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25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25">
      <c r="B151" t="s">
        <v>443</v>
      </c>
      <c r="C151" t="s">
        <v>86</v>
      </c>
      <c r="E151">
        <f>LEN(Tabla1[[#This Row],[Categorías]])</f>
        <v>70</v>
      </c>
    </row>
    <row r="152" spans="2:5" x14ac:dyDescent="0.25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25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25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25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25">
      <c r="B156" t="s">
        <v>443</v>
      </c>
      <c r="C156" t="s">
        <v>144</v>
      </c>
      <c r="E156">
        <f>LEN(Tabla1[[#This Row],[Categorías]])</f>
        <v>195</v>
      </c>
    </row>
    <row r="157" spans="2:5" x14ac:dyDescent="0.25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25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25">
      <c r="B159" t="s">
        <v>443</v>
      </c>
      <c r="C159" t="s">
        <v>143</v>
      </c>
      <c r="E159">
        <f>LEN(Tabla1[[#This Row],[Categorías]])</f>
        <v>186</v>
      </c>
    </row>
    <row r="160" spans="2:5" x14ac:dyDescent="0.25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25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25">
      <c r="B162" t="s">
        <v>443</v>
      </c>
      <c r="C162" t="s">
        <v>308</v>
      </c>
      <c r="E162">
        <f>LEN(Tabla1[[#This Row],[Categorías]])</f>
        <v>187</v>
      </c>
    </row>
    <row r="163" spans="2:5" x14ac:dyDescent="0.25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25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25">
      <c r="B165" t="s">
        <v>443</v>
      </c>
      <c r="C165" t="s">
        <v>146</v>
      </c>
      <c r="E165">
        <f>LEN(Tabla1[[#This Row],[Categorías]])</f>
        <v>122</v>
      </c>
    </row>
    <row r="166" spans="2:5" x14ac:dyDescent="0.25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25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25">
      <c r="B168" t="s">
        <v>443</v>
      </c>
      <c r="C168" t="s">
        <v>213</v>
      </c>
      <c r="E168">
        <f>LEN(Tabla1[[#This Row],[Categorías]])</f>
        <v>98</v>
      </c>
    </row>
    <row r="169" spans="2:5" x14ac:dyDescent="0.25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25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25">
      <c r="B171" t="s">
        <v>443</v>
      </c>
      <c r="C171" t="s">
        <v>148</v>
      </c>
      <c r="E171">
        <f>LEN(Tabla1[[#This Row],[Categorías]])</f>
        <v>98</v>
      </c>
    </row>
    <row r="172" spans="2:5" x14ac:dyDescent="0.25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25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25">
      <c r="B174" t="s">
        <v>443</v>
      </c>
      <c r="C174" t="s">
        <v>147</v>
      </c>
      <c r="E174">
        <f>LEN(Tabla1[[#This Row],[Categorías]])</f>
        <v>169</v>
      </c>
    </row>
    <row r="175" spans="2:5" x14ac:dyDescent="0.25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25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25">
      <c r="B177" t="s">
        <v>443</v>
      </c>
      <c r="C177" t="s">
        <v>142</v>
      </c>
      <c r="E177">
        <f>LEN(Tabla1[[#This Row],[Categorías]])</f>
        <v>177</v>
      </c>
    </row>
    <row r="178" spans="2:5" x14ac:dyDescent="0.25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25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25">
      <c r="B180" t="s">
        <v>443</v>
      </c>
      <c r="C180" t="s">
        <v>307</v>
      </c>
      <c r="E180">
        <f>LEN(Tabla1[[#This Row],[Categorías]])</f>
        <v>178</v>
      </c>
    </row>
    <row r="181" spans="2:5" x14ac:dyDescent="0.25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25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25">
      <c r="B183" t="s">
        <v>443</v>
      </c>
      <c r="C183" t="s">
        <v>145</v>
      </c>
      <c r="E183">
        <f>LEN(Tabla1[[#This Row],[Categorías]])</f>
        <v>125</v>
      </c>
    </row>
    <row r="184" spans="2:5" x14ac:dyDescent="0.25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25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25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25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25">
      <c r="B188" t="s">
        <v>443</v>
      </c>
      <c r="C188" t="s">
        <v>134</v>
      </c>
      <c r="E188">
        <f>LEN(Tabla1[[#This Row],[Categorías]])</f>
        <v>67</v>
      </c>
    </row>
    <row r="189" spans="2:5" x14ac:dyDescent="0.25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25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25">
      <c r="B191" t="s">
        <v>443</v>
      </c>
      <c r="C191" t="s">
        <v>212</v>
      </c>
      <c r="E191">
        <f>LEN(Tabla1[[#This Row],[Categorías]])</f>
        <v>62</v>
      </c>
    </row>
    <row r="192" spans="2:5" x14ac:dyDescent="0.25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25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25">
      <c r="B194" t="s">
        <v>443</v>
      </c>
      <c r="C194" t="s">
        <v>136</v>
      </c>
      <c r="E194">
        <f>LEN(Tabla1[[#This Row],[Categorías]])</f>
        <v>62</v>
      </c>
    </row>
    <row r="195" spans="2:5" x14ac:dyDescent="0.25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25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25">
      <c r="B197" t="s">
        <v>443</v>
      </c>
      <c r="C197" t="s">
        <v>135</v>
      </c>
      <c r="E197">
        <f>LEN(Tabla1[[#This Row],[Categorías]])</f>
        <v>97</v>
      </c>
    </row>
    <row r="198" spans="2:5" x14ac:dyDescent="0.25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25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25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25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25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25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25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25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25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25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25">
      <c r="B208" t="s">
        <v>443</v>
      </c>
      <c r="C208" t="s">
        <v>156</v>
      </c>
      <c r="E208">
        <f>LEN(Tabla1[[#This Row],[Categorías]])</f>
        <v>54</v>
      </c>
    </row>
    <row r="209" spans="2:5" x14ac:dyDescent="0.25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25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25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25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25">
      <c r="B213" t="s">
        <v>443</v>
      </c>
      <c r="C213" t="s">
        <v>101</v>
      </c>
      <c r="E213">
        <f>LEN(Tabla1[[#This Row],[Categorías]])</f>
        <v>108</v>
      </c>
    </row>
    <row r="214" spans="2:5" x14ac:dyDescent="0.25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25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25">
      <c r="B216" t="s">
        <v>443</v>
      </c>
      <c r="C216" t="s">
        <v>312</v>
      </c>
      <c r="E216">
        <f>LEN(Tabla1[[#This Row],[Categorías]])</f>
        <v>109</v>
      </c>
    </row>
    <row r="217" spans="2:5" x14ac:dyDescent="0.25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25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25">
      <c r="B219" t="s">
        <v>443</v>
      </c>
      <c r="C219" t="s">
        <v>208</v>
      </c>
      <c r="E219">
        <f>LEN(Tabla1[[#This Row],[Categorías]])</f>
        <v>101</v>
      </c>
    </row>
    <row r="220" spans="2:5" x14ac:dyDescent="0.25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25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25">
      <c r="B222" t="s">
        <v>443</v>
      </c>
      <c r="C222" t="s">
        <v>104</v>
      </c>
      <c r="E222">
        <f>LEN(Tabla1[[#This Row],[Categorías]])</f>
        <v>101</v>
      </c>
    </row>
    <row r="223" spans="2:5" x14ac:dyDescent="0.25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25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25">
      <c r="B225" t="s">
        <v>443</v>
      </c>
      <c r="C225" t="s">
        <v>248</v>
      </c>
      <c r="E225">
        <f>LEN(Tabla1[[#This Row],[Categorías]])</f>
        <v>91</v>
      </c>
    </row>
    <row r="226" spans="2:5" x14ac:dyDescent="0.25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25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25">
      <c r="B228" t="s">
        <v>443</v>
      </c>
      <c r="C228" t="s">
        <v>103</v>
      </c>
      <c r="E228">
        <f>LEN(Tabla1[[#This Row],[Categorías]])</f>
        <v>175</v>
      </c>
    </row>
    <row r="229" spans="2:5" x14ac:dyDescent="0.25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25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25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25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25">
      <c r="B233" t="s">
        <v>443</v>
      </c>
      <c r="C233" t="s">
        <v>100</v>
      </c>
      <c r="E233">
        <f>LEN(Tabla1[[#This Row],[Categorías]])</f>
        <v>143</v>
      </c>
    </row>
    <row r="234" spans="2:5" x14ac:dyDescent="0.25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25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25">
      <c r="B236" t="s">
        <v>443</v>
      </c>
      <c r="C236" t="s">
        <v>99</v>
      </c>
      <c r="E236">
        <f>LEN(Tabla1[[#This Row],[Categorías]])</f>
        <v>115</v>
      </c>
    </row>
    <row r="237" spans="2:5" x14ac:dyDescent="0.25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25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25">
      <c r="B239" t="s">
        <v>443</v>
      </c>
      <c r="C239" t="s">
        <v>102</v>
      </c>
      <c r="E239">
        <f>LEN(Tabla1[[#This Row],[Categorías]])</f>
        <v>110</v>
      </c>
    </row>
    <row r="240" spans="2:5" x14ac:dyDescent="0.25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25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25">
      <c r="B242" t="s">
        <v>443</v>
      </c>
      <c r="C242" t="s">
        <v>306</v>
      </c>
      <c r="E242">
        <f>LEN(Tabla1[[#This Row],[Categorías]])</f>
        <v>111</v>
      </c>
    </row>
    <row r="243" spans="2:5" x14ac:dyDescent="0.25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25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25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25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25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25">
      <c r="B248" t="s">
        <v>443</v>
      </c>
      <c r="C248" t="s">
        <v>161</v>
      </c>
      <c r="E248">
        <f>LEN(Tabla1[[#This Row],[Categorías]])</f>
        <v>127</v>
      </c>
    </row>
    <row r="249" spans="2:5" x14ac:dyDescent="0.25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25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25">
      <c r="B251" t="s">
        <v>443</v>
      </c>
      <c r="C251" t="s">
        <v>162</v>
      </c>
      <c r="E251">
        <f>LEN(Tabla1[[#This Row],[Categorías]])</f>
        <v>105</v>
      </c>
    </row>
    <row r="252" spans="2:5" x14ac:dyDescent="0.25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25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25">
      <c r="B254" t="s">
        <v>443</v>
      </c>
      <c r="C254" t="s">
        <v>163</v>
      </c>
      <c r="E254">
        <f>LEN(Tabla1[[#This Row],[Categorías]])</f>
        <v>150</v>
      </c>
    </row>
    <row r="255" spans="2:5" x14ac:dyDescent="0.25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25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25">
      <c r="B257" t="s">
        <v>443</v>
      </c>
      <c r="C257" t="s">
        <v>215</v>
      </c>
      <c r="E257">
        <f>LEN(Tabla1[[#This Row],[Categorías]])</f>
        <v>94</v>
      </c>
    </row>
    <row r="258" spans="2:5" x14ac:dyDescent="0.25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25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25">
      <c r="B260" t="s">
        <v>443</v>
      </c>
      <c r="C260" t="s">
        <v>165</v>
      </c>
      <c r="E260">
        <f>LEN(Tabla1[[#This Row],[Categorías]])</f>
        <v>94</v>
      </c>
    </row>
    <row r="261" spans="2:5" x14ac:dyDescent="0.25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25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25">
      <c r="B263" t="s">
        <v>443</v>
      </c>
      <c r="C263" t="s">
        <v>164</v>
      </c>
      <c r="E263">
        <f>LEN(Tabla1[[#This Row],[Categorías]])</f>
        <v>161</v>
      </c>
    </row>
    <row r="264" spans="2:5" x14ac:dyDescent="0.25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25">
      <c r="B265" t="s">
        <v>443</v>
      </c>
      <c r="C265" t="s">
        <v>377</v>
      </c>
      <c r="E265">
        <f>LEN(Tabla1[[#This Row],[Categorías]])</f>
        <v>68</v>
      </c>
    </row>
    <row r="266" spans="2:5" x14ac:dyDescent="0.25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25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25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25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25">
      <c r="B270" t="s">
        <v>443</v>
      </c>
      <c r="C270" t="s">
        <v>115</v>
      </c>
      <c r="E270">
        <f>LEN(Tabla1[[#This Row],[Categorías]])</f>
        <v>34</v>
      </c>
    </row>
    <row r="271" spans="2:5" x14ac:dyDescent="0.25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25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25">
      <c r="B273" t="s">
        <v>443</v>
      </c>
      <c r="C273" t="s">
        <v>138</v>
      </c>
      <c r="E273">
        <f>LEN(Tabla1[[#This Row],[Categorías]])</f>
        <v>19</v>
      </c>
    </row>
    <row r="274" spans="2:5" x14ac:dyDescent="0.25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25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25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25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25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25">
      <c r="B279" t="s">
        <v>443</v>
      </c>
      <c r="C279" t="s">
        <v>378</v>
      </c>
      <c r="E279">
        <f>LEN(Tabla1[[#This Row],[Categorías]])</f>
        <v>80</v>
      </c>
    </row>
    <row r="280" spans="2:5" x14ac:dyDescent="0.25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25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25">
      <c r="B282" t="s">
        <v>443</v>
      </c>
      <c r="C282" t="s">
        <v>114</v>
      </c>
      <c r="E282">
        <f>LEN(Tabla1[[#This Row],[Categorías]])</f>
        <v>48</v>
      </c>
    </row>
    <row r="283" spans="2:5" x14ac:dyDescent="0.25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25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25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25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25">
      <c r="B287" t="s">
        <v>443</v>
      </c>
      <c r="C287" t="s">
        <v>118</v>
      </c>
      <c r="E287">
        <f>LEN(Tabla1[[#This Row],[Categorías]])</f>
        <v>97</v>
      </c>
    </row>
    <row r="288" spans="2:5" x14ac:dyDescent="0.25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25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25">
      <c r="B290" t="s">
        <v>443</v>
      </c>
      <c r="C290" t="s">
        <v>210</v>
      </c>
      <c r="E290">
        <f>LEN(Tabla1[[#This Row],[Categorías]])</f>
        <v>89</v>
      </c>
    </row>
    <row r="291" spans="2:5" x14ac:dyDescent="0.25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25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25">
      <c r="B293" t="s">
        <v>443</v>
      </c>
      <c r="C293" t="s">
        <v>121</v>
      </c>
      <c r="E293">
        <f>LEN(Tabla1[[#This Row],[Categorías]])</f>
        <v>89</v>
      </c>
    </row>
    <row r="294" spans="2:5" x14ac:dyDescent="0.25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25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25">
      <c r="B296" t="s">
        <v>443</v>
      </c>
      <c r="C296" t="s">
        <v>120</v>
      </c>
      <c r="E296">
        <f>LEN(Tabla1[[#This Row],[Categorías]])</f>
        <v>151</v>
      </c>
    </row>
    <row r="297" spans="2:5" x14ac:dyDescent="0.25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25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25">
      <c r="B299" t="s">
        <v>443</v>
      </c>
      <c r="C299" t="s">
        <v>116</v>
      </c>
      <c r="E299">
        <f>LEN(Tabla1[[#This Row],[Categorías]])</f>
        <v>100</v>
      </c>
    </row>
    <row r="300" spans="2:5" x14ac:dyDescent="0.25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25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25">
      <c r="B302" t="s">
        <v>443</v>
      </c>
      <c r="C302" t="s">
        <v>117</v>
      </c>
      <c r="E302">
        <f>LEN(Tabla1[[#This Row],[Categorías]])</f>
        <v>123</v>
      </c>
    </row>
    <row r="303" spans="2:5" x14ac:dyDescent="0.25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25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25">
      <c r="B305" t="s">
        <v>443</v>
      </c>
      <c r="C305" t="s">
        <v>119</v>
      </c>
      <c r="E305">
        <f>LEN(Tabla1[[#This Row],[Categorías]])</f>
        <v>142</v>
      </c>
    </row>
    <row r="306" spans="2:5" x14ac:dyDescent="0.25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25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25">
      <c r="B308" t="s">
        <v>443</v>
      </c>
      <c r="C308" t="s">
        <v>153</v>
      </c>
      <c r="E308">
        <f>LEN(Tabla1[[#This Row],[Categorías]])</f>
        <v>39</v>
      </c>
    </row>
    <row r="309" spans="2:5" x14ac:dyDescent="0.25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25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25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25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25">
      <c r="B313" t="s">
        <v>443</v>
      </c>
      <c r="C313" t="s">
        <v>69</v>
      </c>
      <c r="E313">
        <f>LEN(Tabla1[[#This Row],[Categorías]])</f>
        <v>102</v>
      </c>
    </row>
    <row r="314" spans="2:5" x14ac:dyDescent="0.25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25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25">
      <c r="B316" t="s">
        <v>443</v>
      </c>
      <c r="C316" t="s">
        <v>204</v>
      </c>
      <c r="E316">
        <f>LEN(Tabla1[[#This Row],[Categorías]])</f>
        <v>69</v>
      </c>
    </row>
    <row r="317" spans="2:5" x14ac:dyDescent="0.25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25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25">
      <c r="B319" t="s">
        <v>443</v>
      </c>
      <c r="C319" t="s">
        <v>72</v>
      </c>
      <c r="E319">
        <f>LEN(Tabla1[[#This Row],[Categorías]])</f>
        <v>69</v>
      </c>
    </row>
    <row r="320" spans="2:5" x14ac:dyDescent="0.25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25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25">
      <c r="B322" t="s">
        <v>443</v>
      </c>
      <c r="C322" t="s">
        <v>71</v>
      </c>
      <c r="E322">
        <f>LEN(Tabla1[[#This Row],[Categorías]])</f>
        <v>111</v>
      </c>
    </row>
    <row r="323" spans="2:5" x14ac:dyDescent="0.25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25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25">
      <c r="B325" t="s">
        <v>443</v>
      </c>
      <c r="C325" t="s">
        <v>70</v>
      </c>
      <c r="E325">
        <f>LEN(Tabla1[[#This Row],[Categorías]])</f>
        <v>103</v>
      </c>
    </row>
    <row r="326" spans="2:5" x14ac:dyDescent="0.25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25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25">
      <c r="B328" t="s">
        <v>443</v>
      </c>
      <c r="C328" t="s">
        <v>68</v>
      </c>
      <c r="E328">
        <f>LEN(Tabla1[[#This Row],[Categorías]])</f>
        <v>98</v>
      </c>
    </row>
    <row r="329" spans="2:5" x14ac:dyDescent="0.25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25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25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25">
      <c r="B332" t="s">
        <v>443</v>
      </c>
      <c r="C332" t="s">
        <v>154</v>
      </c>
      <c r="E332">
        <f>LEN(Tabla1[[#This Row],[Categorías]])</f>
        <v>76</v>
      </c>
    </row>
    <row r="333" spans="2:5" x14ac:dyDescent="0.25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25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25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25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25">
      <c r="B337" t="s">
        <v>443</v>
      </c>
      <c r="C337" t="s">
        <v>214</v>
      </c>
      <c r="E337">
        <f>LEN(Tabla1[[#This Row],[Categorías]])</f>
        <v>49</v>
      </c>
    </row>
    <row r="338" spans="2:5" x14ac:dyDescent="0.25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25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25">
      <c r="B340" t="s">
        <v>443</v>
      </c>
      <c r="C340" t="s">
        <v>152</v>
      </c>
      <c r="E340">
        <f>LEN(Tabla1[[#This Row],[Categorías]])</f>
        <v>49</v>
      </c>
    </row>
    <row r="341" spans="2:5" x14ac:dyDescent="0.25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25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25">
      <c r="B343" t="s">
        <v>443</v>
      </c>
      <c r="C343" t="s">
        <v>151</v>
      </c>
      <c r="E343">
        <f>LEN(Tabla1[[#This Row],[Categorías]])</f>
        <v>71</v>
      </c>
    </row>
    <row r="344" spans="2:5" x14ac:dyDescent="0.25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25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25">
      <c r="B346" t="s">
        <v>443</v>
      </c>
      <c r="C346" t="s">
        <v>150</v>
      </c>
      <c r="E346">
        <f>LEN(Tabla1[[#This Row],[Categorías]])</f>
        <v>59</v>
      </c>
    </row>
    <row r="347" spans="2:5" x14ac:dyDescent="0.25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25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25">
      <c r="B349" t="s">
        <v>443</v>
      </c>
      <c r="C349" t="s">
        <v>155</v>
      </c>
      <c r="E349">
        <f>LEN(Tabla1[[#This Row],[Categorías]])</f>
        <v>42</v>
      </c>
    </row>
    <row r="350" spans="2:5" x14ac:dyDescent="0.25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25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25">
      <c r="B352" t="s">
        <v>443</v>
      </c>
      <c r="C352" t="s">
        <v>149</v>
      </c>
      <c r="E352">
        <f>LEN(Tabla1[[#This Row],[Categorías]])</f>
        <v>60</v>
      </c>
    </row>
    <row r="353" spans="2:5" x14ac:dyDescent="0.25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25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25">
      <c r="B355" t="s">
        <v>443</v>
      </c>
      <c r="C355" t="s">
        <v>137</v>
      </c>
      <c r="E355">
        <f>LEN(Tabla1[[#This Row],[Categorías]])</f>
        <v>25</v>
      </c>
    </row>
    <row r="356" spans="2:5" x14ac:dyDescent="0.25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25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25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25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25">
      <c r="B360" t="s">
        <v>443</v>
      </c>
      <c r="C360" t="s">
        <v>108</v>
      </c>
      <c r="E360">
        <f>LEN(Tabla1[[#This Row],[Categorías]])</f>
        <v>86</v>
      </c>
    </row>
    <row r="361" spans="2:5" x14ac:dyDescent="0.25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25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25">
      <c r="B363" t="s">
        <v>443</v>
      </c>
      <c r="C363" t="s">
        <v>209</v>
      </c>
      <c r="E363">
        <f>LEN(Tabla1[[#This Row],[Categorías]])</f>
        <v>79</v>
      </c>
    </row>
    <row r="364" spans="2:5" x14ac:dyDescent="0.25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25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25">
      <c r="B366" t="s">
        <v>443</v>
      </c>
      <c r="C366" t="s">
        <v>112</v>
      </c>
      <c r="E366">
        <f>LEN(Tabla1[[#This Row],[Categorías]])</f>
        <v>79</v>
      </c>
    </row>
    <row r="367" spans="2:5" x14ac:dyDescent="0.25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25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25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25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25">
      <c r="B371" t="s">
        <v>443</v>
      </c>
      <c r="C371" t="s">
        <v>111</v>
      </c>
      <c r="E371">
        <f>LEN(Tabla1[[#This Row],[Categorías]])</f>
        <v>131</v>
      </c>
    </row>
    <row r="372" spans="2:5" x14ac:dyDescent="0.25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25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25">
      <c r="B374" t="s">
        <v>443</v>
      </c>
      <c r="C374" t="s">
        <v>110</v>
      </c>
      <c r="E374">
        <f>LEN(Tabla1[[#This Row],[Categorías]])</f>
        <v>86</v>
      </c>
    </row>
    <row r="375" spans="2:5" x14ac:dyDescent="0.25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25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25">
      <c r="B377" t="s">
        <v>443</v>
      </c>
      <c r="C377" t="s">
        <v>105</v>
      </c>
      <c r="E377">
        <f>LEN(Tabla1[[#This Row],[Categorías]])</f>
        <v>88</v>
      </c>
    </row>
    <row r="378" spans="2:5" x14ac:dyDescent="0.25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25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25">
      <c r="B380" t="s">
        <v>443</v>
      </c>
      <c r="C380" t="s">
        <v>109</v>
      </c>
      <c r="E380">
        <f>LEN(Tabla1[[#This Row],[Categorías]])</f>
        <v>88</v>
      </c>
    </row>
    <row r="381" spans="2:5" x14ac:dyDescent="0.25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25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25">
      <c r="B383" t="s">
        <v>443</v>
      </c>
      <c r="C383" t="s">
        <v>107</v>
      </c>
      <c r="E383">
        <f>LEN(Tabla1[[#This Row],[Categorías]])</f>
        <v>85</v>
      </c>
    </row>
    <row r="384" spans="2:5" x14ac:dyDescent="0.25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25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25">
      <c r="B386" t="s">
        <v>443</v>
      </c>
      <c r="C386" t="s">
        <v>106</v>
      </c>
      <c r="E386">
        <f>LEN(Tabla1[[#This Row],[Categorías]])</f>
        <v>88</v>
      </c>
    </row>
    <row r="387" spans="2:5" x14ac:dyDescent="0.25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25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25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25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25">
      <c r="B391" t="s">
        <v>443</v>
      </c>
      <c r="C391" t="s">
        <v>126</v>
      </c>
      <c r="E391">
        <f>LEN(Tabla1[[#This Row],[Categorías]])</f>
        <v>53</v>
      </c>
    </row>
    <row r="392" spans="2:5" x14ac:dyDescent="0.25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25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25">
      <c r="B394" t="s">
        <v>443</v>
      </c>
      <c r="C394" t="s">
        <v>127</v>
      </c>
      <c r="E394">
        <f>LEN(Tabla1[[#This Row],[Categorías]])</f>
        <v>42</v>
      </c>
    </row>
    <row r="395" spans="2:5" x14ac:dyDescent="0.25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25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25">
      <c r="B397" t="s">
        <v>443</v>
      </c>
      <c r="C397" t="s">
        <v>130</v>
      </c>
      <c r="E397">
        <f>LEN(Tabla1[[#This Row],[Categorías]])</f>
        <v>65</v>
      </c>
    </row>
    <row r="398" spans="2:5" x14ac:dyDescent="0.25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25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25">
      <c r="B400" t="s">
        <v>443</v>
      </c>
      <c r="C400" t="s">
        <v>125</v>
      </c>
      <c r="E400">
        <f>LEN(Tabla1[[#This Row],[Categorías]])</f>
        <v>74</v>
      </c>
    </row>
    <row r="401" spans="2:5" x14ac:dyDescent="0.25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25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25">
      <c r="B403" t="s">
        <v>443</v>
      </c>
      <c r="C403" t="s">
        <v>129</v>
      </c>
      <c r="E403">
        <f>LEN(Tabla1[[#This Row],[Categorías]])</f>
        <v>58</v>
      </c>
    </row>
    <row r="404" spans="2:5" x14ac:dyDescent="0.25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25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25">
      <c r="B406" t="s">
        <v>443</v>
      </c>
      <c r="C406" t="s">
        <v>211</v>
      </c>
      <c r="E406">
        <f>LEN(Tabla1[[#This Row],[Categorías]])</f>
        <v>50</v>
      </c>
    </row>
    <row r="407" spans="2:5" x14ac:dyDescent="0.25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25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25">
      <c r="B409" t="s">
        <v>443</v>
      </c>
      <c r="C409" t="s">
        <v>133</v>
      </c>
      <c r="E409">
        <f>LEN(Tabla1[[#This Row],[Categorías]])</f>
        <v>50</v>
      </c>
    </row>
    <row r="410" spans="2:5" x14ac:dyDescent="0.25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25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25">
      <c r="B412" t="s">
        <v>443</v>
      </c>
      <c r="C412" t="s">
        <v>132</v>
      </c>
      <c r="E412">
        <f>LEN(Tabla1[[#This Row],[Categorías]])</f>
        <v>73</v>
      </c>
    </row>
    <row r="413" spans="2:5" x14ac:dyDescent="0.25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25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25">
      <c r="B415" t="s">
        <v>443</v>
      </c>
      <c r="C415" t="s">
        <v>128</v>
      </c>
      <c r="E415">
        <f>LEN(Tabla1[[#This Row],[Categorías]])</f>
        <v>43</v>
      </c>
    </row>
    <row r="416" spans="2:5" x14ac:dyDescent="0.25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25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25">
      <c r="B418" t="s">
        <v>443</v>
      </c>
      <c r="C418" t="s">
        <v>131</v>
      </c>
      <c r="E418">
        <f>LEN(Tabla1[[#This Row],[Categorías]])</f>
        <v>57</v>
      </c>
    </row>
    <row r="419" spans="2:5" x14ac:dyDescent="0.25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25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25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25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25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25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25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25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25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25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25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25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25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25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25">
      <c r="B433" t="s">
        <v>443</v>
      </c>
      <c r="C433" t="s">
        <v>349</v>
      </c>
      <c r="E433">
        <f>LEN(Tabla1[[#This Row],[Categorías]])</f>
        <v>20</v>
      </c>
    </row>
    <row r="434" spans="2:5" x14ac:dyDescent="0.25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25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25">
      <c r="B436" t="s">
        <v>443</v>
      </c>
      <c r="C436" t="s">
        <v>33</v>
      </c>
      <c r="E436">
        <f>LEN(Tabla1[[#This Row],[Categorías]])</f>
        <v>32</v>
      </c>
    </row>
    <row r="437" spans="2:5" x14ac:dyDescent="0.25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25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25">
      <c r="B439" t="s">
        <v>443</v>
      </c>
      <c r="C439" t="s">
        <v>78</v>
      </c>
      <c r="E439">
        <f>LEN(Tabla1[[#This Row],[Categorías]])</f>
        <v>7</v>
      </c>
    </row>
    <row r="440" spans="2:5" x14ac:dyDescent="0.25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25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25">
      <c r="B442" t="s">
        <v>443</v>
      </c>
      <c r="C442" t="s">
        <v>96</v>
      </c>
      <c r="E442">
        <f>LEN(Tabla1[[#This Row],[Categorías]])</f>
        <v>14</v>
      </c>
    </row>
    <row r="443" spans="2:5" x14ac:dyDescent="0.25">
      <c r="B443" t="s">
        <v>485</v>
      </c>
      <c r="C443" t="s">
        <v>493</v>
      </c>
      <c r="E443">
        <f>LEN(Tabla1[[#This Row],[Categorías]])</f>
        <v>9</v>
      </c>
    </row>
    <row r="444" spans="2:5" x14ac:dyDescent="0.25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25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25">
      <c r="B446" t="s">
        <v>443</v>
      </c>
      <c r="C446" t="s">
        <v>258</v>
      </c>
      <c r="E446">
        <f>LEN(Tabla1[[#This Row],[Categorías]])</f>
        <v>30</v>
      </c>
    </row>
    <row r="447" spans="2:5" x14ac:dyDescent="0.25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25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25">
      <c r="B449" t="s">
        <v>443</v>
      </c>
      <c r="C449" t="s">
        <v>254</v>
      </c>
      <c r="E449">
        <f>LEN(Tabla1[[#This Row],[Categorías]])</f>
        <v>39</v>
      </c>
    </row>
    <row r="450" spans="2:5" x14ac:dyDescent="0.25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25">
      <c r="B451" t="s">
        <v>443</v>
      </c>
      <c r="C451" t="s">
        <v>350</v>
      </c>
      <c r="E451">
        <f>LEN(Tabla1[[#This Row],[Categorías]])</f>
        <v>11</v>
      </c>
    </row>
    <row r="452" spans="2:5" x14ac:dyDescent="0.25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25">
      <c r="B453" t="s">
        <v>455</v>
      </c>
      <c r="C453" t="s">
        <v>457</v>
      </c>
      <c r="E453">
        <f>LEN(Tabla1[[#This Row],[Categorías]])</f>
        <v>11</v>
      </c>
    </row>
    <row r="454" spans="2:5" x14ac:dyDescent="0.25">
      <c r="B454" t="s">
        <v>461</v>
      </c>
      <c r="C454" t="s">
        <v>457</v>
      </c>
      <c r="E454">
        <f>LEN(Tabla1[[#This Row],[Categorías]])</f>
        <v>11</v>
      </c>
    </row>
    <row r="455" spans="2:5" x14ac:dyDescent="0.25">
      <c r="B455" t="s">
        <v>455</v>
      </c>
      <c r="C455" t="s">
        <v>459</v>
      </c>
      <c r="E455">
        <f>LEN(Tabla1[[#This Row],[Categorías]])</f>
        <v>39</v>
      </c>
    </row>
    <row r="456" spans="2:5" x14ac:dyDescent="0.25">
      <c r="B456" t="s">
        <v>461</v>
      </c>
      <c r="C456" t="s">
        <v>459</v>
      </c>
      <c r="E456">
        <f>LEN(Tabla1[[#This Row],[Categorías]])</f>
        <v>39</v>
      </c>
    </row>
    <row r="457" spans="2:5" x14ac:dyDescent="0.25">
      <c r="B457" t="s">
        <v>455</v>
      </c>
      <c r="C457" t="s">
        <v>456</v>
      </c>
      <c r="E457">
        <f>LEN(Tabla1[[#This Row],[Categorías]])</f>
        <v>39</v>
      </c>
    </row>
    <row r="458" spans="2:5" x14ac:dyDescent="0.25">
      <c r="B458" t="s">
        <v>461</v>
      </c>
      <c r="C458" t="s">
        <v>456</v>
      </c>
      <c r="E458">
        <f>LEN(Tabla1[[#This Row],[Categorías]])</f>
        <v>39</v>
      </c>
    </row>
    <row r="459" spans="2:5" x14ac:dyDescent="0.25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25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25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25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25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25">
      <c r="B464" t="s">
        <v>455</v>
      </c>
      <c r="C464" t="s">
        <v>458</v>
      </c>
      <c r="E464">
        <f>LEN(Tabla1[[#This Row],[Categorías]])</f>
        <v>24</v>
      </c>
    </row>
    <row r="465" spans="2:5" x14ac:dyDescent="0.25">
      <c r="B465" t="s">
        <v>461</v>
      </c>
      <c r="C465" t="s">
        <v>458</v>
      </c>
      <c r="E465">
        <f>LEN(Tabla1[[#This Row],[Categorías]])</f>
        <v>24</v>
      </c>
    </row>
    <row r="466" spans="2:5" x14ac:dyDescent="0.25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25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25">
      <c r="B468" t="s">
        <v>443</v>
      </c>
      <c r="C468" t="s">
        <v>157</v>
      </c>
      <c r="E468">
        <f>LEN(Tabla1[[#This Row],[Categorías]])</f>
        <v>13</v>
      </c>
    </row>
    <row r="469" spans="2:5" x14ac:dyDescent="0.25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25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25">
      <c r="B471" t="s">
        <v>443</v>
      </c>
      <c r="C471" t="s">
        <v>309</v>
      </c>
      <c r="E471">
        <f>LEN(Tabla1[[#This Row],[Categorías]])</f>
        <v>14</v>
      </c>
    </row>
    <row r="472" spans="2:5" x14ac:dyDescent="0.25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25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25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25">
      <c r="B475" t="s">
        <v>462</v>
      </c>
      <c r="C475" t="s">
        <v>464</v>
      </c>
      <c r="E475">
        <f>LEN(Tabla1[[#This Row],[Categorías]])</f>
        <v>14</v>
      </c>
    </row>
    <row r="476" spans="2:5" x14ac:dyDescent="0.25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25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25">
      <c r="B478" t="s">
        <v>443</v>
      </c>
      <c r="C478" t="s">
        <v>47</v>
      </c>
      <c r="E478">
        <f>LEN(Tabla1[[#This Row],[Categorías]])</f>
        <v>7</v>
      </c>
    </row>
    <row r="479" spans="2:5" x14ac:dyDescent="0.25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25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25">
      <c r="B481" t="s">
        <v>443</v>
      </c>
      <c r="C481" t="s">
        <v>113</v>
      </c>
      <c r="E481">
        <f>LEN(Tabla1[[#This Row],[Categorías]])</f>
        <v>17</v>
      </c>
    </row>
    <row r="482" spans="2:5" x14ac:dyDescent="0.25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25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25">
      <c r="B484" t="s">
        <v>443</v>
      </c>
      <c r="C484" t="s">
        <v>178</v>
      </c>
      <c r="E484">
        <f>LEN(Tabla1[[#This Row],[Categorías]])</f>
        <v>9</v>
      </c>
    </row>
    <row r="485" spans="2:5" x14ac:dyDescent="0.25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25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25">
      <c r="B487" t="s">
        <v>443</v>
      </c>
      <c r="C487" t="s">
        <v>74</v>
      </c>
      <c r="E487">
        <f>LEN(Tabla1[[#This Row],[Categorías]])</f>
        <v>102</v>
      </c>
    </row>
    <row r="488" spans="2:5" x14ac:dyDescent="0.25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25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25">
      <c r="B490" t="s">
        <v>443</v>
      </c>
      <c r="C490" t="s">
        <v>205</v>
      </c>
      <c r="E490">
        <f>LEN(Tabla1[[#This Row],[Categorías]])</f>
        <v>27</v>
      </c>
    </row>
    <row r="491" spans="2:5" x14ac:dyDescent="0.25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25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25">
      <c r="B493" t="s">
        <v>443</v>
      </c>
      <c r="C493" t="s">
        <v>76</v>
      </c>
      <c r="E493">
        <f>LEN(Tabla1[[#This Row],[Categorías]])</f>
        <v>27</v>
      </c>
    </row>
    <row r="494" spans="2:5" x14ac:dyDescent="0.25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25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25">
      <c r="B496" t="s">
        <v>443</v>
      </c>
      <c r="C496" t="s">
        <v>75</v>
      </c>
      <c r="E496">
        <f>LEN(Tabla1[[#This Row],[Categorías]])</f>
        <v>34</v>
      </c>
    </row>
    <row r="497" spans="2:5" x14ac:dyDescent="0.25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25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25">
      <c r="B499" t="s">
        <v>443</v>
      </c>
      <c r="C499" t="s">
        <v>235</v>
      </c>
      <c r="E499">
        <f>LEN(Tabla1[[#This Row],[Categorías]])</f>
        <v>90</v>
      </c>
    </row>
    <row r="500" spans="2:5" x14ac:dyDescent="0.25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25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25">
      <c r="B502" t="s">
        <v>443</v>
      </c>
      <c r="C502" t="s">
        <v>140</v>
      </c>
      <c r="E502">
        <f>LEN(Tabla1[[#This Row],[Categorías]])</f>
        <v>8</v>
      </c>
    </row>
    <row r="503" spans="2:5" x14ac:dyDescent="0.25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25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25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25">
      <c r="B506" t="s">
        <v>443</v>
      </c>
      <c r="C506" t="s">
        <v>141</v>
      </c>
      <c r="E506">
        <f>LEN(Tabla1[[#This Row],[Categorías]])</f>
        <v>13</v>
      </c>
    </row>
    <row r="507" spans="2:5" x14ac:dyDescent="0.25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25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25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25">
      <c r="B510" t="s">
        <v>443</v>
      </c>
      <c r="C510" t="s">
        <v>26</v>
      </c>
      <c r="E510">
        <f>LEN(Tabla1[[#This Row],[Categorías]])</f>
        <v>11</v>
      </c>
    </row>
    <row r="511" spans="2:5" x14ac:dyDescent="0.25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25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25">
      <c r="B513" t="s">
        <v>443</v>
      </c>
      <c r="C513" t="s">
        <v>73</v>
      </c>
      <c r="E513">
        <f>LEN(Tabla1[[#This Row],[Categorías]])</f>
        <v>6</v>
      </c>
    </row>
    <row r="514" spans="2:5" x14ac:dyDescent="0.25">
      <c r="B514" t="s">
        <v>447</v>
      </c>
      <c r="C514" t="s">
        <v>448</v>
      </c>
      <c r="E514">
        <f>LEN(Tabla1[[#This Row],[Categorías]])</f>
        <v>53</v>
      </c>
    </row>
    <row r="515" spans="2:5" x14ac:dyDescent="0.25">
      <c r="B515" t="s">
        <v>462</v>
      </c>
      <c r="C515" t="s">
        <v>468</v>
      </c>
      <c r="E515">
        <f>LEN(Tabla1[[#This Row],[Categorías]])</f>
        <v>12</v>
      </c>
    </row>
    <row r="516" spans="2:5" x14ac:dyDescent="0.25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25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25">
      <c r="B518" t="s">
        <v>443</v>
      </c>
      <c r="C518" t="s">
        <v>25</v>
      </c>
      <c r="E518">
        <f>LEN(Tabla1[[#This Row],[Categorías]])</f>
        <v>9</v>
      </c>
    </row>
    <row r="519" spans="2:5" x14ac:dyDescent="0.25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25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25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25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25">
      <c r="B523" t="s">
        <v>462</v>
      </c>
      <c r="C523" t="s">
        <v>469</v>
      </c>
      <c r="E523">
        <f>LEN(Tabla1[[#This Row],[Categorías]])</f>
        <v>9</v>
      </c>
    </row>
    <row r="524" spans="2:5" x14ac:dyDescent="0.25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25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25">
      <c r="B526" t="s">
        <v>443</v>
      </c>
      <c r="C526" t="s">
        <v>41</v>
      </c>
      <c r="E526">
        <f>LEN(Tabla1[[#This Row],[Categorías]])</f>
        <v>20</v>
      </c>
    </row>
    <row r="527" spans="2:5" x14ac:dyDescent="0.25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25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25">
      <c r="B529" t="s">
        <v>443</v>
      </c>
      <c r="C529" t="s">
        <v>48</v>
      </c>
      <c r="E529">
        <f>LEN(Tabla1[[#This Row],[Categorías]])</f>
        <v>7</v>
      </c>
    </row>
    <row r="530" spans="2:5" x14ac:dyDescent="0.25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25">
      <c r="B531" t="s">
        <v>443</v>
      </c>
      <c r="C531" t="s">
        <v>392</v>
      </c>
      <c r="E531">
        <f>LEN(Tabla1[[#This Row],[Categorías]])</f>
        <v>53</v>
      </c>
    </row>
    <row r="532" spans="2:5" x14ac:dyDescent="0.25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25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25">
      <c r="B534" t="s">
        <v>443</v>
      </c>
      <c r="C534" t="s">
        <v>81</v>
      </c>
      <c r="E534">
        <f>LEN(Tabla1[[#This Row],[Categorías]])</f>
        <v>41</v>
      </c>
    </row>
    <row r="535" spans="2:5" x14ac:dyDescent="0.25">
      <c r="B535" t="s">
        <v>7</v>
      </c>
      <c r="C535" t="s">
        <v>3</v>
      </c>
      <c r="E535">
        <f>LEN(Tabla1[[#This Row],[Categorías]])</f>
        <v>10</v>
      </c>
    </row>
    <row r="536" spans="2:5" x14ac:dyDescent="0.25">
      <c r="B536" t="s">
        <v>8</v>
      </c>
      <c r="C536" t="s">
        <v>3</v>
      </c>
      <c r="E536">
        <f>LEN(Tabla1[[#This Row],[Categorías]])</f>
        <v>10</v>
      </c>
    </row>
    <row r="537" spans="2:5" x14ac:dyDescent="0.25">
      <c r="B537" t="s">
        <v>2</v>
      </c>
      <c r="C537" t="s">
        <v>3</v>
      </c>
      <c r="E537">
        <f>LEN(Tabla1[[#This Row],[Categorías]])</f>
        <v>10</v>
      </c>
    </row>
    <row r="538" spans="2:5" x14ac:dyDescent="0.25">
      <c r="B538" t="s">
        <v>6</v>
      </c>
      <c r="C538" t="s">
        <v>3</v>
      </c>
      <c r="E538">
        <f>LEN(Tabla1[[#This Row],[Categorías]])</f>
        <v>10</v>
      </c>
    </row>
    <row r="539" spans="2:5" x14ac:dyDescent="0.25">
      <c r="B539" t="s">
        <v>9</v>
      </c>
      <c r="C539" t="s">
        <v>3</v>
      </c>
      <c r="E539">
        <f>LEN(Tabla1[[#This Row],[Categorías]])</f>
        <v>10</v>
      </c>
    </row>
    <row r="540" spans="2:5" x14ac:dyDescent="0.25">
      <c r="B540" t="s">
        <v>447</v>
      </c>
      <c r="C540" t="s">
        <v>449</v>
      </c>
      <c r="E540">
        <f>LEN(Tabla1[[#This Row],[Categorías]])</f>
        <v>64</v>
      </c>
    </row>
    <row r="541" spans="2:5" x14ac:dyDescent="0.25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25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25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25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25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25">
      <c r="B546" t="s">
        <v>443</v>
      </c>
      <c r="C546" t="s">
        <v>97</v>
      </c>
      <c r="E546">
        <f>LEN(Tabla1[[#This Row],[Categorías]])</f>
        <v>9</v>
      </c>
    </row>
    <row r="547" spans="2:5" x14ac:dyDescent="0.25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25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25">
      <c r="B549" t="s">
        <v>443</v>
      </c>
      <c r="C549" t="s">
        <v>27</v>
      </c>
      <c r="E549">
        <f>LEN(Tabla1[[#This Row],[Categorías]])</f>
        <v>8</v>
      </c>
    </row>
    <row r="550" spans="2:5" x14ac:dyDescent="0.25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25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25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25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25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25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25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25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25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25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25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25">
      <c r="B561" t="s">
        <v>485</v>
      </c>
      <c r="C561" t="s">
        <v>491</v>
      </c>
      <c r="E561">
        <f>LEN(Tabla1[[#This Row],[Categorías]])</f>
        <v>12</v>
      </c>
    </row>
    <row r="562" spans="2:5" x14ac:dyDescent="0.25">
      <c r="B562" t="s">
        <v>485</v>
      </c>
      <c r="C562" t="s">
        <v>492</v>
      </c>
      <c r="E562">
        <f>LEN(Tabla1[[#This Row],[Categorías]])</f>
        <v>8</v>
      </c>
    </row>
    <row r="563" spans="2:5" x14ac:dyDescent="0.25">
      <c r="B563" t="s">
        <v>447</v>
      </c>
      <c r="C563" t="s">
        <v>452</v>
      </c>
      <c r="E563">
        <f>LEN(Tabla1[[#This Row],[Categorías]])</f>
        <v>87</v>
      </c>
    </row>
    <row r="564" spans="2:5" x14ac:dyDescent="0.25">
      <c r="B564" t="s">
        <v>462</v>
      </c>
      <c r="C564" t="s">
        <v>463</v>
      </c>
      <c r="E564">
        <f>LEN(Tabla1[[#This Row],[Categorías]])</f>
        <v>8</v>
      </c>
    </row>
    <row r="565" spans="2:5" x14ac:dyDescent="0.25">
      <c r="B565" t="s">
        <v>447</v>
      </c>
      <c r="C565" t="s">
        <v>450</v>
      </c>
      <c r="E565">
        <f>LEN(Tabla1[[#This Row],[Categorías]])</f>
        <v>7</v>
      </c>
    </row>
    <row r="566" spans="2:5" x14ac:dyDescent="0.25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25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25">
      <c r="B568" t="s">
        <v>443</v>
      </c>
      <c r="C568" t="s">
        <v>179</v>
      </c>
      <c r="E568">
        <f>LEN(Tabla1[[#This Row],[Categorías]])</f>
        <v>12</v>
      </c>
    </row>
    <row r="569" spans="2:5" x14ac:dyDescent="0.25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25">
      <c r="B570" t="s">
        <v>443</v>
      </c>
      <c r="C570" t="s">
        <v>360</v>
      </c>
      <c r="E570">
        <f>LEN(Tabla1[[#This Row],[Categorías]])</f>
        <v>30</v>
      </c>
    </row>
    <row r="571" spans="2:5" x14ac:dyDescent="0.25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25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25">
      <c r="B573" t="s">
        <v>443</v>
      </c>
      <c r="C573" t="s">
        <v>280</v>
      </c>
      <c r="E573">
        <f>LEN(Tabla1[[#This Row],[Categorías]])</f>
        <v>69</v>
      </c>
    </row>
    <row r="574" spans="2:5" x14ac:dyDescent="0.25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25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25">
      <c r="B576" t="s">
        <v>443</v>
      </c>
      <c r="C576" t="s">
        <v>279</v>
      </c>
      <c r="E576">
        <f>LEN(Tabla1[[#This Row],[Categorías]])</f>
        <v>44</v>
      </c>
    </row>
    <row r="577" spans="2:5" x14ac:dyDescent="0.25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25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25">
      <c r="B579" t="s">
        <v>443</v>
      </c>
      <c r="C579" t="s">
        <v>281</v>
      </c>
      <c r="E579">
        <f>LEN(Tabla1[[#This Row],[Categorías]])</f>
        <v>47</v>
      </c>
    </row>
    <row r="580" spans="2:5" x14ac:dyDescent="0.25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25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25">
      <c r="B582" t="s">
        <v>443</v>
      </c>
      <c r="C582" t="s">
        <v>282</v>
      </c>
      <c r="E582">
        <f>LEN(Tabla1[[#This Row],[Categorías]])</f>
        <v>51</v>
      </c>
    </row>
    <row r="583" spans="2:5" x14ac:dyDescent="0.25">
      <c r="B583" t="s">
        <v>462</v>
      </c>
      <c r="C583" t="s">
        <v>470</v>
      </c>
      <c r="E583">
        <f>LEN(Tabla1[[#This Row],[Categorías]])</f>
        <v>12</v>
      </c>
    </row>
    <row r="584" spans="2:5" x14ac:dyDescent="0.25">
      <c r="B584" t="s">
        <v>485</v>
      </c>
      <c r="C584" t="s">
        <v>486</v>
      </c>
      <c r="E584">
        <f>LEN(Tabla1[[#This Row],[Categorías]])</f>
        <v>7</v>
      </c>
    </row>
    <row r="585" spans="2:5" x14ac:dyDescent="0.25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25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25">
      <c r="B587" t="s">
        <v>443</v>
      </c>
      <c r="C587" t="s">
        <v>180</v>
      </c>
      <c r="E587">
        <f>LEN(Tabla1[[#This Row],[Categorías]])</f>
        <v>15</v>
      </c>
    </row>
    <row r="588" spans="2:5" x14ac:dyDescent="0.25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25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25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25">
      <c r="B591" t="s">
        <v>443</v>
      </c>
      <c r="C591" t="s">
        <v>168</v>
      </c>
      <c r="E591">
        <f>LEN(Tabla1[[#This Row],[Categorías]])</f>
        <v>15</v>
      </c>
    </row>
    <row r="592" spans="2:5" x14ac:dyDescent="0.25">
      <c r="B592" t="s">
        <v>462</v>
      </c>
      <c r="C592" t="s">
        <v>168</v>
      </c>
      <c r="E592">
        <f>LEN(Tabla1[[#This Row],[Categorías]])</f>
        <v>15</v>
      </c>
    </row>
    <row r="593" spans="2:5" x14ac:dyDescent="0.25">
      <c r="B593" t="s">
        <v>485</v>
      </c>
      <c r="C593" t="s">
        <v>168</v>
      </c>
      <c r="E593">
        <f>LEN(Tabla1[[#This Row],[Categorías]])</f>
        <v>15</v>
      </c>
    </row>
    <row r="594" spans="2:5" x14ac:dyDescent="0.25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25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25">
      <c r="B596" t="s">
        <v>443</v>
      </c>
      <c r="C596" t="s">
        <v>158</v>
      </c>
      <c r="E596">
        <f>LEN(Tabla1[[#This Row],[Categorías]])</f>
        <v>47</v>
      </c>
    </row>
    <row r="597" spans="2:5" x14ac:dyDescent="0.25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25">
      <c r="B598" t="s">
        <v>462</v>
      </c>
      <c r="C598" t="s">
        <v>476</v>
      </c>
      <c r="E598">
        <f>LEN(Tabla1[[#This Row],[Categorías]])</f>
        <v>34</v>
      </c>
    </row>
    <row r="599" spans="2:5" x14ac:dyDescent="0.25">
      <c r="B599" t="s">
        <v>462</v>
      </c>
      <c r="C599" t="s">
        <v>482</v>
      </c>
      <c r="E599">
        <f>LEN(Tabla1[[#This Row],[Categorías]])</f>
        <v>34</v>
      </c>
    </row>
    <row r="600" spans="2:5" x14ac:dyDescent="0.25">
      <c r="B600" t="s">
        <v>447</v>
      </c>
      <c r="C600" t="s">
        <v>454</v>
      </c>
      <c r="E600">
        <f>LEN(Tabla1[[#This Row],[Categorías]])</f>
        <v>4</v>
      </c>
    </row>
    <row r="601" spans="2:5" x14ac:dyDescent="0.25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25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25">
      <c r="B603" t="s">
        <v>443</v>
      </c>
      <c r="C603" t="s">
        <v>236</v>
      </c>
      <c r="E603">
        <f>LEN(Tabla1[[#This Row],[Categorías]])</f>
        <v>22</v>
      </c>
    </row>
    <row r="604" spans="2:5" x14ac:dyDescent="0.25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25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25">
      <c r="B606" t="s">
        <v>443</v>
      </c>
      <c r="C606" t="s">
        <v>277</v>
      </c>
      <c r="E606">
        <f>LEN(Tabla1[[#This Row],[Categorías]])</f>
        <v>22</v>
      </c>
    </row>
    <row r="607" spans="2:5" x14ac:dyDescent="0.25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25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25">
      <c r="B609" t="s">
        <v>443</v>
      </c>
      <c r="C609" t="s">
        <v>302</v>
      </c>
      <c r="E609">
        <f>LEN(Tabla1[[#This Row],[Categorías]])</f>
        <v>23</v>
      </c>
    </row>
    <row r="610" spans="2:5" x14ac:dyDescent="0.25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25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25">
      <c r="B612" t="s">
        <v>443</v>
      </c>
      <c r="C612" t="s">
        <v>229</v>
      </c>
      <c r="E612">
        <f>LEN(Tabla1[[#This Row],[Categorías]])</f>
        <v>22</v>
      </c>
    </row>
    <row r="613" spans="2:5" x14ac:dyDescent="0.25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25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25">
      <c r="B615" t="s">
        <v>443</v>
      </c>
      <c r="C615" t="s">
        <v>167</v>
      </c>
      <c r="E615">
        <f>LEN(Tabla1[[#This Row],[Categorías]])</f>
        <v>13</v>
      </c>
    </row>
    <row r="616" spans="2:5" x14ac:dyDescent="0.25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25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25">
      <c r="B618" t="s">
        <v>443</v>
      </c>
      <c r="C618" t="s">
        <v>311</v>
      </c>
      <c r="E618">
        <f>LEN(Tabla1[[#This Row],[Categorías]])</f>
        <v>14</v>
      </c>
    </row>
    <row r="619" spans="2:5" x14ac:dyDescent="0.25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25">
      <c r="B620" t="s">
        <v>443</v>
      </c>
      <c r="C620" t="s">
        <v>363</v>
      </c>
      <c r="E620">
        <f>LEN(Tabla1[[#This Row],[Categorías]])</f>
        <v>50</v>
      </c>
    </row>
    <row r="621" spans="2:5" x14ac:dyDescent="0.25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25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25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25">
      <c r="B624" t="s">
        <v>443</v>
      </c>
      <c r="C624" t="s">
        <v>242</v>
      </c>
      <c r="E624">
        <f>LEN(Tabla1[[#This Row],[Categorías]])</f>
        <v>59</v>
      </c>
    </row>
    <row r="625" spans="2:5" x14ac:dyDescent="0.25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25">
      <c r="B626" t="s">
        <v>443</v>
      </c>
      <c r="C626" t="s">
        <v>379</v>
      </c>
      <c r="E626">
        <f>LEN(Tabla1[[#This Row],[Categorías]])</f>
        <v>87</v>
      </c>
    </row>
    <row r="627" spans="2:5" x14ac:dyDescent="0.25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25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25">
      <c r="B629" t="s">
        <v>443</v>
      </c>
      <c r="C629" t="s">
        <v>268</v>
      </c>
      <c r="E629">
        <f>LEN(Tabla1[[#This Row],[Categorías]])</f>
        <v>86</v>
      </c>
    </row>
    <row r="630" spans="2:5" x14ac:dyDescent="0.25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25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25">
      <c r="B632" t="s">
        <v>443</v>
      </c>
      <c r="C632" t="s">
        <v>181</v>
      </c>
      <c r="E632">
        <f>LEN(Tabla1[[#This Row],[Categorías]])</f>
        <v>34</v>
      </c>
    </row>
    <row r="633" spans="2:5" x14ac:dyDescent="0.25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25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25">
      <c r="B635" t="s">
        <v>443</v>
      </c>
      <c r="C635" t="s">
        <v>262</v>
      </c>
      <c r="E635">
        <f>LEN(Tabla1[[#This Row],[Categorías]])</f>
        <v>50</v>
      </c>
    </row>
    <row r="636" spans="2:5" x14ac:dyDescent="0.25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25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25">
      <c r="B638" t="s">
        <v>443</v>
      </c>
      <c r="C638" t="s">
        <v>139</v>
      </c>
      <c r="E638">
        <f>LEN(Tabla1[[#This Row],[Categorías]])</f>
        <v>49</v>
      </c>
    </row>
    <row r="639" spans="2:5" x14ac:dyDescent="0.25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25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25">
      <c r="B641" t="s">
        <v>443</v>
      </c>
      <c r="C641" t="s">
        <v>82</v>
      </c>
      <c r="E641">
        <f>LEN(Tabla1[[#This Row],[Categorías]])</f>
        <v>31</v>
      </c>
    </row>
    <row r="642" spans="2:5" x14ac:dyDescent="0.25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25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25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25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25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25">
      <c r="B647" t="s">
        <v>443</v>
      </c>
      <c r="C647" t="s">
        <v>296</v>
      </c>
      <c r="E647">
        <f>LEN(Tabla1[[#This Row],[Categorías]])</f>
        <v>89</v>
      </c>
    </row>
    <row r="648" spans="2:5" x14ac:dyDescent="0.25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25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25">
      <c r="B650" t="s">
        <v>443</v>
      </c>
      <c r="C650" t="s">
        <v>273</v>
      </c>
      <c r="E650">
        <f>LEN(Tabla1[[#This Row],[Categorías]])</f>
        <v>82</v>
      </c>
    </row>
    <row r="651" spans="2:5" x14ac:dyDescent="0.25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25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25">
      <c r="B653" t="s">
        <v>443</v>
      </c>
      <c r="C653" t="s">
        <v>284</v>
      </c>
      <c r="E653">
        <f>LEN(Tabla1[[#This Row],[Categorías]])</f>
        <v>41</v>
      </c>
    </row>
    <row r="654" spans="2:5" x14ac:dyDescent="0.25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25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25">
      <c r="B656" t="s">
        <v>443</v>
      </c>
      <c r="C656" t="s">
        <v>124</v>
      </c>
      <c r="E656">
        <f>LEN(Tabla1[[#This Row],[Categorías]])</f>
        <v>67</v>
      </c>
    </row>
    <row r="657" spans="2:5" x14ac:dyDescent="0.25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25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25">
      <c r="B659" t="s">
        <v>443</v>
      </c>
      <c r="C659" t="s">
        <v>98</v>
      </c>
      <c r="E659">
        <f>LEN(Tabla1[[#This Row],[Categorías]])</f>
        <v>32</v>
      </c>
    </row>
    <row r="660" spans="2:5" x14ac:dyDescent="0.25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25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25">
      <c r="B662" t="s">
        <v>443</v>
      </c>
      <c r="C662" t="s">
        <v>200</v>
      </c>
      <c r="E662">
        <f>LEN(Tabla1[[#This Row],[Categorías]])</f>
        <v>29</v>
      </c>
    </row>
    <row r="663" spans="2:5" x14ac:dyDescent="0.25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25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25">
      <c r="B665" t="s">
        <v>443</v>
      </c>
      <c r="C665" t="s">
        <v>253</v>
      </c>
      <c r="E665">
        <f>LEN(Tabla1[[#This Row],[Categorías]])</f>
        <v>77</v>
      </c>
    </row>
    <row r="666" spans="2:5" x14ac:dyDescent="0.25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25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25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25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25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25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25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25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25">
      <c r="B674" t="s">
        <v>443</v>
      </c>
      <c r="C674" t="s">
        <v>260</v>
      </c>
      <c r="E674">
        <f>LEN(Tabla1[[#This Row],[Categorías]])</f>
        <v>38</v>
      </c>
    </row>
    <row r="675" spans="2:5" x14ac:dyDescent="0.25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25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25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25">
      <c r="B678" t="s">
        <v>443</v>
      </c>
      <c r="C678" t="s">
        <v>79</v>
      </c>
      <c r="E678">
        <f>LEN(Tabla1[[#This Row],[Categorías]])</f>
        <v>46</v>
      </c>
    </row>
    <row r="679" spans="2:5" x14ac:dyDescent="0.25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25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25">
      <c r="B681" t="s">
        <v>443</v>
      </c>
      <c r="C681" t="s">
        <v>287</v>
      </c>
      <c r="E681">
        <f>LEN(Tabla1[[#This Row],[Categorías]])</f>
        <v>55</v>
      </c>
    </row>
    <row r="682" spans="2:5" x14ac:dyDescent="0.25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25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25">
      <c r="B684" t="s">
        <v>443</v>
      </c>
      <c r="C684" t="s">
        <v>40</v>
      </c>
      <c r="E684">
        <f>LEN(Tabla1[[#This Row],[Categorías]])</f>
        <v>53</v>
      </c>
    </row>
    <row r="685" spans="2:5" x14ac:dyDescent="0.25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25">
      <c r="B686" t="s">
        <v>443</v>
      </c>
      <c r="C686" t="s">
        <v>389</v>
      </c>
      <c r="E686">
        <f>LEN(Tabla1[[#This Row],[Categorías]])</f>
        <v>72</v>
      </c>
    </row>
    <row r="687" spans="2:5" x14ac:dyDescent="0.25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25">
      <c r="B688" t="s">
        <v>443</v>
      </c>
      <c r="C688" t="s">
        <v>388</v>
      </c>
      <c r="E688">
        <f>LEN(Tabla1[[#This Row],[Categorías]])</f>
        <v>72</v>
      </c>
    </row>
    <row r="689" spans="2:5" x14ac:dyDescent="0.25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25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25">
      <c r="B691" t="s">
        <v>443</v>
      </c>
      <c r="C691" t="s">
        <v>49</v>
      </c>
      <c r="E691">
        <f>LEN(Tabla1[[#This Row],[Categorías]])</f>
        <v>66</v>
      </c>
    </row>
    <row r="692" spans="2:5" x14ac:dyDescent="0.25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25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25">
      <c r="B694" t="s">
        <v>443</v>
      </c>
      <c r="C694" t="s">
        <v>183</v>
      </c>
      <c r="E694">
        <f>LEN(Tabla1[[#This Row],[Categorías]])</f>
        <v>63</v>
      </c>
    </row>
    <row r="695" spans="2:5" x14ac:dyDescent="0.25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25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25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25">
      <c r="B698" t="s">
        <v>443</v>
      </c>
      <c r="C698" t="s">
        <v>28</v>
      </c>
      <c r="E698">
        <f>LEN(Tabla1[[#This Row],[Categorías]])</f>
        <v>65</v>
      </c>
    </row>
    <row r="699" spans="2:5" x14ac:dyDescent="0.25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25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25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25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25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25">
      <c r="B704" t="s">
        <v>443</v>
      </c>
      <c r="C704" t="s">
        <v>286</v>
      </c>
      <c r="E704">
        <f>LEN(Tabla1[[#This Row],[Categorías]])</f>
        <v>35</v>
      </c>
    </row>
    <row r="705" spans="2:5" x14ac:dyDescent="0.25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25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25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25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25">
      <c r="B709" t="s">
        <v>443</v>
      </c>
      <c r="C709" t="s">
        <v>292</v>
      </c>
      <c r="E709">
        <f>LEN(Tabla1[[#This Row],[Categorías]])</f>
        <v>48</v>
      </c>
    </row>
    <row r="710" spans="2:5" x14ac:dyDescent="0.25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25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25">
      <c r="B712" t="s">
        <v>443</v>
      </c>
      <c r="C712" t="s">
        <v>290</v>
      </c>
      <c r="E712">
        <f>LEN(Tabla1[[#This Row],[Categorías]])</f>
        <v>48</v>
      </c>
    </row>
    <row r="713" spans="2:5" x14ac:dyDescent="0.25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25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25">
      <c r="B715" t="s">
        <v>443</v>
      </c>
      <c r="C715" t="s">
        <v>177</v>
      </c>
      <c r="E715">
        <f>LEN(Tabla1[[#This Row],[Categorías]])</f>
        <v>11</v>
      </c>
    </row>
    <row r="716" spans="2:5" x14ac:dyDescent="0.25">
      <c r="B716" t="s">
        <v>462</v>
      </c>
      <c r="C716" t="s">
        <v>471</v>
      </c>
      <c r="E716">
        <f>LEN(Tabla1[[#This Row],[Categorías]])</f>
        <v>8</v>
      </c>
    </row>
    <row r="717" spans="2:5" x14ac:dyDescent="0.25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25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25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25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25">
      <c r="B721" t="s">
        <v>443</v>
      </c>
      <c r="C721" t="s">
        <v>241</v>
      </c>
      <c r="E721">
        <f>LEN(Tabla1[[#This Row],[Categorías]])</f>
        <v>10</v>
      </c>
    </row>
    <row r="722" spans="2:5" x14ac:dyDescent="0.25">
      <c r="B722" t="s">
        <v>9</v>
      </c>
      <c r="C722" t="s">
        <v>12</v>
      </c>
      <c r="E722">
        <f>LEN(Tabla1[[#This Row],[Categorías]])</f>
        <v>27</v>
      </c>
    </row>
    <row r="723" spans="2:5" x14ac:dyDescent="0.25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25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25">
      <c r="B725" t="s">
        <v>443</v>
      </c>
      <c r="C725" t="s">
        <v>239</v>
      </c>
      <c r="E725">
        <f>LEN(Tabla1[[#This Row],[Categorías]])</f>
        <v>20</v>
      </c>
    </row>
    <row r="726" spans="2:5" x14ac:dyDescent="0.25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25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25">
      <c r="B728" t="s">
        <v>443</v>
      </c>
      <c r="C728" t="s">
        <v>250</v>
      </c>
      <c r="E728">
        <f>LEN(Tabla1[[#This Row],[Categorías]])</f>
        <v>26</v>
      </c>
    </row>
    <row r="729" spans="2:5" x14ac:dyDescent="0.25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25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25">
      <c r="B731" t="s">
        <v>443</v>
      </c>
      <c r="C731" t="s">
        <v>304</v>
      </c>
      <c r="E731">
        <f>LEN(Tabla1[[#This Row],[Categorías]])</f>
        <v>44</v>
      </c>
    </row>
    <row r="732" spans="2:5" x14ac:dyDescent="0.25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25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25">
      <c r="B734" t="s">
        <v>443</v>
      </c>
      <c r="C734" t="s">
        <v>294</v>
      </c>
      <c r="E734">
        <f>LEN(Tabla1[[#This Row],[Categorías]])</f>
        <v>57</v>
      </c>
    </row>
    <row r="735" spans="2:5" x14ac:dyDescent="0.25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25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25">
      <c r="B737" t="s">
        <v>443</v>
      </c>
      <c r="C737" t="s">
        <v>298</v>
      </c>
      <c r="E737">
        <f>LEN(Tabla1[[#This Row],[Categorías]])</f>
        <v>22</v>
      </c>
    </row>
    <row r="738" spans="2:5" x14ac:dyDescent="0.25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25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25">
      <c r="B740" t="s">
        <v>443</v>
      </c>
      <c r="C740" t="s">
        <v>251</v>
      </c>
      <c r="E740">
        <f>LEN(Tabla1[[#This Row],[Categorías]])</f>
        <v>49</v>
      </c>
    </row>
    <row r="741" spans="2:5" x14ac:dyDescent="0.25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25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25">
      <c r="B743" t="s">
        <v>443</v>
      </c>
      <c r="C743" t="s">
        <v>233</v>
      </c>
      <c r="E743">
        <f>LEN(Tabla1[[#This Row],[Categorías]])</f>
        <v>49</v>
      </c>
    </row>
    <row r="744" spans="2:5" x14ac:dyDescent="0.25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25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25">
      <c r="B746" t="s">
        <v>443</v>
      </c>
      <c r="C746" t="s">
        <v>303</v>
      </c>
      <c r="E746">
        <f>LEN(Tabla1[[#This Row],[Categorías]])</f>
        <v>15</v>
      </c>
    </row>
    <row r="747" spans="2:5" x14ac:dyDescent="0.25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25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25">
      <c r="B749" t="s">
        <v>443</v>
      </c>
      <c r="C749" t="s">
        <v>293</v>
      </c>
      <c r="E749">
        <f>LEN(Tabla1[[#This Row],[Categorías]])</f>
        <v>29</v>
      </c>
    </row>
    <row r="750" spans="2:5" x14ac:dyDescent="0.25">
      <c r="B750" t="s">
        <v>485</v>
      </c>
      <c r="C750" t="s">
        <v>487</v>
      </c>
      <c r="E750">
        <f>LEN(Tabla1[[#This Row],[Categorías]])</f>
        <v>21</v>
      </c>
    </row>
    <row r="751" spans="2:5" x14ac:dyDescent="0.25">
      <c r="B751" t="s">
        <v>485</v>
      </c>
      <c r="C751" t="s">
        <v>489</v>
      </c>
      <c r="E751">
        <f>LEN(Tabla1[[#This Row],[Categorías]])</f>
        <v>12</v>
      </c>
    </row>
    <row r="752" spans="2:5" x14ac:dyDescent="0.25">
      <c r="B752" t="s">
        <v>2</v>
      </c>
      <c r="C752" t="s">
        <v>4</v>
      </c>
      <c r="E752">
        <f>LEN(Tabla1[[#This Row],[Categorías]])</f>
        <v>11</v>
      </c>
    </row>
    <row r="753" spans="2:5" x14ac:dyDescent="0.25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25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25">
      <c r="B755" t="s">
        <v>443</v>
      </c>
      <c r="C755" t="s">
        <v>29</v>
      </c>
      <c r="E755">
        <f>LEN(Tabla1[[#This Row],[Categorías]])</f>
        <v>24</v>
      </c>
    </row>
    <row r="756" spans="2:5" x14ac:dyDescent="0.25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25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25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25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25">
      <c r="B760" t="s">
        <v>443</v>
      </c>
      <c r="C760" t="s">
        <v>238</v>
      </c>
      <c r="E760">
        <f>LEN(Tabla1[[#This Row],[Categorías]])</f>
        <v>35</v>
      </c>
    </row>
    <row r="761" spans="2:5" x14ac:dyDescent="0.25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25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25">
      <c r="B763" t="s">
        <v>443</v>
      </c>
      <c r="C763" t="s">
        <v>32</v>
      </c>
      <c r="E763">
        <f>LEN(Tabla1[[#This Row],[Categorías]])</f>
        <v>5</v>
      </c>
    </row>
    <row r="764" spans="2:5" x14ac:dyDescent="0.25">
      <c r="B764" t="s">
        <v>2</v>
      </c>
      <c r="C764" t="s">
        <v>5</v>
      </c>
      <c r="E764">
        <f>LEN(Tabla1[[#This Row],[Categorías]])</f>
        <v>10</v>
      </c>
    </row>
    <row r="765" spans="2:5" x14ac:dyDescent="0.25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25">
      <c r="B766" t="s">
        <v>443</v>
      </c>
      <c r="C766" t="s">
        <v>395</v>
      </c>
      <c r="E766">
        <f>LEN(Tabla1[[#This Row],[Categorías]])</f>
        <v>38</v>
      </c>
    </row>
    <row r="767" spans="2:5" x14ac:dyDescent="0.25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25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25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25">
      <c r="B770" t="s">
        <v>443</v>
      </c>
      <c r="C770" t="s">
        <v>31</v>
      </c>
      <c r="E770">
        <f>LEN(Tabla1[[#This Row],[Categorías]])</f>
        <v>46</v>
      </c>
    </row>
    <row r="771" spans="2:5" x14ac:dyDescent="0.25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25">
      <c r="B772" t="s">
        <v>447</v>
      </c>
      <c r="C772" t="s">
        <v>451</v>
      </c>
      <c r="E772">
        <f>LEN(Tabla1[[#This Row],[Categorías]])</f>
        <v>5</v>
      </c>
    </row>
    <row r="773" spans="2:5" x14ac:dyDescent="0.25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25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25">
      <c r="B775" t="s">
        <v>443</v>
      </c>
      <c r="C775" t="s">
        <v>278</v>
      </c>
      <c r="E775">
        <f>LEN(Tabla1[[#This Row],[Categorías]])</f>
        <v>4</v>
      </c>
    </row>
    <row r="776" spans="2:5" x14ac:dyDescent="0.25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25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25">
      <c r="B778" t="s">
        <v>443</v>
      </c>
      <c r="C778" t="s">
        <v>203</v>
      </c>
      <c r="E778">
        <f>LEN(Tabla1[[#This Row],[Categorías]])</f>
        <v>22</v>
      </c>
    </row>
    <row r="779" spans="2:5" x14ac:dyDescent="0.25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25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25">
      <c r="B781" t="s">
        <v>443</v>
      </c>
      <c r="C781" t="s">
        <v>67</v>
      </c>
      <c r="E781">
        <f>LEN(Tabla1[[#This Row],[Categorías]])</f>
        <v>22</v>
      </c>
    </row>
    <row r="782" spans="2:5" x14ac:dyDescent="0.25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25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25">
      <c r="B784" t="s">
        <v>443</v>
      </c>
      <c r="C784" t="s">
        <v>66</v>
      </c>
      <c r="E784">
        <f>LEN(Tabla1[[#This Row],[Categorías]])</f>
        <v>18</v>
      </c>
    </row>
    <row r="785" spans="2:5" x14ac:dyDescent="0.25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25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25">
      <c r="B787" t="s">
        <v>443</v>
      </c>
      <c r="C787" t="s">
        <v>51</v>
      </c>
      <c r="E787">
        <f>LEN(Tabla1[[#This Row],[Categorías]])</f>
        <v>29</v>
      </c>
    </row>
    <row r="788" spans="2:5" x14ac:dyDescent="0.25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25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25">
      <c r="B790" t="s">
        <v>443</v>
      </c>
      <c r="C790" t="s">
        <v>61</v>
      </c>
      <c r="E790">
        <f>LEN(Tabla1[[#This Row],[Categorías]])</f>
        <v>34</v>
      </c>
    </row>
    <row r="791" spans="2:5" x14ac:dyDescent="0.25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25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25">
      <c r="B793" t="s">
        <v>443</v>
      </c>
      <c r="C793" t="s">
        <v>62</v>
      </c>
      <c r="E793">
        <f>LEN(Tabla1[[#This Row],[Categorías]])</f>
        <v>21</v>
      </c>
    </row>
    <row r="794" spans="2:5" x14ac:dyDescent="0.25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25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25">
      <c r="B796" t="s">
        <v>443</v>
      </c>
      <c r="C796" t="s">
        <v>56</v>
      </c>
      <c r="E796">
        <f>LEN(Tabla1[[#This Row],[Categorías]])</f>
        <v>41</v>
      </c>
    </row>
    <row r="797" spans="2:5" x14ac:dyDescent="0.25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25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25">
      <c r="B799" t="s">
        <v>443</v>
      </c>
      <c r="C799" t="s">
        <v>55</v>
      </c>
      <c r="E799">
        <f>LEN(Tabla1[[#This Row],[Categorías]])</f>
        <v>54</v>
      </c>
    </row>
    <row r="800" spans="2:5" x14ac:dyDescent="0.25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25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25">
      <c r="B802" t="s">
        <v>443</v>
      </c>
      <c r="C802" t="s">
        <v>54</v>
      </c>
      <c r="E802">
        <f>LEN(Tabla1[[#This Row],[Categorías]])</f>
        <v>39</v>
      </c>
    </row>
    <row r="803" spans="2:5" x14ac:dyDescent="0.25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25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25">
      <c r="B805" t="s">
        <v>443</v>
      </c>
      <c r="C805" t="s">
        <v>57</v>
      </c>
      <c r="E805">
        <f>LEN(Tabla1[[#This Row],[Categorías]])</f>
        <v>27</v>
      </c>
    </row>
    <row r="806" spans="2:5" x14ac:dyDescent="0.25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25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25">
      <c r="B808" t="s">
        <v>443</v>
      </c>
      <c r="C808" t="s">
        <v>53</v>
      </c>
      <c r="E808">
        <f>LEN(Tabla1[[#This Row],[Categorías]])</f>
        <v>25</v>
      </c>
    </row>
    <row r="809" spans="2:5" x14ac:dyDescent="0.25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25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25">
      <c r="B811" t="s">
        <v>443</v>
      </c>
      <c r="C811" t="s">
        <v>65</v>
      </c>
      <c r="E811">
        <f>LEN(Tabla1[[#This Row],[Categorías]])</f>
        <v>32</v>
      </c>
    </row>
    <row r="812" spans="2:5" x14ac:dyDescent="0.25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25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25">
      <c r="B814" t="s">
        <v>443</v>
      </c>
      <c r="C814" t="s">
        <v>63</v>
      </c>
      <c r="E814">
        <f>LEN(Tabla1[[#This Row],[Categorías]])</f>
        <v>21</v>
      </c>
    </row>
    <row r="815" spans="2:5" x14ac:dyDescent="0.25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25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25">
      <c r="B817" t="s">
        <v>443</v>
      </c>
      <c r="C817" t="s">
        <v>64</v>
      </c>
      <c r="E817">
        <f>LEN(Tabla1[[#This Row],[Categorías]])</f>
        <v>25</v>
      </c>
    </row>
    <row r="818" spans="2:5" x14ac:dyDescent="0.25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25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25">
      <c r="B820" t="s">
        <v>443</v>
      </c>
      <c r="C820" t="s">
        <v>52</v>
      </c>
      <c r="E820">
        <f>LEN(Tabla1[[#This Row],[Categorías]])</f>
        <v>23</v>
      </c>
    </row>
    <row r="821" spans="2:5" x14ac:dyDescent="0.25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25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25">
      <c r="B823" t="s">
        <v>443</v>
      </c>
      <c r="C823" t="s">
        <v>60</v>
      </c>
      <c r="E823">
        <f>LEN(Tabla1[[#This Row],[Categorías]])</f>
        <v>36</v>
      </c>
    </row>
    <row r="824" spans="2:5" x14ac:dyDescent="0.25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25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25">
      <c r="B826" t="s">
        <v>443</v>
      </c>
      <c r="C826" t="s">
        <v>59</v>
      </c>
      <c r="E826">
        <f>LEN(Tabla1[[#This Row],[Categorías]])</f>
        <v>43</v>
      </c>
    </row>
    <row r="827" spans="2:5" x14ac:dyDescent="0.25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25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25">
      <c r="B829" t="s">
        <v>443</v>
      </c>
      <c r="C829" t="s">
        <v>58</v>
      </c>
      <c r="E829">
        <f>LEN(Tabla1[[#This Row],[Categorías]])</f>
        <v>44</v>
      </c>
    </row>
    <row r="830" spans="2:5" x14ac:dyDescent="0.25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25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25">
      <c r="B832" t="s">
        <v>443</v>
      </c>
      <c r="C832" t="s">
        <v>50</v>
      </c>
      <c r="E832">
        <f>LEN(Tabla1[[#This Row],[Categorías]])</f>
        <v>18</v>
      </c>
    </row>
    <row r="833" spans="2:5" x14ac:dyDescent="0.25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25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25">
      <c r="B835" t="s">
        <v>443</v>
      </c>
      <c r="C835" t="s">
        <v>184</v>
      </c>
      <c r="E835">
        <f>LEN(Tabla1[[#This Row],[Categorías]])</f>
        <v>22</v>
      </c>
    </row>
    <row r="836" spans="2:5" x14ac:dyDescent="0.25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25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25">
      <c r="B838" t="s">
        <v>443</v>
      </c>
      <c r="C838" t="s">
        <v>173</v>
      </c>
      <c r="E838">
        <f>LEN(Tabla1[[#This Row],[Categorías]])</f>
        <v>27</v>
      </c>
    </row>
    <row r="839" spans="2:5" x14ac:dyDescent="0.25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25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25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25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25">
      <c r="B843" t="s">
        <v>443</v>
      </c>
      <c r="C843" t="s">
        <v>174</v>
      </c>
      <c r="E843">
        <f>LEN(Tabla1[[#This Row],[Categorías]])</f>
        <v>14</v>
      </c>
    </row>
    <row r="844" spans="2:5" x14ac:dyDescent="0.25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25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25">
      <c r="B846" t="s">
        <v>443</v>
      </c>
      <c r="C846" t="s">
        <v>169</v>
      </c>
      <c r="E846">
        <f>LEN(Tabla1[[#This Row],[Categorías]])</f>
        <v>34</v>
      </c>
    </row>
    <row r="847" spans="2:5" x14ac:dyDescent="0.25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25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25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25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25">
      <c r="B851" t="s">
        <v>443</v>
      </c>
      <c r="C851" t="s">
        <v>185</v>
      </c>
      <c r="E851">
        <f>LEN(Tabla1[[#This Row],[Categorías]])</f>
        <v>47</v>
      </c>
    </row>
    <row r="852" spans="2:5" x14ac:dyDescent="0.25">
      <c r="B852" t="s">
        <v>443</v>
      </c>
      <c r="C852" t="s">
        <v>445</v>
      </c>
      <c r="E852">
        <f>LEN(Tabla1[[#This Row],[Categorías]])</f>
        <v>37</v>
      </c>
    </row>
    <row r="853" spans="2:5" x14ac:dyDescent="0.25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25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25">
      <c r="B855" t="s">
        <v>443</v>
      </c>
      <c r="C855" t="s">
        <v>186</v>
      </c>
      <c r="E855">
        <f>LEN(Tabla1[[#This Row],[Categorías]])</f>
        <v>32</v>
      </c>
    </row>
    <row r="856" spans="2:5" x14ac:dyDescent="0.25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25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25">
      <c r="B858" t="s">
        <v>443</v>
      </c>
      <c r="C858" t="s">
        <v>170</v>
      </c>
      <c r="E858">
        <f>LEN(Tabla1[[#This Row],[Categorías]])</f>
        <v>20</v>
      </c>
    </row>
    <row r="859" spans="2:5" x14ac:dyDescent="0.25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25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25">
      <c r="B861" t="s">
        <v>443</v>
      </c>
      <c r="C861" t="s">
        <v>197</v>
      </c>
      <c r="E861">
        <f>LEN(Tabla1[[#This Row],[Categorías]])</f>
        <v>18</v>
      </c>
    </row>
    <row r="862" spans="2:5" x14ac:dyDescent="0.25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25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25">
      <c r="B864" t="s">
        <v>443</v>
      </c>
      <c r="C864" t="s">
        <v>231</v>
      </c>
      <c r="E864">
        <f>LEN(Tabla1[[#This Row],[Categorías]])</f>
        <v>25</v>
      </c>
    </row>
    <row r="865" spans="2:5" x14ac:dyDescent="0.25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25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25">
      <c r="B867" t="s">
        <v>443</v>
      </c>
      <c r="C867" t="s">
        <v>175</v>
      </c>
      <c r="E867">
        <f>LEN(Tabla1[[#This Row],[Categorías]])</f>
        <v>14</v>
      </c>
    </row>
    <row r="868" spans="2:5" x14ac:dyDescent="0.25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25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25">
      <c r="B870" t="s">
        <v>443</v>
      </c>
      <c r="C870" t="s">
        <v>176</v>
      </c>
      <c r="E870">
        <f>LEN(Tabla1[[#This Row],[Categorías]])</f>
        <v>18</v>
      </c>
    </row>
    <row r="871" spans="2:5" x14ac:dyDescent="0.25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25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25">
      <c r="B873" t="s">
        <v>443</v>
      </c>
      <c r="C873" t="s">
        <v>289</v>
      </c>
      <c r="E873">
        <f>LEN(Tabla1[[#This Row],[Categorías]])</f>
        <v>13</v>
      </c>
    </row>
    <row r="874" spans="2:5" x14ac:dyDescent="0.25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25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25">
      <c r="B876" t="s">
        <v>443</v>
      </c>
      <c r="C876" t="s">
        <v>187</v>
      </c>
      <c r="E876">
        <f>LEN(Tabla1[[#This Row],[Categorías]])</f>
        <v>16</v>
      </c>
    </row>
    <row r="877" spans="2:5" x14ac:dyDescent="0.25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25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25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25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25">
      <c r="B881" t="s">
        <v>443</v>
      </c>
      <c r="C881" t="s">
        <v>188</v>
      </c>
      <c r="E881">
        <f>LEN(Tabla1[[#This Row],[Categorías]])</f>
        <v>29</v>
      </c>
    </row>
    <row r="882" spans="2:5" x14ac:dyDescent="0.25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25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25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25">
      <c r="B885" t="s">
        <v>443</v>
      </c>
      <c r="C885" t="s">
        <v>172</v>
      </c>
      <c r="E885">
        <f>LEN(Tabla1[[#This Row],[Categorías]])</f>
        <v>36</v>
      </c>
    </row>
    <row r="886" spans="2:5" x14ac:dyDescent="0.25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25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25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25">
      <c r="B889" t="s">
        <v>443</v>
      </c>
      <c r="C889" t="s">
        <v>171</v>
      </c>
      <c r="E889">
        <f>LEN(Tabla1[[#This Row],[Categorías]])</f>
        <v>37</v>
      </c>
    </row>
    <row r="890" spans="2:5" x14ac:dyDescent="0.25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25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25">
      <c r="B892" t="s">
        <v>443</v>
      </c>
      <c r="C892" t="s">
        <v>230</v>
      </c>
      <c r="E892">
        <f>LEN(Tabla1[[#This Row],[Categorías]])</f>
        <v>11</v>
      </c>
    </row>
    <row r="893" spans="2:5" x14ac:dyDescent="0.25">
      <c r="B893" t="s">
        <v>462</v>
      </c>
      <c r="C893" t="s">
        <v>472</v>
      </c>
      <c r="E893">
        <f>LEN(Tabla1[[#This Row],[Categorías]])</f>
        <v>11</v>
      </c>
    </row>
    <row r="894" spans="2:5" x14ac:dyDescent="0.25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25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25">
      <c r="B896" t="s">
        <v>443</v>
      </c>
      <c r="C896" t="s">
        <v>189</v>
      </c>
      <c r="E896">
        <f>LEN(Tabla1[[#This Row],[Categorías]])</f>
        <v>9</v>
      </c>
    </row>
    <row r="897" spans="2:5" x14ac:dyDescent="0.25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25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25">
      <c r="B899" t="s">
        <v>443</v>
      </c>
      <c r="C899" t="s">
        <v>201</v>
      </c>
      <c r="E899">
        <f>LEN(Tabla1[[#This Row],[Categorías]])</f>
        <v>27</v>
      </c>
    </row>
    <row r="900" spans="2:5" x14ac:dyDescent="0.25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25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25">
      <c r="B902" t="s">
        <v>443</v>
      </c>
      <c r="C902" t="s">
        <v>39</v>
      </c>
      <c r="E902">
        <f>LEN(Tabla1[[#This Row],[Categorías]])</f>
        <v>27</v>
      </c>
    </row>
    <row r="903" spans="2:5" x14ac:dyDescent="0.25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25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25">
      <c r="B905" t="s">
        <v>443</v>
      </c>
      <c r="C905" t="s">
        <v>38</v>
      </c>
      <c r="E905">
        <f>LEN(Tabla1[[#This Row],[Categorías]])</f>
        <v>34</v>
      </c>
    </row>
    <row r="906" spans="2:5" x14ac:dyDescent="0.25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25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25">
      <c r="B908" t="s">
        <v>443</v>
      </c>
      <c r="C908" t="s">
        <v>35</v>
      </c>
      <c r="E908">
        <f>LEN(Tabla1[[#This Row],[Categorías]])</f>
        <v>41</v>
      </c>
    </row>
    <row r="909" spans="2:5" x14ac:dyDescent="0.25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25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25">
      <c r="B911" t="s">
        <v>443</v>
      </c>
      <c r="C911" t="s">
        <v>37</v>
      </c>
      <c r="E911">
        <f>LEN(Tabla1[[#This Row],[Categorías]])</f>
        <v>28</v>
      </c>
    </row>
    <row r="912" spans="2:5" x14ac:dyDescent="0.25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25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25">
      <c r="B914" t="s">
        <v>443</v>
      </c>
      <c r="C914" t="s">
        <v>34</v>
      </c>
      <c r="E914">
        <f>LEN(Tabla1[[#This Row],[Categorías]])</f>
        <v>31</v>
      </c>
    </row>
    <row r="915" spans="2:5" x14ac:dyDescent="0.25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25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25">
      <c r="B917" t="s">
        <v>443</v>
      </c>
      <c r="C917" t="s">
        <v>36</v>
      </c>
      <c r="E917">
        <f>LEN(Tabla1[[#This Row],[Categorías]])</f>
        <v>38</v>
      </c>
    </row>
    <row r="918" spans="2:5" x14ac:dyDescent="0.25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25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25">
      <c r="B920" t="s">
        <v>443</v>
      </c>
      <c r="C920" t="s">
        <v>300</v>
      </c>
      <c r="E920">
        <f>LEN(Tabla1[[#This Row],[Categorías]])</f>
        <v>30</v>
      </c>
    </row>
    <row r="921" spans="2:5" x14ac:dyDescent="0.25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25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25">
      <c r="B923" t="s">
        <v>443</v>
      </c>
      <c r="C923" t="s">
        <v>275</v>
      </c>
      <c r="E923">
        <f>LEN(Tabla1[[#This Row],[Categorías]])</f>
        <v>29</v>
      </c>
    </row>
    <row r="924" spans="2:5" x14ac:dyDescent="0.25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25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25">
      <c r="B926" t="s">
        <v>443</v>
      </c>
      <c r="C926" t="s">
        <v>198</v>
      </c>
      <c r="E926">
        <f>LEN(Tabla1[[#This Row],[Categorías]])</f>
        <v>16</v>
      </c>
    </row>
    <row r="927" spans="2:5" x14ac:dyDescent="0.25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25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25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25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25">
      <c r="B931" t="s">
        <v>443</v>
      </c>
      <c r="C931" t="s">
        <v>274</v>
      </c>
      <c r="E931">
        <f>LEN(Tabla1[[#This Row],[Categorías]])</f>
        <v>19</v>
      </c>
    </row>
    <row r="932" spans="2:5" x14ac:dyDescent="0.25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25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25">
      <c r="B934" t="s">
        <v>443</v>
      </c>
      <c r="C934" t="s">
        <v>276</v>
      </c>
      <c r="E934">
        <f>LEN(Tabla1[[#This Row],[Categorías]])</f>
        <v>26</v>
      </c>
    </row>
    <row r="935" spans="2:5" x14ac:dyDescent="0.25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25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25">
      <c r="B937" t="s">
        <v>443</v>
      </c>
      <c r="C937" t="s">
        <v>301</v>
      </c>
      <c r="E937">
        <f>LEN(Tabla1[[#This Row],[Categorías]])</f>
        <v>27</v>
      </c>
    </row>
    <row r="938" spans="2:5" x14ac:dyDescent="0.25">
      <c r="B938" t="s">
        <v>485</v>
      </c>
      <c r="C938" t="s">
        <v>488</v>
      </c>
      <c r="E938">
        <f>LEN(Tabla1[[#This Row],[Categorías]])</f>
        <v>10</v>
      </c>
    </row>
    <row r="939" spans="2:5" x14ac:dyDescent="0.25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25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25">
      <c r="B941" t="s">
        <v>443</v>
      </c>
      <c r="C941" t="s">
        <v>305</v>
      </c>
      <c r="E941">
        <f>LEN(Tabla1[[#This Row],[Categorías]])</f>
        <v>24</v>
      </c>
    </row>
    <row r="942" spans="2:5" x14ac:dyDescent="0.25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25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25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25">
      <c r="B945" t="s">
        <v>443</v>
      </c>
      <c r="C945" t="s">
        <v>160</v>
      </c>
      <c r="E945">
        <f>LEN(Tabla1[[#This Row],[Categorías]])</f>
        <v>38</v>
      </c>
    </row>
    <row r="946" spans="2:5" x14ac:dyDescent="0.25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25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25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25">
      <c r="B949" t="s">
        <v>443</v>
      </c>
      <c r="C949" t="s">
        <v>232</v>
      </c>
      <c r="E949">
        <f>LEN(Tabla1[[#This Row],[Categorías]])</f>
        <v>44</v>
      </c>
    </row>
    <row r="950" spans="2:5" x14ac:dyDescent="0.25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25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25">
      <c r="B952" t="s">
        <v>443</v>
      </c>
      <c r="C952" t="s">
        <v>123</v>
      </c>
      <c r="E952">
        <f>LEN(Tabla1[[#This Row],[Categorías]])</f>
        <v>10</v>
      </c>
    </row>
    <row r="953" spans="2:5" x14ac:dyDescent="0.25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25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25">
      <c r="B955" t="s">
        <v>443</v>
      </c>
      <c r="C955" t="s">
        <v>159</v>
      </c>
      <c r="E955">
        <f>LEN(Tabla1[[#This Row],[Categorías]])</f>
        <v>7</v>
      </c>
    </row>
    <row r="956" spans="2:5" x14ac:dyDescent="0.25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25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25">
      <c r="B958" t="s">
        <v>443</v>
      </c>
      <c r="C958" t="s">
        <v>310</v>
      </c>
      <c r="E958">
        <f>LEN(Tabla1[[#This Row],[Categorías]])</f>
        <v>8</v>
      </c>
    </row>
    <row r="959" spans="2:5" x14ac:dyDescent="0.25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25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25">
      <c r="B961" t="s">
        <v>462</v>
      </c>
      <c r="C961" t="s">
        <v>24</v>
      </c>
      <c r="E961">
        <f>LEN(Tabla1[[#This Row],[Categorías]])</f>
        <v>5</v>
      </c>
    </row>
    <row r="962" spans="2:5" x14ac:dyDescent="0.25">
      <c r="B962" t="s">
        <v>485</v>
      </c>
      <c r="C962" t="s">
        <v>24</v>
      </c>
      <c r="E962">
        <f>LEN(Tabla1[[#This Row],[Categorías]])</f>
        <v>5</v>
      </c>
    </row>
    <row r="963" spans="2:5" x14ac:dyDescent="0.25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25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25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25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25">
      <c r="B967" t="s">
        <v>443</v>
      </c>
      <c r="C967" t="s">
        <v>269</v>
      </c>
      <c r="E967">
        <f>LEN(Tabla1[[#This Row],[Categorías]])</f>
        <v>25</v>
      </c>
    </row>
    <row r="968" spans="2:5" x14ac:dyDescent="0.25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25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25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25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25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25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25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25">
      <c r="B975" t="s">
        <v>443</v>
      </c>
      <c r="C975" t="s">
        <v>30</v>
      </c>
      <c r="E975">
        <f>LEN(Tabla1[[#This Row],[Categorías]])</f>
        <v>18</v>
      </c>
    </row>
    <row r="976" spans="2:5" x14ac:dyDescent="0.25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25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25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25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25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25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25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25">
      <c r="B983" t="s">
        <v>443</v>
      </c>
      <c r="C983" t="s">
        <v>266</v>
      </c>
      <c r="E983">
        <f>LEN(Tabla1[[#This Row],[Categorías]])</f>
        <v>42</v>
      </c>
    </row>
    <row r="984" spans="2:5" x14ac:dyDescent="0.25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25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25">
      <c r="B986" t="s">
        <v>443</v>
      </c>
      <c r="C986" t="s">
        <v>191</v>
      </c>
      <c r="E986">
        <f>LEN(Tabla1[[#This Row],[Categorías]])</f>
        <v>17</v>
      </c>
    </row>
    <row r="987" spans="2:5" x14ac:dyDescent="0.25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25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25">
      <c r="B989" t="s">
        <v>443</v>
      </c>
      <c r="C989" t="s">
        <v>207</v>
      </c>
      <c r="E989">
        <f>LEN(Tabla1[[#This Row],[Categorías]])</f>
        <v>35</v>
      </c>
    </row>
    <row r="990" spans="2:5" x14ac:dyDescent="0.25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25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25">
      <c r="B992" t="s">
        <v>443</v>
      </c>
      <c r="C992" t="s">
        <v>94</v>
      </c>
      <c r="E992">
        <f>LEN(Tabla1[[#This Row],[Categorías]])</f>
        <v>35</v>
      </c>
    </row>
    <row r="993" spans="2:5" x14ac:dyDescent="0.25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25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25">
      <c r="B995" t="s">
        <v>443</v>
      </c>
      <c r="C995" t="s">
        <v>90</v>
      </c>
      <c r="E995">
        <f>LEN(Tabla1[[#This Row],[Categorías]])</f>
        <v>69</v>
      </c>
    </row>
    <row r="996" spans="2:5" x14ac:dyDescent="0.25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25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25">
      <c r="B998" t="s">
        <v>443</v>
      </c>
      <c r="C998" t="s">
        <v>91</v>
      </c>
      <c r="E998">
        <f>LEN(Tabla1[[#This Row],[Categorías]])</f>
        <v>79</v>
      </c>
    </row>
    <row r="999" spans="2:5" x14ac:dyDescent="0.25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25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25">
      <c r="B1001" t="s">
        <v>443</v>
      </c>
      <c r="C1001" t="s">
        <v>92</v>
      </c>
      <c r="E1001">
        <f>LEN(Tabla1[[#This Row],[Categorías]])</f>
        <v>69</v>
      </c>
    </row>
    <row r="1002" spans="2:5" x14ac:dyDescent="0.25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25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25">
      <c r="B1004" t="s">
        <v>443</v>
      </c>
      <c r="C1004" t="s">
        <v>93</v>
      </c>
      <c r="E1004">
        <f>LEN(Tabla1[[#This Row],[Categorías]])</f>
        <v>53</v>
      </c>
    </row>
    <row r="1005" spans="2:5" x14ac:dyDescent="0.25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25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25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25">
      <c r="B1008" t="s">
        <v>443</v>
      </c>
      <c r="C1008" t="s">
        <v>243</v>
      </c>
      <c r="E1008">
        <f>LEN(Tabla1[[#This Row],[Categorías]])</f>
        <v>49</v>
      </c>
    </row>
    <row r="1009" spans="2:5" x14ac:dyDescent="0.25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25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25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25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25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25">
      <c r="B1014" t="s">
        <v>443</v>
      </c>
      <c r="C1014" t="s">
        <v>246</v>
      </c>
      <c r="E1014">
        <f>LEN(Tabla1[[#This Row],[Categorías]])</f>
        <v>33</v>
      </c>
    </row>
    <row r="1015" spans="2:5" x14ac:dyDescent="0.25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25">
      <c r="B1016" t="s">
        <v>443</v>
      </c>
      <c r="C1016" t="s">
        <v>372</v>
      </c>
      <c r="E1016">
        <f>LEN(Tabla1[[#This Row],[Categorías]])</f>
        <v>48</v>
      </c>
    </row>
    <row r="1017" spans="2:5" x14ac:dyDescent="0.25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25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25">
      <c r="B1019" t="s">
        <v>443</v>
      </c>
      <c r="C1019" t="s">
        <v>166</v>
      </c>
      <c r="E1019">
        <f>LEN(Tabla1[[#This Row],[Categorías]])</f>
        <v>47</v>
      </c>
    </row>
    <row r="1020" spans="2:5" x14ac:dyDescent="0.25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25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25">
      <c r="B1022" t="s">
        <v>443</v>
      </c>
      <c r="C1022" t="s">
        <v>240</v>
      </c>
      <c r="E1022">
        <f>LEN(Tabla1[[#This Row],[Categorías]])</f>
        <v>14</v>
      </c>
    </row>
    <row r="1023" spans="2:5" x14ac:dyDescent="0.25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25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25">
      <c r="B1025" t="s">
        <v>443</v>
      </c>
      <c r="C1025" t="s">
        <v>291</v>
      </c>
      <c r="E1025">
        <f>LEN(Tabla1[[#This Row],[Categorías]])</f>
        <v>9</v>
      </c>
    </row>
    <row r="1026" spans="2:5" x14ac:dyDescent="0.25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25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25">
      <c r="B1028" t="s">
        <v>443</v>
      </c>
      <c r="C1028" t="s">
        <v>202</v>
      </c>
      <c r="E1028">
        <f>LEN(Tabla1[[#This Row],[Categorías]])</f>
        <v>27</v>
      </c>
    </row>
    <row r="1029" spans="2:5" x14ac:dyDescent="0.25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25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25">
      <c r="B1031" t="s">
        <v>443</v>
      </c>
      <c r="C1031" t="s">
        <v>46</v>
      </c>
      <c r="E1031">
        <f>LEN(Tabla1[[#This Row],[Categorías]])</f>
        <v>27</v>
      </c>
    </row>
    <row r="1032" spans="2:5" x14ac:dyDescent="0.25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25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25">
      <c r="B1034" t="s">
        <v>443</v>
      </c>
      <c r="C1034" t="s">
        <v>45</v>
      </c>
      <c r="E1034">
        <f>LEN(Tabla1[[#This Row],[Categorías]])</f>
        <v>34</v>
      </c>
    </row>
    <row r="1035" spans="2:5" x14ac:dyDescent="0.25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25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25">
      <c r="B1037" t="s">
        <v>443</v>
      </c>
      <c r="C1037" t="s">
        <v>44</v>
      </c>
      <c r="E1037">
        <f>LEN(Tabla1[[#This Row],[Categorías]])</f>
        <v>65</v>
      </c>
    </row>
    <row r="1038" spans="2:5" x14ac:dyDescent="0.25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25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25">
      <c r="B1040" t="s">
        <v>443</v>
      </c>
      <c r="C1040" t="s">
        <v>43</v>
      </c>
      <c r="E1040">
        <f>LEN(Tabla1[[#This Row],[Categorías]])</f>
        <v>133</v>
      </c>
    </row>
    <row r="1041" spans="2:5" x14ac:dyDescent="0.25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25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25">
      <c r="B1043" t="s">
        <v>443</v>
      </c>
      <c r="C1043" t="s">
        <v>42</v>
      </c>
      <c r="E1043">
        <f>LEN(Tabla1[[#This Row],[Categorías]])</f>
        <v>28</v>
      </c>
    </row>
    <row r="1044" spans="2:5" x14ac:dyDescent="0.25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25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25">
      <c r="B1046" t="s">
        <v>443</v>
      </c>
      <c r="C1046" t="s">
        <v>192</v>
      </c>
      <c r="E1046">
        <f>LEN(Tabla1[[#This Row],[Categorías]])</f>
        <v>20</v>
      </c>
    </row>
    <row r="1047" spans="2:5" x14ac:dyDescent="0.25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25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25">
      <c r="B1049" t="s">
        <v>443</v>
      </c>
      <c r="C1049" t="s">
        <v>228</v>
      </c>
      <c r="E1049">
        <f>LEN(Tabla1[[#This Row],[Categorías]])</f>
        <v>53</v>
      </c>
    </row>
    <row r="1050" spans="2:5" x14ac:dyDescent="0.25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25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25">
      <c r="B1052" t="s">
        <v>443</v>
      </c>
      <c r="C1052" t="s">
        <v>227</v>
      </c>
      <c r="E1052">
        <f>LEN(Tabla1[[#This Row],[Categorías]])</f>
        <v>121</v>
      </c>
    </row>
    <row r="1053" spans="2:5" x14ac:dyDescent="0.25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25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25">
      <c r="B1055" t="s">
        <v>443</v>
      </c>
      <c r="C1055" t="s">
        <v>193</v>
      </c>
      <c r="E1055">
        <f>LEN(Tabla1[[#This Row],[Categorías]])</f>
        <v>16</v>
      </c>
    </row>
    <row r="1056" spans="2:5" x14ac:dyDescent="0.25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25">
      <c r="B1057" t="s">
        <v>443</v>
      </c>
      <c r="C1057" t="s">
        <v>446</v>
      </c>
      <c r="E1057">
        <f>LEN(Tabla1[[#This Row],[Categorías]])</f>
        <v>44</v>
      </c>
    </row>
    <row r="1058" spans="2:5" x14ac:dyDescent="0.25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25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25">
      <c r="B1060" t="s">
        <v>443</v>
      </c>
      <c r="C1060" t="s">
        <v>95</v>
      </c>
      <c r="E1060">
        <f>LEN(Tabla1[[#This Row],[Categorías]])</f>
        <v>77</v>
      </c>
    </row>
    <row r="1061" spans="2:5" x14ac:dyDescent="0.25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25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25">
      <c r="B1063" t="s">
        <v>443</v>
      </c>
      <c r="C1063" t="s">
        <v>80</v>
      </c>
      <c r="E1063">
        <f>LEN(Tabla1[[#This Row],[Categorías]])</f>
        <v>18</v>
      </c>
    </row>
    <row r="1064" spans="2:5" x14ac:dyDescent="0.25">
      <c r="B1064" t="s">
        <v>443</v>
      </c>
      <c r="E1064">
        <f>LEN(Tabla1[[#This Row],[Categorías]])</f>
        <v>0</v>
      </c>
    </row>
    <row r="1065" spans="2:5" x14ac:dyDescent="0.25">
      <c r="B1065" t="s">
        <v>447</v>
      </c>
      <c r="E1065">
        <f>LEN(Tabla1[[#This Row],[Categorías]])</f>
        <v>0</v>
      </c>
    </row>
    <row r="1066" spans="2:5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5" x14ac:dyDescent="0.25"/>
  <cols>
    <col min="1" max="1" width="34.42578125" customWidth="1"/>
  </cols>
  <sheetData>
    <row r="1" spans="1:2" x14ac:dyDescent="0.25">
      <c r="A1" t="s">
        <v>1038</v>
      </c>
      <c r="B1" t="s">
        <v>1039</v>
      </c>
    </row>
    <row r="2" spans="1:2" x14ac:dyDescent="0.25">
      <c r="A2" s="15" t="s">
        <v>14</v>
      </c>
    </row>
    <row r="3" spans="1:2" x14ac:dyDescent="0.25">
      <c r="A3" s="15" t="s">
        <v>1040</v>
      </c>
    </row>
    <row r="4" spans="1:2" x14ac:dyDescent="0.25">
      <c r="A4" s="15" t="s">
        <v>223</v>
      </c>
    </row>
    <row r="5" spans="1:2" x14ac:dyDescent="0.25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30"/>
  <sheetViews>
    <sheetView workbookViewId="0">
      <pane ySplit="2" topLeftCell="A57" activePane="bottomLeft" state="frozen"/>
      <selection pane="bottomLeft" activeCell="B67" sqref="B67"/>
    </sheetView>
  </sheetViews>
  <sheetFormatPr baseColWidth="10" defaultRowHeight="15" x14ac:dyDescent="0.25"/>
  <cols>
    <col min="1" max="1" width="26.5703125" customWidth="1"/>
    <col min="2" max="3" width="9.85546875" customWidth="1"/>
    <col min="4" max="4" width="47.5703125" customWidth="1"/>
    <col min="5" max="5" width="21.140625" customWidth="1"/>
    <col min="6" max="6" width="12.140625" customWidth="1"/>
    <col min="7" max="7" width="29.85546875" customWidth="1"/>
    <col min="9" max="12" width="15.7109375" customWidth="1"/>
  </cols>
  <sheetData>
    <row r="1" spans="1:12" ht="16.5" thickBot="1" x14ac:dyDescent="0.3">
      <c r="C1" s="45" t="s">
        <v>1055</v>
      </c>
      <c r="D1" s="45"/>
      <c r="E1" s="45" t="s">
        <v>1056</v>
      </c>
      <c r="J1" s="66">
        <f>SUM(Tabla10[Cantidad])</f>
        <v>48760</v>
      </c>
    </row>
    <row r="2" spans="1:12" ht="15.75" thickBot="1" x14ac:dyDescent="0.3">
      <c r="A2" s="23" t="s">
        <v>1047</v>
      </c>
      <c r="B2" s="24" t="s">
        <v>1051</v>
      </c>
      <c r="C2" s="25" t="s">
        <v>1019</v>
      </c>
      <c r="D2" s="26" t="s">
        <v>1020</v>
      </c>
      <c r="E2" s="26" t="s">
        <v>1045</v>
      </c>
      <c r="F2" s="26" t="s">
        <v>1022</v>
      </c>
      <c r="G2" s="26" t="s">
        <v>1023</v>
      </c>
      <c r="H2" s="26" t="s">
        <v>1044</v>
      </c>
      <c r="I2" s="26" t="s">
        <v>24</v>
      </c>
      <c r="J2" s="26" t="s">
        <v>1024</v>
      </c>
      <c r="K2" s="26" t="s">
        <v>1025</v>
      </c>
      <c r="L2" s="24" t="s">
        <v>1026</v>
      </c>
    </row>
    <row r="3" spans="1:12" x14ac:dyDescent="0.25">
      <c r="A3" s="57" t="str">
        <f>Tabla10[[#This Row],[TIPO_P]] &amp; "|" &amp;Tabla10[[#This Row],[Agrupación]] &amp; "|" &amp; Tabla10[[#This Row],[Sexo]] &amp; "|" &amp; Tabla10[[#This Row],[Entidad]]</f>
        <v>PS|Homicidio|Hombre|Aguascalientes</v>
      </c>
      <c r="B3" s="58" t="s">
        <v>1050</v>
      </c>
      <c r="C3" s="27">
        <v>2017</v>
      </c>
      <c r="D3" s="28" t="s">
        <v>13</v>
      </c>
      <c r="E3" s="28" t="s">
        <v>25</v>
      </c>
      <c r="F3" s="28" t="s">
        <v>1043</v>
      </c>
      <c r="G3" s="28" t="s">
        <v>518</v>
      </c>
      <c r="H3" s="28"/>
      <c r="I3" s="28"/>
      <c r="J3" s="28">
        <v>12</v>
      </c>
      <c r="K3" s="28"/>
      <c r="L3" s="20"/>
    </row>
    <row r="4" spans="1:12" x14ac:dyDescent="0.25">
      <c r="A4" s="59" t="str">
        <f>Tabla10[[#This Row],[TIPO_P]] &amp; "|" &amp;Tabla10[[#This Row],[Agrupación]] &amp; "|" &amp; Tabla10[[#This Row],[Sexo]] &amp; "|" &amp; Tabla10[[#This Row],[Entidad]]</f>
        <v>PS|Homicidio|Mujer|Aguascalientes</v>
      </c>
      <c r="B4" s="60" t="s">
        <v>1050</v>
      </c>
      <c r="C4" s="16">
        <v>2017</v>
      </c>
      <c r="D4" t="s">
        <v>13</v>
      </c>
      <c r="E4" t="s">
        <v>25</v>
      </c>
      <c r="F4" t="s">
        <v>1042</v>
      </c>
      <c r="G4" t="s">
        <v>518</v>
      </c>
      <c r="J4">
        <v>1</v>
      </c>
      <c r="L4" s="29"/>
    </row>
    <row r="5" spans="1:12" x14ac:dyDescent="0.25">
      <c r="A5" s="59" t="str">
        <f>Tabla10[[#This Row],[TIPO_P]] &amp; "|" &amp;Tabla10[[#This Row],[Agrupación]] &amp; "|" &amp; Tabla10[[#This Row],[Sexo]] &amp; "|" &amp; Tabla10[[#This Row],[Entidad]]</f>
        <v>PS|Homicidio|Hombre|Baja California</v>
      </c>
      <c r="B5" s="60" t="s">
        <v>1050</v>
      </c>
      <c r="C5" s="16">
        <v>2017</v>
      </c>
      <c r="D5" t="s">
        <v>13</v>
      </c>
      <c r="E5" t="s">
        <v>25</v>
      </c>
      <c r="F5" t="s">
        <v>1043</v>
      </c>
      <c r="G5" t="s">
        <v>519</v>
      </c>
      <c r="J5">
        <v>27</v>
      </c>
      <c r="L5" s="29"/>
    </row>
    <row r="6" spans="1:12" x14ac:dyDescent="0.25">
      <c r="A6" s="59" t="str">
        <f>Tabla10[[#This Row],[TIPO_P]] &amp; "|" &amp;Tabla10[[#This Row],[Agrupación]] &amp; "|" &amp; Tabla10[[#This Row],[Sexo]] &amp; "|" &amp; Tabla10[[#This Row],[Entidad]]</f>
        <v>PS|Homicidio|Hombre|Baja California Sur</v>
      </c>
      <c r="B6" s="60" t="s">
        <v>1050</v>
      </c>
      <c r="C6" s="16">
        <v>2017</v>
      </c>
      <c r="D6" t="s">
        <v>13</v>
      </c>
      <c r="E6" t="s">
        <v>25</v>
      </c>
      <c r="F6" t="s">
        <v>1043</v>
      </c>
      <c r="G6" t="s">
        <v>528</v>
      </c>
      <c r="J6">
        <v>1</v>
      </c>
      <c r="L6" s="29"/>
    </row>
    <row r="7" spans="1:12" x14ac:dyDescent="0.25">
      <c r="A7" s="59" t="str">
        <f>Tabla10[[#This Row],[TIPO_P]] &amp; "|" &amp;Tabla10[[#This Row],[Agrupación]] &amp; "|" &amp; Tabla10[[#This Row],[Sexo]] &amp; "|" &amp; Tabla10[[#This Row],[Entidad]]</f>
        <v>PS|Homicidio|Hombre|Campeche</v>
      </c>
      <c r="B7" s="60" t="s">
        <v>1050</v>
      </c>
      <c r="C7" s="16">
        <v>2017</v>
      </c>
      <c r="D7" t="s">
        <v>13</v>
      </c>
      <c r="E7" t="s">
        <v>25</v>
      </c>
      <c r="F7" t="s">
        <v>1043</v>
      </c>
      <c r="G7" t="s">
        <v>534</v>
      </c>
      <c r="J7">
        <v>9</v>
      </c>
      <c r="L7" s="29"/>
    </row>
    <row r="8" spans="1:12" x14ac:dyDescent="0.25">
      <c r="A8" s="59" t="str">
        <f>Tabla10[[#This Row],[TIPO_P]] &amp; "|" &amp;Tabla10[[#This Row],[Agrupación]] &amp; "|" &amp; Tabla10[[#This Row],[Sexo]] &amp; "|" &amp; Tabla10[[#This Row],[Entidad]]</f>
        <v>PS|Homicidio|Hombre|Coahuila de Zaragoza</v>
      </c>
      <c r="B8" s="60" t="s">
        <v>1050</v>
      </c>
      <c r="C8" s="16">
        <v>2017</v>
      </c>
      <c r="D8" t="s">
        <v>13</v>
      </c>
      <c r="E8" t="s">
        <v>25</v>
      </c>
      <c r="F8" t="s">
        <v>1043</v>
      </c>
      <c r="G8" t="s">
        <v>538</v>
      </c>
      <c r="J8">
        <v>13</v>
      </c>
      <c r="L8" s="29"/>
    </row>
    <row r="9" spans="1:12" x14ac:dyDescent="0.25">
      <c r="A9" s="59" t="str">
        <f>Tabla10[[#This Row],[TIPO_P]] &amp; "|" &amp;Tabla10[[#This Row],[Agrupación]] &amp; "|" &amp; Tabla10[[#This Row],[Sexo]] &amp; "|" &amp; Tabla10[[#This Row],[Entidad]]</f>
        <v>PS|Homicidio|Hombre|Colima</v>
      </c>
      <c r="B9" s="60" t="s">
        <v>1050</v>
      </c>
      <c r="C9" s="16">
        <v>2017</v>
      </c>
      <c r="D9" t="s">
        <v>13</v>
      </c>
      <c r="E9" t="s">
        <v>25</v>
      </c>
      <c r="F9" t="s">
        <v>1043</v>
      </c>
      <c r="G9" t="s">
        <v>547</v>
      </c>
      <c r="J9">
        <v>1</v>
      </c>
      <c r="L9" s="29"/>
    </row>
    <row r="10" spans="1:12" x14ac:dyDescent="0.25">
      <c r="A10" s="59" t="str">
        <f>Tabla10[[#This Row],[TIPO_P]] &amp; "|" &amp;Tabla10[[#This Row],[Agrupación]] &amp; "|" &amp; Tabla10[[#This Row],[Sexo]] &amp; "|" &amp; Tabla10[[#This Row],[Entidad]]</f>
        <v>PS|Homicidio|Hombre|Chiapas</v>
      </c>
      <c r="B10" s="60" t="s">
        <v>1050</v>
      </c>
      <c r="C10" s="16">
        <v>2017</v>
      </c>
      <c r="D10" t="s">
        <v>13</v>
      </c>
      <c r="E10" t="s">
        <v>25</v>
      </c>
      <c r="F10" t="s">
        <v>1043</v>
      </c>
      <c r="G10" t="s">
        <v>553</v>
      </c>
      <c r="J10">
        <v>5</v>
      </c>
      <c r="L10" s="29"/>
    </row>
    <row r="11" spans="1:12" x14ac:dyDescent="0.25">
      <c r="A11" s="59" t="str">
        <f>Tabla10[[#This Row],[TIPO_P]] &amp; "|" &amp;Tabla10[[#This Row],[Agrupación]] &amp; "|" &amp; Tabla10[[#This Row],[Sexo]] &amp; "|" &amp; Tabla10[[#This Row],[Entidad]]</f>
        <v>PS|Homicidio|Hombre|Chihuahua</v>
      </c>
      <c r="B11" s="60" t="s">
        <v>1050</v>
      </c>
      <c r="C11" s="16">
        <v>2017</v>
      </c>
      <c r="D11" t="s">
        <v>13</v>
      </c>
      <c r="E11" t="s">
        <v>25</v>
      </c>
      <c r="F11" t="s">
        <v>1043</v>
      </c>
      <c r="G11" t="s">
        <v>570</v>
      </c>
      <c r="J11">
        <v>38</v>
      </c>
      <c r="L11" s="29"/>
    </row>
    <row r="12" spans="1:12" x14ac:dyDescent="0.25">
      <c r="A12" s="59" t="str">
        <f>Tabla10[[#This Row],[TIPO_P]] &amp; "|" &amp;Tabla10[[#This Row],[Agrupación]] &amp; "|" &amp; Tabla10[[#This Row],[Sexo]] &amp; "|" &amp; Tabla10[[#This Row],[Entidad]]</f>
        <v>PS|Homicidio|Hombre|Ciudad de México</v>
      </c>
      <c r="B12" s="60" t="s">
        <v>1050</v>
      </c>
      <c r="C12" s="16">
        <v>2017</v>
      </c>
      <c r="D12" t="s">
        <v>13</v>
      </c>
      <c r="E12" t="s">
        <v>25</v>
      </c>
      <c r="F12" t="s">
        <v>1043</v>
      </c>
      <c r="G12" t="s">
        <v>582</v>
      </c>
      <c r="J12">
        <v>44</v>
      </c>
      <c r="L12" s="29"/>
    </row>
    <row r="13" spans="1:12" x14ac:dyDescent="0.25">
      <c r="A13" s="59" t="str">
        <f>Tabla10[[#This Row],[TIPO_P]] &amp; "|" &amp;Tabla10[[#This Row],[Agrupación]] &amp; "|" &amp; Tabla10[[#This Row],[Sexo]] &amp; "|" &amp; Tabla10[[#This Row],[Entidad]]</f>
        <v>PS|Homicidio|Hombre|Durango</v>
      </c>
      <c r="B13" s="60" t="s">
        <v>1050</v>
      </c>
      <c r="C13" s="16">
        <v>2017</v>
      </c>
      <c r="D13" t="s">
        <v>13</v>
      </c>
      <c r="E13" t="s">
        <v>25</v>
      </c>
      <c r="F13" t="s">
        <v>1043</v>
      </c>
      <c r="G13" t="s">
        <v>600</v>
      </c>
      <c r="J13">
        <v>8</v>
      </c>
      <c r="L13" s="29"/>
    </row>
    <row r="14" spans="1:12" x14ac:dyDescent="0.25">
      <c r="A14" s="59" t="str">
        <f>Tabla10[[#This Row],[TIPO_P]] &amp; "|" &amp;Tabla10[[#This Row],[Agrupación]] &amp; "|" &amp; Tabla10[[#This Row],[Sexo]] &amp; "|" &amp; Tabla10[[#This Row],[Entidad]]</f>
        <v>PS|Homicidio|Hombre|Guanajuato</v>
      </c>
      <c r="B14" s="60" t="s">
        <v>1050</v>
      </c>
      <c r="C14" s="16">
        <v>2017</v>
      </c>
      <c r="D14" t="s">
        <v>13</v>
      </c>
      <c r="E14" t="s">
        <v>25</v>
      </c>
      <c r="F14" t="s">
        <v>1043</v>
      </c>
      <c r="G14" t="s">
        <v>606</v>
      </c>
      <c r="J14">
        <v>26</v>
      </c>
      <c r="L14" s="29"/>
    </row>
    <row r="15" spans="1:12" x14ac:dyDescent="0.25">
      <c r="A15" s="59" t="str">
        <f>Tabla10[[#This Row],[TIPO_P]] &amp; "|" &amp;Tabla10[[#This Row],[Agrupación]] &amp; "|" &amp; Tabla10[[#This Row],[Sexo]] &amp; "|" &amp; Tabla10[[#This Row],[Entidad]]</f>
        <v>PS|Homicidio|Hombre|Guerrero</v>
      </c>
      <c r="B15" s="60" t="s">
        <v>1050</v>
      </c>
      <c r="C15" s="16">
        <v>2017</v>
      </c>
      <c r="D15" t="s">
        <v>13</v>
      </c>
      <c r="E15" t="s">
        <v>25</v>
      </c>
      <c r="F15" t="s">
        <v>1043</v>
      </c>
      <c r="G15" t="s">
        <v>619</v>
      </c>
      <c r="J15">
        <v>16</v>
      </c>
      <c r="L15" s="29"/>
    </row>
    <row r="16" spans="1:12" x14ac:dyDescent="0.25">
      <c r="A16" s="59" t="str">
        <f>Tabla10[[#This Row],[TIPO_P]] &amp; "|" &amp;Tabla10[[#This Row],[Agrupación]] &amp; "|" &amp; Tabla10[[#This Row],[Sexo]] &amp; "|" &amp; Tabla10[[#This Row],[Entidad]]</f>
        <v>PS|Homicidio|Hombre|Hidalgo</v>
      </c>
      <c r="B16" s="60" t="s">
        <v>1050</v>
      </c>
      <c r="C16" s="16">
        <v>2017</v>
      </c>
      <c r="D16" t="s">
        <v>13</v>
      </c>
      <c r="E16" t="s">
        <v>25</v>
      </c>
      <c r="F16" t="s">
        <v>1043</v>
      </c>
      <c r="G16" t="s">
        <v>633</v>
      </c>
      <c r="J16">
        <v>11</v>
      </c>
      <c r="L16" s="29"/>
    </row>
    <row r="17" spans="1:12" x14ac:dyDescent="0.25">
      <c r="A17" s="59" t="str">
        <f>Tabla10[[#This Row],[TIPO_P]] &amp; "|" &amp;Tabla10[[#This Row],[Agrupación]] &amp; "|" &amp; Tabla10[[#This Row],[Sexo]] &amp; "|" &amp; Tabla10[[#This Row],[Entidad]]</f>
        <v>PS|Homicidio|Hombre|Jalisco</v>
      </c>
      <c r="B17" s="60" t="s">
        <v>1050</v>
      </c>
      <c r="C17" s="16">
        <v>2017</v>
      </c>
      <c r="D17" t="s">
        <v>13</v>
      </c>
      <c r="E17" t="s">
        <v>25</v>
      </c>
      <c r="F17" t="s">
        <v>1043</v>
      </c>
      <c r="G17" t="s">
        <v>647</v>
      </c>
      <c r="J17">
        <v>57</v>
      </c>
      <c r="L17" s="29"/>
    </row>
    <row r="18" spans="1:12" x14ac:dyDescent="0.25">
      <c r="A18" s="59" t="str">
        <f>Tabla10[[#This Row],[TIPO_P]] &amp; "|" &amp;Tabla10[[#This Row],[Agrupación]] &amp; "|" &amp; Tabla10[[#This Row],[Sexo]] &amp; "|" &amp; Tabla10[[#This Row],[Entidad]]</f>
        <v>PS|Homicidio|Hombre|México</v>
      </c>
      <c r="B18" s="60" t="s">
        <v>1050</v>
      </c>
      <c r="C18" s="16">
        <v>2017</v>
      </c>
      <c r="D18" t="s">
        <v>13</v>
      </c>
      <c r="E18" t="s">
        <v>25</v>
      </c>
      <c r="F18" t="s">
        <v>1043</v>
      </c>
      <c r="G18" t="s">
        <v>662</v>
      </c>
      <c r="J18">
        <v>44</v>
      </c>
      <c r="L18" s="29"/>
    </row>
    <row r="19" spans="1:12" x14ac:dyDescent="0.25">
      <c r="A19" s="59" t="str">
        <f>Tabla10[[#This Row],[TIPO_P]] &amp; "|" &amp;Tabla10[[#This Row],[Agrupación]] &amp; "|" &amp; Tabla10[[#This Row],[Sexo]] &amp; "|" &amp; Tabla10[[#This Row],[Entidad]]</f>
        <v>PS|Homicidio|Hombre|Michoacán de Ocampo</v>
      </c>
      <c r="B19" s="60" t="s">
        <v>1050</v>
      </c>
      <c r="C19" s="16">
        <v>2017</v>
      </c>
      <c r="D19" t="s">
        <v>13</v>
      </c>
      <c r="E19" t="s">
        <v>25</v>
      </c>
      <c r="F19" t="s">
        <v>1043</v>
      </c>
      <c r="G19" t="s">
        <v>685</v>
      </c>
      <c r="J19">
        <v>0</v>
      </c>
      <c r="L19" s="29"/>
    </row>
    <row r="20" spans="1:12" x14ac:dyDescent="0.25">
      <c r="A20" s="59" t="str">
        <f>Tabla10[[#This Row],[TIPO_P]] &amp; "|" &amp;Tabla10[[#This Row],[Agrupación]] &amp; "|" &amp; Tabla10[[#This Row],[Sexo]] &amp; "|" &amp; Tabla10[[#This Row],[Entidad]]</f>
        <v>PS|Homicidio|Hombre|Morelos</v>
      </c>
      <c r="B20" s="60" t="s">
        <v>1050</v>
      </c>
      <c r="C20" s="16">
        <v>2017</v>
      </c>
      <c r="D20" t="s">
        <v>13</v>
      </c>
      <c r="E20" t="s">
        <v>25</v>
      </c>
      <c r="F20" t="s">
        <v>1043</v>
      </c>
      <c r="G20" t="s">
        <v>698</v>
      </c>
      <c r="J20">
        <v>13</v>
      </c>
      <c r="L20" s="29"/>
    </row>
    <row r="21" spans="1:12" x14ac:dyDescent="0.25">
      <c r="A21" s="59" t="str">
        <f>Tabla10[[#This Row],[TIPO_P]] &amp; "|" &amp;Tabla10[[#This Row],[Agrupación]] &amp; "|" &amp; Tabla10[[#This Row],[Sexo]] &amp; "|" &amp; Tabla10[[#This Row],[Entidad]]</f>
        <v>PS|Homicidio|Hombre|Nayarit</v>
      </c>
      <c r="B21" s="60" t="s">
        <v>1050</v>
      </c>
      <c r="C21" s="16">
        <v>2017</v>
      </c>
      <c r="D21" t="s">
        <v>13</v>
      </c>
      <c r="E21" t="s">
        <v>25</v>
      </c>
      <c r="F21" t="s">
        <v>1043</v>
      </c>
      <c r="G21" t="s">
        <v>705</v>
      </c>
      <c r="J21">
        <v>7</v>
      </c>
      <c r="L21" s="29"/>
    </row>
    <row r="22" spans="1:12" x14ac:dyDescent="0.25">
      <c r="A22" s="59" t="str">
        <f>Tabla10[[#This Row],[TIPO_P]] &amp; "|" &amp;Tabla10[[#This Row],[Agrupación]] &amp; "|" &amp; Tabla10[[#This Row],[Sexo]] &amp; "|" &amp; Tabla10[[#This Row],[Entidad]]</f>
        <v>PS|Homicidio|Hombre|Nuevo León</v>
      </c>
      <c r="B22" s="60" t="s">
        <v>1050</v>
      </c>
      <c r="C22" s="16">
        <v>2017</v>
      </c>
      <c r="D22" t="s">
        <v>13</v>
      </c>
      <c r="E22" t="s">
        <v>25</v>
      </c>
      <c r="F22" t="s">
        <v>1043</v>
      </c>
      <c r="G22" t="s">
        <v>710</v>
      </c>
      <c r="J22">
        <v>36</v>
      </c>
      <c r="L22" s="29"/>
    </row>
    <row r="23" spans="1:12" x14ac:dyDescent="0.25">
      <c r="A23" s="59" t="str">
        <f>Tabla10[[#This Row],[TIPO_P]] &amp; "|" &amp;Tabla10[[#This Row],[Agrupación]] &amp; "|" &amp; Tabla10[[#This Row],[Sexo]] &amp; "|" &amp; Tabla10[[#This Row],[Entidad]]</f>
        <v>PS|Homicidio|Hombre|Oaxaca</v>
      </c>
      <c r="B23" s="60" t="s">
        <v>1050</v>
      </c>
      <c r="C23" s="16">
        <v>2017</v>
      </c>
      <c r="D23" t="s">
        <v>13</v>
      </c>
      <c r="E23" t="s">
        <v>25</v>
      </c>
      <c r="F23" t="s">
        <v>1043</v>
      </c>
      <c r="G23" t="s">
        <v>716</v>
      </c>
      <c r="J23">
        <v>15</v>
      </c>
      <c r="L23" s="29"/>
    </row>
    <row r="24" spans="1:12" x14ac:dyDescent="0.25">
      <c r="A24" s="59" t="str">
        <f>Tabla10[[#This Row],[TIPO_P]] &amp; "|" &amp;Tabla10[[#This Row],[Agrupación]] &amp; "|" &amp; Tabla10[[#This Row],[Sexo]] &amp; "|" &amp; Tabla10[[#This Row],[Entidad]]</f>
        <v>PS|Homicidio|Hombre|Puebla</v>
      </c>
      <c r="B24" s="60" t="s">
        <v>1050</v>
      </c>
      <c r="C24" s="16">
        <v>2017</v>
      </c>
      <c r="D24" t="s">
        <v>13</v>
      </c>
      <c r="E24" t="s">
        <v>25</v>
      </c>
      <c r="F24" t="s">
        <v>1043</v>
      </c>
      <c r="G24" t="s">
        <v>727</v>
      </c>
      <c r="J24">
        <v>20</v>
      </c>
      <c r="L24" s="29"/>
    </row>
    <row r="25" spans="1:12" x14ac:dyDescent="0.25">
      <c r="A25" s="59" t="str">
        <f>Tabla10[[#This Row],[TIPO_P]] &amp; "|" &amp;Tabla10[[#This Row],[Agrupación]] &amp; "|" &amp; Tabla10[[#This Row],[Sexo]] &amp; "|" &amp; Tabla10[[#This Row],[Entidad]]</f>
        <v>PS|Homicidio|Hombre|Querétaro</v>
      </c>
      <c r="B25" s="60" t="s">
        <v>1050</v>
      </c>
      <c r="C25" s="16">
        <v>2017</v>
      </c>
      <c r="D25" t="s">
        <v>13</v>
      </c>
      <c r="E25" t="s">
        <v>25</v>
      </c>
      <c r="F25" t="s">
        <v>1043</v>
      </c>
      <c r="G25" t="s">
        <v>731</v>
      </c>
      <c r="J25">
        <v>20</v>
      </c>
      <c r="L25" s="29"/>
    </row>
    <row r="26" spans="1:12" x14ac:dyDescent="0.25">
      <c r="A26" s="59" t="str">
        <f>Tabla10[[#This Row],[TIPO_P]] &amp; "|" &amp;Tabla10[[#This Row],[Agrupación]] &amp; "|" &amp; Tabla10[[#This Row],[Sexo]] &amp; "|" &amp; Tabla10[[#This Row],[Entidad]]</f>
        <v>PS|Homicidio|Hombre|Quintana Roo</v>
      </c>
      <c r="B26" s="60" t="s">
        <v>1050</v>
      </c>
      <c r="C26" s="16">
        <v>2017</v>
      </c>
      <c r="D26" t="s">
        <v>13</v>
      </c>
      <c r="E26" t="s">
        <v>25</v>
      </c>
      <c r="F26" t="s">
        <v>1043</v>
      </c>
      <c r="G26" t="s">
        <v>737</v>
      </c>
      <c r="J26">
        <v>4</v>
      </c>
      <c r="L26" s="29"/>
    </row>
    <row r="27" spans="1:12" x14ac:dyDescent="0.25">
      <c r="A27" s="59" t="str">
        <f>Tabla10[[#This Row],[TIPO_P]] &amp; "|" &amp;Tabla10[[#This Row],[Agrupación]] &amp; "|" &amp; Tabla10[[#This Row],[Sexo]] &amp; "|" &amp; Tabla10[[#This Row],[Entidad]]</f>
        <v>PS|Homicidio|Hombre|San Luis Potosí</v>
      </c>
      <c r="B27" s="60" t="s">
        <v>1050</v>
      </c>
      <c r="C27" s="16">
        <v>2017</v>
      </c>
      <c r="D27" t="s">
        <v>13</v>
      </c>
      <c r="E27" t="s">
        <v>25</v>
      </c>
      <c r="F27" t="s">
        <v>1043</v>
      </c>
      <c r="G27" t="s">
        <v>741</v>
      </c>
      <c r="J27">
        <v>6</v>
      </c>
      <c r="L27" s="29"/>
    </row>
    <row r="28" spans="1:12" x14ac:dyDescent="0.25">
      <c r="A28" s="59" t="str">
        <f>Tabla10[[#This Row],[TIPO_P]] &amp; "|" &amp;Tabla10[[#This Row],[Agrupación]] &amp; "|" &amp; Tabla10[[#This Row],[Sexo]] &amp; "|" &amp; Tabla10[[#This Row],[Entidad]]</f>
        <v>PS|Homicidio|Hombre|Sinaloa</v>
      </c>
      <c r="B28" s="60" t="s">
        <v>1050</v>
      </c>
      <c r="C28" s="16">
        <v>2017</v>
      </c>
      <c r="D28" t="s">
        <v>13</v>
      </c>
      <c r="E28" t="s">
        <v>25</v>
      </c>
      <c r="F28" t="s">
        <v>1043</v>
      </c>
      <c r="G28" t="s">
        <v>749</v>
      </c>
      <c r="J28">
        <v>3</v>
      </c>
      <c r="L28" s="29"/>
    </row>
    <row r="29" spans="1:12" x14ac:dyDescent="0.25">
      <c r="A29" s="59" t="str">
        <f>Tabla10[[#This Row],[TIPO_P]] &amp; "|" &amp;Tabla10[[#This Row],[Agrupación]] &amp; "|" &amp; Tabla10[[#This Row],[Sexo]] &amp; "|" &amp; Tabla10[[#This Row],[Entidad]]</f>
        <v>PS|Homicidio|Hombre|Sonora</v>
      </c>
      <c r="B29" s="60" t="s">
        <v>1050</v>
      </c>
      <c r="C29" s="16">
        <v>2017</v>
      </c>
      <c r="D29" t="s">
        <v>13</v>
      </c>
      <c r="E29" t="s">
        <v>25</v>
      </c>
      <c r="F29" t="s">
        <v>1043</v>
      </c>
      <c r="G29" t="s">
        <v>755</v>
      </c>
      <c r="J29">
        <v>51</v>
      </c>
      <c r="L29" s="29"/>
    </row>
    <row r="30" spans="1:12" x14ac:dyDescent="0.25">
      <c r="A30" s="59" t="str">
        <f>Tabla10[[#This Row],[TIPO_P]] &amp; "|" &amp;Tabla10[[#This Row],[Agrupación]] &amp; "|" &amp; Tabla10[[#This Row],[Sexo]] &amp; "|" &amp; Tabla10[[#This Row],[Entidad]]</f>
        <v>PS|Homicidio|Hombre|Tabasco</v>
      </c>
      <c r="B30" s="60" t="s">
        <v>1050</v>
      </c>
      <c r="C30" s="16">
        <v>2017</v>
      </c>
      <c r="D30" t="s">
        <v>13</v>
      </c>
      <c r="E30" t="s">
        <v>25</v>
      </c>
      <c r="F30" t="s">
        <v>1043</v>
      </c>
      <c r="G30" t="s">
        <v>775</v>
      </c>
      <c r="J30">
        <v>1</v>
      </c>
      <c r="L30" s="29"/>
    </row>
    <row r="31" spans="1:12" x14ac:dyDescent="0.25">
      <c r="A31" s="59" t="str">
        <f>Tabla10[[#This Row],[TIPO_P]] &amp; "|" &amp;Tabla10[[#This Row],[Agrupación]] &amp; "|" &amp; Tabla10[[#This Row],[Sexo]] &amp; "|" &amp; Tabla10[[#This Row],[Entidad]]</f>
        <v>PS|Homicidio|Hombre|Tamaulipas</v>
      </c>
      <c r="B31" s="60" t="s">
        <v>1050</v>
      </c>
      <c r="C31" s="16">
        <v>2017</v>
      </c>
      <c r="D31" t="s">
        <v>13</v>
      </c>
      <c r="E31" t="s">
        <v>25</v>
      </c>
      <c r="F31" t="s">
        <v>1043</v>
      </c>
      <c r="G31" t="s">
        <v>785</v>
      </c>
      <c r="J31">
        <v>6</v>
      </c>
      <c r="L31" s="29"/>
    </row>
    <row r="32" spans="1:12" x14ac:dyDescent="0.25">
      <c r="A32" s="59" t="str">
        <f>Tabla10[[#This Row],[TIPO_P]] &amp; "|" &amp;Tabla10[[#This Row],[Agrupación]] &amp; "|" &amp; Tabla10[[#This Row],[Sexo]] &amp; "|" &amp; Tabla10[[#This Row],[Entidad]]</f>
        <v>PS|Homicidio|Hombre|Tlaxcala</v>
      </c>
      <c r="B32" s="60" t="s">
        <v>1050</v>
      </c>
      <c r="C32" s="16">
        <v>2017</v>
      </c>
      <c r="D32" t="s">
        <v>13</v>
      </c>
      <c r="E32" t="s">
        <v>25</v>
      </c>
      <c r="F32" t="s">
        <v>1043</v>
      </c>
      <c r="G32" t="s">
        <v>797</v>
      </c>
      <c r="J32">
        <v>4</v>
      </c>
      <c r="L32" s="29"/>
    </row>
    <row r="33" spans="1:12" x14ac:dyDescent="0.25">
      <c r="A33" s="59" t="str">
        <f>Tabla10[[#This Row],[TIPO_P]] &amp; "|" &amp;Tabla10[[#This Row],[Agrupación]] &amp; "|" &amp; Tabla10[[#This Row],[Sexo]] &amp; "|" &amp; Tabla10[[#This Row],[Entidad]]</f>
        <v>PS|Homicidio|Hombre|Veracruz de Ignacio de la Llave</v>
      </c>
      <c r="B33" s="60" t="s">
        <v>1050</v>
      </c>
      <c r="C33" s="16">
        <v>2017</v>
      </c>
      <c r="D33" t="s">
        <v>13</v>
      </c>
      <c r="E33" t="s">
        <v>25</v>
      </c>
      <c r="F33" t="s">
        <v>1043</v>
      </c>
      <c r="G33" t="s">
        <v>802</v>
      </c>
      <c r="J33">
        <v>12</v>
      </c>
      <c r="L33" s="29"/>
    </row>
    <row r="34" spans="1:12" x14ac:dyDescent="0.25">
      <c r="A34" s="59" t="str">
        <f>Tabla10[[#This Row],[TIPO_P]] &amp; "|" &amp;Tabla10[[#This Row],[Agrupación]] &amp; "|" &amp; Tabla10[[#This Row],[Sexo]] &amp; "|" &amp; Tabla10[[#This Row],[Entidad]]</f>
        <v>PS|Homicidio|Hombre|Yucatán</v>
      </c>
      <c r="B34" s="60" t="s">
        <v>1050</v>
      </c>
      <c r="C34" s="16">
        <v>2017</v>
      </c>
      <c r="D34" t="s">
        <v>13</v>
      </c>
      <c r="E34" t="s">
        <v>25</v>
      </c>
      <c r="F34" t="s">
        <v>1043</v>
      </c>
      <c r="G34" t="s">
        <v>822</v>
      </c>
      <c r="J34">
        <v>5</v>
      </c>
      <c r="L34" s="29"/>
    </row>
    <row r="35" spans="1:12" x14ac:dyDescent="0.25">
      <c r="A35" s="59" t="str">
        <f>Tabla10[[#This Row],[TIPO_P]] &amp; "|" &amp;Tabla10[[#This Row],[Agrupación]] &amp; "|" &amp; Tabla10[[#This Row],[Sexo]] &amp; "|" &amp; Tabla10[[#This Row],[Entidad]]</f>
        <v>PS|Homicidio|Hombre|Zacatecas</v>
      </c>
      <c r="B35" s="60" t="s">
        <v>1050</v>
      </c>
      <c r="C35" s="16">
        <v>2017</v>
      </c>
      <c r="D35" t="s">
        <v>13</v>
      </c>
      <c r="E35" t="s">
        <v>25</v>
      </c>
      <c r="F35" t="s">
        <v>1043</v>
      </c>
      <c r="G35" t="s">
        <v>827</v>
      </c>
      <c r="J35">
        <v>20</v>
      </c>
      <c r="L35" s="29"/>
    </row>
    <row r="36" spans="1:12" x14ac:dyDescent="0.25">
      <c r="A36" s="59" t="str">
        <f>Tabla10[[#This Row],[TIPO_P]] &amp; "|" &amp;Tabla10[[#This Row],[Agrupación]] &amp; "|" &amp; Tabla10[[#This Row],[Sexo]] &amp; "|" &amp; Tabla10[[#This Row],[Entidad]]</f>
        <v>PS|Homicidio|Mujer|Baja California</v>
      </c>
      <c r="B36" s="60" t="s">
        <v>1050</v>
      </c>
      <c r="C36" s="16">
        <v>2017</v>
      </c>
      <c r="D36" t="s">
        <v>13</v>
      </c>
      <c r="E36" t="s">
        <v>25</v>
      </c>
      <c r="F36" t="s">
        <v>1042</v>
      </c>
      <c r="G36" t="s">
        <v>519</v>
      </c>
      <c r="J36">
        <v>1</v>
      </c>
      <c r="L36" s="29"/>
    </row>
    <row r="37" spans="1:12" x14ac:dyDescent="0.25">
      <c r="A37" s="59" t="str">
        <f>Tabla10[[#This Row],[TIPO_P]] &amp; "|" &amp;Tabla10[[#This Row],[Agrupación]] &amp; "|" &amp; Tabla10[[#This Row],[Sexo]] &amp; "|" &amp; Tabla10[[#This Row],[Entidad]]</f>
        <v>PS|Homicidio|Mujer|Baja California Sur</v>
      </c>
      <c r="B37" s="60" t="s">
        <v>1050</v>
      </c>
      <c r="C37" s="16">
        <v>2017</v>
      </c>
      <c r="D37" t="s">
        <v>13</v>
      </c>
      <c r="E37" t="s">
        <v>25</v>
      </c>
      <c r="F37" t="s">
        <v>1042</v>
      </c>
      <c r="G37" t="s">
        <v>528</v>
      </c>
      <c r="J37">
        <v>1</v>
      </c>
      <c r="L37" s="29"/>
    </row>
    <row r="38" spans="1:12" x14ac:dyDescent="0.25">
      <c r="A38" s="59" t="str">
        <f>Tabla10[[#This Row],[TIPO_P]] &amp; "|" &amp;Tabla10[[#This Row],[Agrupación]] &amp; "|" &amp; Tabla10[[#This Row],[Sexo]] &amp; "|" &amp; Tabla10[[#This Row],[Entidad]]</f>
        <v>PS|Homicidio|Mujer|Campeche</v>
      </c>
      <c r="B38" s="60" t="s">
        <v>1050</v>
      </c>
      <c r="C38" s="16">
        <v>2017</v>
      </c>
      <c r="D38" t="s">
        <v>13</v>
      </c>
      <c r="E38" t="s">
        <v>25</v>
      </c>
      <c r="F38" t="s">
        <v>1042</v>
      </c>
      <c r="G38" t="s">
        <v>534</v>
      </c>
      <c r="J38">
        <v>1</v>
      </c>
      <c r="L38" s="29"/>
    </row>
    <row r="39" spans="1:12" x14ac:dyDescent="0.25">
      <c r="A39" s="59" t="str">
        <f>Tabla10[[#This Row],[TIPO_P]] &amp; "|" &amp;Tabla10[[#This Row],[Agrupación]] &amp; "|" &amp; Tabla10[[#This Row],[Sexo]] &amp; "|" &amp; Tabla10[[#This Row],[Entidad]]</f>
        <v>PS|Homicidio|Mujer|Coahuila de Zaragoza</v>
      </c>
      <c r="B39" s="60" t="s">
        <v>1050</v>
      </c>
      <c r="C39" s="16">
        <v>2017</v>
      </c>
      <c r="D39" t="s">
        <v>13</v>
      </c>
      <c r="E39" t="s">
        <v>25</v>
      </c>
      <c r="F39" t="s">
        <v>1042</v>
      </c>
      <c r="G39" t="s">
        <v>538</v>
      </c>
      <c r="J39">
        <v>2</v>
      </c>
      <c r="L39" s="29"/>
    </row>
    <row r="40" spans="1:12" x14ac:dyDescent="0.25">
      <c r="A40" s="59" t="str">
        <f>Tabla10[[#This Row],[TIPO_P]] &amp; "|" &amp;Tabla10[[#This Row],[Agrupación]] &amp; "|" &amp; Tabla10[[#This Row],[Sexo]] &amp; "|" &amp; Tabla10[[#This Row],[Entidad]]</f>
        <v>PS|Homicidio|Mujer|Colima</v>
      </c>
      <c r="B40" s="60" t="s">
        <v>1050</v>
      </c>
      <c r="C40" s="16">
        <v>2017</v>
      </c>
      <c r="D40" t="s">
        <v>13</v>
      </c>
      <c r="E40" t="s">
        <v>25</v>
      </c>
      <c r="F40" t="s">
        <v>1042</v>
      </c>
      <c r="G40" t="s">
        <v>547</v>
      </c>
      <c r="J40">
        <v>0</v>
      </c>
      <c r="L40" s="29"/>
    </row>
    <row r="41" spans="1:12" x14ac:dyDescent="0.25">
      <c r="A41" s="59" t="str">
        <f>Tabla10[[#This Row],[TIPO_P]] &amp; "|" &amp;Tabla10[[#This Row],[Agrupación]] &amp; "|" &amp; Tabla10[[#This Row],[Sexo]] &amp; "|" &amp; Tabla10[[#This Row],[Entidad]]</f>
        <v>PS|Homicidio|Mujer|Chiapas</v>
      </c>
      <c r="B41" s="60" t="s">
        <v>1050</v>
      </c>
      <c r="C41" s="16">
        <v>2017</v>
      </c>
      <c r="D41" t="s">
        <v>13</v>
      </c>
      <c r="E41" t="s">
        <v>25</v>
      </c>
      <c r="F41" t="s">
        <v>1042</v>
      </c>
      <c r="G41" t="s">
        <v>553</v>
      </c>
      <c r="J41">
        <v>0</v>
      </c>
      <c r="L41" s="29"/>
    </row>
    <row r="42" spans="1:12" x14ac:dyDescent="0.25">
      <c r="A42" s="59" t="str">
        <f>Tabla10[[#This Row],[TIPO_P]] &amp; "|" &amp;Tabla10[[#This Row],[Agrupación]] &amp; "|" &amp; Tabla10[[#This Row],[Sexo]] &amp; "|" &amp; Tabla10[[#This Row],[Entidad]]</f>
        <v>PS|Homicidio|Mujer|Chihuahua</v>
      </c>
      <c r="B42" s="60" t="s">
        <v>1050</v>
      </c>
      <c r="C42" s="16">
        <v>2017</v>
      </c>
      <c r="D42" t="s">
        <v>13</v>
      </c>
      <c r="E42" t="s">
        <v>25</v>
      </c>
      <c r="F42" t="s">
        <v>1042</v>
      </c>
      <c r="G42" t="s">
        <v>570</v>
      </c>
      <c r="J42">
        <v>2</v>
      </c>
      <c r="L42" s="29"/>
    </row>
    <row r="43" spans="1:12" x14ac:dyDescent="0.25">
      <c r="A43" s="59" t="str">
        <f>Tabla10[[#This Row],[TIPO_P]] &amp; "|" &amp;Tabla10[[#This Row],[Agrupación]] &amp; "|" &amp; Tabla10[[#This Row],[Sexo]] &amp; "|" &amp; Tabla10[[#This Row],[Entidad]]</f>
        <v>PS|Homicidio|Mujer|Ciudad de México</v>
      </c>
      <c r="B43" s="60" t="s">
        <v>1050</v>
      </c>
      <c r="C43" s="16">
        <v>2017</v>
      </c>
      <c r="D43" t="s">
        <v>13</v>
      </c>
      <c r="E43" t="s">
        <v>25</v>
      </c>
      <c r="F43" t="s">
        <v>1042</v>
      </c>
      <c r="G43" t="s">
        <v>582</v>
      </c>
      <c r="J43">
        <v>3</v>
      </c>
      <c r="L43" s="29"/>
    </row>
    <row r="44" spans="1:12" x14ac:dyDescent="0.25">
      <c r="A44" s="59" t="str">
        <f>Tabla10[[#This Row],[TIPO_P]] &amp; "|" &amp;Tabla10[[#This Row],[Agrupación]] &amp; "|" &amp; Tabla10[[#This Row],[Sexo]] &amp; "|" &amp; Tabla10[[#This Row],[Entidad]]</f>
        <v>PS|Homicidio|Mujer|Durango</v>
      </c>
      <c r="B44" s="60" t="s">
        <v>1050</v>
      </c>
      <c r="C44" s="16">
        <v>2017</v>
      </c>
      <c r="D44" t="s">
        <v>13</v>
      </c>
      <c r="E44" t="s">
        <v>25</v>
      </c>
      <c r="F44" t="s">
        <v>1042</v>
      </c>
      <c r="G44" t="s">
        <v>600</v>
      </c>
      <c r="J44">
        <v>0</v>
      </c>
      <c r="L44" s="29"/>
    </row>
    <row r="45" spans="1:12" x14ac:dyDescent="0.25">
      <c r="A45" s="59" t="str">
        <f>Tabla10[[#This Row],[TIPO_P]] &amp; "|" &amp;Tabla10[[#This Row],[Agrupación]] &amp; "|" &amp; Tabla10[[#This Row],[Sexo]] &amp; "|" &amp; Tabla10[[#This Row],[Entidad]]</f>
        <v>PS|Homicidio|Mujer|Guanajuato</v>
      </c>
      <c r="B45" s="60" t="s">
        <v>1050</v>
      </c>
      <c r="C45" s="16">
        <v>2017</v>
      </c>
      <c r="D45" t="s">
        <v>13</v>
      </c>
      <c r="E45" t="s">
        <v>25</v>
      </c>
      <c r="F45" t="s">
        <v>1042</v>
      </c>
      <c r="G45" t="s">
        <v>606</v>
      </c>
      <c r="J45">
        <v>0</v>
      </c>
      <c r="L45" s="29"/>
    </row>
    <row r="46" spans="1:12" x14ac:dyDescent="0.25">
      <c r="A46" s="59" t="str">
        <f>Tabla10[[#This Row],[TIPO_P]] &amp; "|" &amp;Tabla10[[#This Row],[Agrupación]] &amp; "|" &amp; Tabla10[[#This Row],[Sexo]] &amp; "|" &amp; Tabla10[[#This Row],[Entidad]]</f>
        <v>PS|Homicidio|Mujer|Guerrero</v>
      </c>
      <c r="B46" s="60" t="s">
        <v>1050</v>
      </c>
      <c r="C46" s="16">
        <v>2017</v>
      </c>
      <c r="D46" t="s">
        <v>13</v>
      </c>
      <c r="E46" t="s">
        <v>25</v>
      </c>
      <c r="F46" t="s">
        <v>1042</v>
      </c>
      <c r="G46" t="s">
        <v>619</v>
      </c>
      <c r="J46">
        <v>0</v>
      </c>
      <c r="L46" s="29"/>
    </row>
    <row r="47" spans="1:12" x14ac:dyDescent="0.25">
      <c r="A47" s="59" t="str">
        <f>Tabla10[[#This Row],[TIPO_P]] &amp; "|" &amp;Tabla10[[#This Row],[Agrupación]] &amp; "|" &amp; Tabla10[[#This Row],[Sexo]] &amp; "|" &amp; Tabla10[[#This Row],[Entidad]]</f>
        <v>PS|Homicidio|Mujer|Hidalgo</v>
      </c>
      <c r="B47" s="60" t="s">
        <v>1050</v>
      </c>
      <c r="C47" s="16">
        <v>2017</v>
      </c>
      <c r="D47" t="s">
        <v>13</v>
      </c>
      <c r="E47" t="s">
        <v>25</v>
      </c>
      <c r="F47" t="s">
        <v>1042</v>
      </c>
      <c r="G47" t="s">
        <v>633</v>
      </c>
      <c r="J47">
        <v>1</v>
      </c>
      <c r="L47" s="29"/>
    </row>
    <row r="48" spans="1:12" x14ac:dyDescent="0.25">
      <c r="A48" s="59" t="str">
        <f>Tabla10[[#This Row],[TIPO_P]] &amp; "|" &amp;Tabla10[[#This Row],[Agrupación]] &amp; "|" &amp; Tabla10[[#This Row],[Sexo]] &amp; "|" &amp; Tabla10[[#This Row],[Entidad]]</f>
        <v>PS|Homicidio|Mujer|Jalisco</v>
      </c>
      <c r="B48" s="60" t="s">
        <v>1050</v>
      </c>
      <c r="C48" s="16">
        <v>2017</v>
      </c>
      <c r="D48" t="s">
        <v>13</v>
      </c>
      <c r="E48" t="s">
        <v>25</v>
      </c>
      <c r="F48" t="s">
        <v>1042</v>
      </c>
      <c r="G48" t="s">
        <v>647</v>
      </c>
      <c r="J48">
        <v>4</v>
      </c>
      <c r="L48" s="29"/>
    </row>
    <row r="49" spans="1:12" x14ac:dyDescent="0.25">
      <c r="A49" s="59" t="str">
        <f>Tabla10[[#This Row],[TIPO_P]] &amp; "|" &amp;Tabla10[[#This Row],[Agrupación]] &amp; "|" &amp; Tabla10[[#This Row],[Sexo]] &amp; "|" &amp; Tabla10[[#This Row],[Entidad]]</f>
        <v>PS|Homicidio|Mujer|México</v>
      </c>
      <c r="B49" s="60" t="s">
        <v>1050</v>
      </c>
      <c r="C49" s="16">
        <v>2017</v>
      </c>
      <c r="D49" t="s">
        <v>13</v>
      </c>
      <c r="E49" t="s">
        <v>25</v>
      </c>
      <c r="F49" t="s">
        <v>1042</v>
      </c>
      <c r="G49" t="s">
        <v>662</v>
      </c>
      <c r="J49">
        <v>7</v>
      </c>
      <c r="L49" s="29"/>
    </row>
    <row r="50" spans="1:12" x14ac:dyDescent="0.25">
      <c r="A50" s="59" t="str">
        <f>Tabla10[[#This Row],[TIPO_P]] &amp; "|" &amp;Tabla10[[#This Row],[Agrupación]] &amp; "|" &amp; Tabla10[[#This Row],[Sexo]] &amp; "|" &amp; Tabla10[[#This Row],[Entidad]]</f>
        <v>PS|Homicidio|Mujer|Michoacán de Ocampo</v>
      </c>
      <c r="B50" s="60" t="s">
        <v>1050</v>
      </c>
      <c r="C50" s="16">
        <v>2017</v>
      </c>
      <c r="D50" t="s">
        <v>13</v>
      </c>
      <c r="E50" t="s">
        <v>25</v>
      </c>
      <c r="F50" t="s">
        <v>1042</v>
      </c>
      <c r="G50" t="s">
        <v>685</v>
      </c>
      <c r="J50">
        <v>0</v>
      </c>
      <c r="L50" s="29"/>
    </row>
    <row r="51" spans="1:12" x14ac:dyDescent="0.25">
      <c r="A51" s="59" t="str">
        <f>Tabla10[[#This Row],[TIPO_P]] &amp; "|" &amp;Tabla10[[#This Row],[Agrupación]] &amp; "|" &amp; Tabla10[[#This Row],[Sexo]] &amp; "|" &amp; Tabla10[[#This Row],[Entidad]]</f>
        <v>PS|Homicidio|Mujer|Morelos</v>
      </c>
      <c r="B51" s="60" t="s">
        <v>1050</v>
      </c>
      <c r="C51" s="16">
        <v>2017</v>
      </c>
      <c r="D51" t="s">
        <v>13</v>
      </c>
      <c r="E51" t="s">
        <v>25</v>
      </c>
      <c r="F51" t="s">
        <v>1042</v>
      </c>
      <c r="G51" t="s">
        <v>698</v>
      </c>
      <c r="J51">
        <v>0</v>
      </c>
      <c r="L51" s="29"/>
    </row>
    <row r="52" spans="1:12" x14ac:dyDescent="0.25">
      <c r="A52" s="59" t="str">
        <f>Tabla10[[#This Row],[TIPO_P]] &amp; "|" &amp;Tabla10[[#This Row],[Agrupación]] &amp; "|" &amp; Tabla10[[#This Row],[Sexo]] &amp; "|" &amp; Tabla10[[#This Row],[Entidad]]</f>
        <v>PS|Homicidio|Mujer|Nayarit</v>
      </c>
      <c r="B52" s="60" t="s">
        <v>1050</v>
      </c>
      <c r="C52" s="16">
        <v>2017</v>
      </c>
      <c r="D52" t="s">
        <v>13</v>
      </c>
      <c r="E52" t="s">
        <v>25</v>
      </c>
      <c r="F52" t="s">
        <v>1042</v>
      </c>
      <c r="G52" t="s">
        <v>705</v>
      </c>
      <c r="J52">
        <v>0</v>
      </c>
      <c r="L52" s="29"/>
    </row>
    <row r="53" spans="1:12" x14ac:dyDescent="0.25">
      <c r="A53" s="59" t="str">
        <f>Tabla10[[#This Row],[TIPO_P]] &amp; "|" &amp;Tabla10[[#This Row],[Agrupación]] &amp; "|" &amp; Tabla10[[#This Row],[Sexo]] &amp; "|" &amp; Tabla10[[#This Row],[Entidad]]</f>
        <v>PS|Homicidio|Mujer|Nuevo León</v>
      </c>
      <c r="B53" s="60" t="s">
        <v>1050</v>
      </c>
      <c r="C53" s="16">
        <v>2017</v>
      </c>
      <c r="D53" t="s">
        <v>13</v>
      </c>
      <c r="E53" t="s">
        <v>25</v>
      </c>
      <c r="F53" t="s">
        <v>1042</v>
      </c>
      <c r="G53" t="s">
        <v>710</v>
      </c>
      <c r="J53">
        <v>1</v>
      </c>
      <c r="L53" s="29"/>
    </row>
    <row r="54" spans="1:12" x14ac:dyDescent="0.25">
      <c r="A54" s="59" t="str">
        <f>Tabla10[[#This Row],[TIPO_P]] &amp; "|" &amp;Tabla10[[#This Row],[Agrupación]] &amp; "|" &amp; Tabla10[[#This Row],[Sexo]] &amp; "|" &amp; Tabla10[[#This Row],[Entidad]]</f>
        <v>PS|Homicidio|Mujer|Oaxaca</v>
      </c>
      <c r="B54" s="60" t="s">
        <v>1050</v>
      </c>
      <c r="C54" s="16">
        <v>2017</v>
      </c>
      <c r="D54" t="s">
        <v>13</v>
      </c>
      <c r="E54" t="s">
        <v>25</v>
      </c>
      <c r="F54" t="s">
        <v>1042</v>
      </c>
      <c r="G54" t="s">
        <v>716</v>
      </c>
      <c r="J54">
        <v>0</v>
      </c>
      <c r="L54" s="29"/>
    </row>
    <row r="55" spans="1:12" x14ac:dyDescent="0.25">
      <c r="A55" s="59" t="str">
        <f>Tabla10[[#This Row],[TIPO_P]] &amp; "|" &amp;Tabla10[[#This Row],[Agrupación]] &amp; "|" &amp; Tabla10[[#This Row],[Sexo]] &amp; "|" &amp; Tabla10[[#This Row],[Entidad]]</f>
        <v>PS|Homicidio|Mujer|Puebla</v>
      </c>
      <c r="B55" s="60" t="s">
        <v>1050</v>
      </c>
      <c r="C55" s="16">
        <v>2017</v>
      </c>
      <c r="D55" t="s">
        <v>13</v>
      </c>
      <c r="E55" t="s">
        <v>25</v>
      </c>
      <c r="F55" t="s">
        <v>1042</v>
      </c>
      <c r="G55" t="s">
        <v>727</v>
      </c>
      <c r="J55">
        <v>0</v>
      </c>
      <c r="L55" s="29"/>
    </row>
    <row r="56" spans="1:12" x14ac:dyDescent="0.25">
      <c r="A56" s="59" t="str">
        <f>Tabla10[[#This Row],[TIPO_P]] &amp; "|" &amp;Tabla10[[#This Row],[Agrupación]] &amp; "|" &amp; Tabla10[[#This Row],[Sexo]] &amp; "|" &amp; Tabla10[[#This Row],[Entidad]]</f>
        <v>PS|Homicidio|Mujer|Querétaro</v>
      </c>
      <c r="B56" s="60" t="s">
        <v>1050</v>
      </c>
      <c r="C56" s="16">
        <v>2017</v>
      </c>
      <c r="D56" t="s">
        <v>13</v>
      </c>
      <c r="E56" t="s">
        <v>25</v>
      </c>
      <c r="F56" t="s">
        <v>1042</v>
      </c>
      <c r="G56" t="s">
        <v>731</v>
      </c>
      <c r="J56">
        <v>2</v>
      </c>
      <c r="L56" s="29"/>
    </row>
    <row r="57" spans="1:12" x14ac:dyDescent="0.25">
      <c r="A57" s="59" t="str">
        <f>Tabla10[[#This Row],[TIPO_P]] &amp; "|" &amp;Tabla10[[#This Row],[Agrupación]] &amp; "|" &amp; Tabla10[[#This Row],[Sexo]] &amp; "|" &amp; Tabla10[[#This Row],[Entidad]]</f>
        <v>PS|Homicidio|Mujer|Quintana Roo</v>
      </c>
      <c r="B57" s="60" t="s">
        <v>1050</v>
      </c>
      <c r="C57" s="16">
        <v>2017</v>
      </c>
      <c r="D57" t="s">
        <v>13</v>
      </c>
      <c r="E57" t="s">
        <v>25</v>
      </c>
      <c r="F57" t="s">
        <v>1042</v>
      </c>
      <c r="G57" t="s">
        <v>737</v>
      </c>
      <c r="J57">
        <v>1</v>
      </c>
      <c r="L57" s="29"/>
    </row>
    <row r="58" spans="1:12" x14ac:dyDescent="0.25">
      <c r="A58" s="59" t="str">
        <f>Tabla10[[#This Row],[TIPO_P]] &amp; "|" &amp;Tabla10[[#This Row],[Agrupación]] &amp; "|" &amp; Tabla10[[#This Row],[Sexo]] &amp; "|" &amp; Tabla10[[#This Row],[Entidad]]</f>
        <v>PS|Homicidio|Mujer|San Luis Potosí</v>
      </c>
      <c r="B58" s="60" t="s">
        <v>1050</v>
      </c>
      <c r="C58" s="16">
        <v>2017</v>
      </c>
      <c r="D58" t="s">
        <v>13</v>
      </c>
      <c r="E58" t="s">
        <v>25</v>
      </c>
      <c r="F58" t="s">
        <v>1042</v>
      </c>
      <c r="G58" t="s">
        <v>741</v>
      </c>
      <c r="J58">
        <v>0</v>
      </c>
      <c r="L58" s="29"/>
    </row>
    <row r="59" spans="1:12" x14ac:dyDescent="0.25">
      <c r="A59" s="59" t="str">
        <f>Tabla10[[#This Row],[TIPO_P]] &amp; "|" &amp;Tabla10[[#This Row],[Agrupación]] &amp; "|" &amp; Tabla10[[#This Row],[Sexo]] &amp; "|" &amp; Tabla10[[#This Row],[Entidad]]</f>
        <v>PS|Homicidio|Mujer|Sinaloa</v>
      </c>
      <c r="B59" s="60" t="s">
        <v>1050</v>
      </c>
      <c r="C59" s="16">
        <v>2017</v>
      </c>
      <c r="D59" t="s">
        <v>13</v>
      </c>
      <c r="E59" t="s">
        <v>25</v>
      </c>
      <c r="F59" t="s">
        <v>1042</v>
      </c>
      <c r="G59" t="s">
        <v>749</v>
      </c>
      <c r="J59">
        <v>0</v>
      </c>
      <c r="L59" s="29"/>
    </row>
    <row r="60" spans="1:12" x14ac:dyDescent="0.25">
      <c r="A60" s="59" t="str">
        <f>Tabla10[[#This Row],[TIPO_P]] &amp; "|" &amp;Tabla10[[#This Row],[Agrupación]] &amp; "|" &amp; Tabla10[[#This Row],[Sexo]] &amp; "|" &amp; Tabla10[[#This Row],[Entidad]]</f>
        <v>PS|Homicidio|Mujer|Sonora</v>
      </c>
      <c r="B60" s="60" t="s">
        <v>1050</v>
      </c>
      <c r="C60" s="16">
        <v>2017</v>
      </c>
      <c r="D60" t="s">
        <v>13</v>
      </c>
      <c r="E60" t="s">
        <v>25</v>
      </c>
      <c r="F60" t="s">
        <v>1042</v>
      </c>
      <c r="G60" t="s">
        <v>755</v>
      </c>
      <c r="J60">
        <v>3</v>
      </c>
      <c r="L60" s="29"/>
    </row>
    <row r="61" spans="1:12" x14ac:dyDescent="0.25">
      <c r="A61" s="59" t="str">
        <f>Tabla10[[#This Row],[TIPO_P]] &amp; "|" &amp;Tabla10[[#This Row],[Agrupación]] &amp; "|" &amp; Tabla10[[#This Row],[Sexo]] &amp; "|" &amp; Tabla10[[#This Row],[Entidad]]</f>
        <v>PS|Homicidio|Mujer|Tabasco</v>
      </c>
      <c r="B61" s="60" t="s">
        <v>1050</v>
      </c>
      <c r="C61" s="16">
        <v>2017</v>
      </c>
      <c r="D61" t="s">
        <v>13</v>
      </c>
      <c r="E61" t="s">
        <v>25</v>
      </c>
      <c r="F61" t="s">
        <v>1042</v>
      </c>
      <c r="G61" t="s">
        <v>775</v>
      </c>
      <c r="J61">
        <v>0</v>
      </c>
      <c r="L61" s="29"/>
    </row>
    <row r="62" spans="1:12" x14ac:dyDescent="0.25">
      <c r="A62" s="59" t="str">
        <f>Tabla10[[#This Row],[TIPO_P]] &amp; "|" &amp;Tabla10[[#This Row],[Agrupación]] &amp; "|" &amp; Tabla10[[#This Row],[Sexo]] &amp; "|" &amp; Tabla10[[#This Row],[Entidad]]</f>
        <v>PS|Homicidio|Mujer|Tamaulipas</v>
      </c>
      <c r="B62" s="60" t="s">
        <v>1050</v>
      </c>
      <c r="C62" s="16">
        <v>2017</v>
      </c>
      <c r="D62" t="s">
        <v>13</v>
      </c>
      <c r="E62" t="s">
        <v>25</v>
      </c>
      <c r="F62" t="s">
        <v>1042</v>
      </c>
      <c r="G62" t="s">
        <v>785</v>
      </c>
      <c r="J62">
        <v>1</v>
      </c>
      <c r="L62" s="29"/>
    </row>
    <row r="63" spans="1:12" x14ac:dyDescent="0.25">
      <c r="A63" s="59" t="str">
        <f>Tabla10[[#This Row],[TIPO_P]] &amp; "|" &amp;Tabla10[[#This Row],[Agrupación]] &amp; "|" &amp; Tabla10[[#This Row],[Sexo]] &amp; "|" &amp; Tabla10[[#This Row],[Entidad]]</f>
        <v>PS|Homicidio|Mujer|Tlaxcala</v>
      </c>
      <c r="B63" s="60" t="s">
        <v>1050</v>
      </c>
      <c r="C63" s="16">
        <v>2017</v>
      </c>
      <c r="D63" t="s">
        <v>13</v>
      </c>
      <c r="E63" t="s">
        <v>25</v>
      </c>
      <c r="F63" t="s">
        <v>1042</v>
      </c>
      <c r="G63" t="s">
        <v>797</v>
      </c>
      <c r="J63">
        <v>0</v>
      </c>
      <c r="L63" s="29"/>
    </row>
    <row r="64" spans="1:12" x14ac:dyDescent="0.25">
      <c r="A64" s="59" t="str">
        <f>Tabla10[[#This Row],[TIPO_P]] &amp; "|" &amp;Tabla10[[#This Row],[Agrupación]] &amp; "|" &amp; Tabla10[[#This Row],[Sexo]] &amp; "|" &amp; Tabla10[[#This Row],[Entidad]]</f>
        <v>PS|Homicidio|Mujer|Veracruz de Ignacio de la Llave</v>
      </c>
      <c r="B64" s="60" t="s">
        <v>1050</v>
      </c>
      <c r="C64" s="16">
        <v>2017</v>
      </c>
      <c r="D64" t="s">
        <v>13</v>
      </c>
      <c r="E64" t="s">
        <v>25</v>
      </c>
      <c r="F64" t="s">
        <v>1042</v>
      </c>
      <c r="G64" t="s">
        <v>802</v>
      </c>
      <c r="J64">
        <v>1</v>
      </c>
      <c r="L64" s="29"/>
    </row>
    <row r="65" spans="1:12" x14ac:dyDescent="0.25">
      <c r="A65" s="59" t="str">
        <f>Tabla10[[#This Row],[TIPO_P]] &amp; "|" &amp;Tabla10[[#This Row],[Agrupación]] &amp; "|" &amp; Tabla10[[#This Row],[Sexo]] &amp; "|" &amp; Tabla10[[#This Row],[Entidad]]</f>
        <v>PS|Homicidio|Mujer|Yucatán</v>
      </c>
      <c r="B65" s="60" t="s">
        <v>1050</v>
      </c>
      <c r="C65" s="16">
        <v>2017</v>
      </c>
      <c r="D65" t="s">
        <v>13</v>
      </c>
      <c r="E65" t="s">
        <v>25</v>
      </c>
      <c r="F65" t="s">
        <v>1042</v>
      </c>
      <c r="G65" t="s">
        <v>822</v>
      </c>
      <c r="J65">
        <v>0</v>
      </c>
      <c r="L65" s="29"/>
    </row>
    <row r="66" spans="1:12" ht="15.75" thickBot="1" x14ac:dyDescent="0.3">
      <c r="A66" s="61" t="str">
        <f>Tabla10[[#This Row],[TIPO_P]] &amp; "|" &amp;Tabla10[[#This Row],[Agrupación]] &amp; "|" &amp; Tabla10[[#This Row],[Sexo]] &amp; "|" &amp; Tabla10[[#This Row],[Entidad]]</f>
        <v>PS|Homicidio|Mujer|Zacatecas</v>
      </c>
      <c r="B66" s="62" t="s">
        <v>1050</v>
      </c>
      <c r="C66" s="16">
        <v>2017</v>
      </c>
      <c r="D66" t="s">
        <v>13</v>
      </c>
      <c r="E66" t="s">
        <v>25</v>
      </c>
      <c r="F66" t="s">
        <v>1042</v>
      </c>
      <c r="G66" t="s">
        <v>827</v>
      </c>
      <c r="J66">
        <v>0</v>
      </c>
      <c r="L66" s="29"/>
    </row>
    <row r="67" spans="1:12" x14ac:dyDescent="0.25">
      <c r="A67" s="59" t="str">
        <f>Tabla10[[#This Row],[TIPO_P]] &amp; "|" &amp;Tabla10[[#This Row],[Agrupación]] &amp; "|" &amp; Tabla10[[#This Row],[Sexo]] &amp; "|" &amp; Tabla10[[#This Row],[Entidad]]</f>
        <v>PI|Homicidio|Hombre|Aguascalientes</v>
      </c>
      <c r="B67" s="60" t="s">
        <v>1046</v>
      </c>
      <c r="C67" s="63">
        <v>2017</v>
      </c>
      <c r="D67" s="28" t="s">
        <v>325</v>
      </c>
      <c r="E67" s="28" t="s">
        <v>25</v>
      </c>
      <c r="F67" s="28" t="s">
        <v>1043</v>
      </c>
      <c r="G67" s="28" t="s">
        <v>518</v>
      </c>
      <c r="H67" s="28"/>
      <c r="I67" s="28"/>
      <c r="J67" s="28">
        <v>327</v>
      </c>
      <c r="K67" s="28"/>
      <c r="L67" s="20"/>
    </row>
    <row r="68" spans="1:12" x14ac:dyDescent="0.25">
      <c r="A68" s="59" t="str">
        <f>Tabla10[[#This Row],[TIPO_P]] &amp; "|" &amp;Tabla10[[#This Row],[Agrupación]] &amp; "|" &amp; Tabla10[[#This Row],[Sexo]] &amp; "|" &amp; Tabla10[[#This Row],[Entidad]]</f>
        <v>PI|Homicidio|Hombre|Baja California</v>
      </c>
      <c r="B68" s="60" t="s">
        <v>1046</v>
      </c>
      <c r="C68" s="64">
        <v>2017</v>
      </c>
      <c r="D68" t="s">
        <v>325</v>
      </c>
      <c r="E68" t="s">
        <v>25</v>
      </c>
      <c r="F68" t="s">
        <v>1043</v>
      </c>
      <c r="G68" t="s">
        <v>519</v>
      </c>
      <c r="J68">
        <v>3683</v>
      </c>
      <c r="L68" s="29"/>
    </row>
    <row r="69" spans="1:12" x14ac:dyDescent="0.25">
      <c r="A69" s="59" t="str">
        <f>Tabla10[[#This Row],[TIPO_P]] &amp; "|" &amp;Tabla10[[#This Row],[Agrupación]] &amp; "|" &amp; Tabla10[[#This Row],[Sexo]] &amp; "|" &amp; Tabla10[[#This Row],[Entidad]]</f>
        <v>PI|Homicidio|Hombre|Baja California Sur</v>
      </c>
      <c r="B69" s="60" t="s">
        <v>1046</v>
      </c>
      <c r="C69" s="64">
        <v>2017</v>
      </c>
      <c r="D69" t="s">
        <v>325</v>
      </c>
      <c r="E69" t="s">
        <v>25</v>
      </c>
      <c r="F69" t="s">
        <v>1043</v>
      </c>
      <c r="G69" t="s">
        <v>528</v>
      </c>
      <c r="J69">
        <v>288</v>
      </c>
      <c r="L69" s="29"/>
    </row>
    <row r="70" spans="1:12" x14ac:dyDescent="0.25">
      <c r="A70" s="59" t="str">
        <f>Tabla10[[#This Row],[TIPO_P]] &amp; "|" &amp;Tabla10[[#This Row],[Agrupación]] &amp; "|" &amp; Tabla10[[#This Row],[Sexo]] &amp; "|" &amp; Tabla10[[#This Row],[Entidad]]</f>
        <v>PI|Homicidio|Hombre|Campeche</v>
      </c>
      <c r="B70" s="60" t="s">
        <v>1046</v>
      </c>
      <c r="C70" s="64">
        <v>2017</v>
      </c>
      <c r="D70" t="s">
        <v>325</v>
      </c>
      <c r="E70" t="s">
        <v>25</v>
      </c>
      <c r="F70" t="s">
        <v>1043</v>
      </c>
      <c r="G70" t="s">
        <v>534</v>
      </c>
      <c r="J70">
        <v>371</v>
      </c>
      <c r="L70" s="29"/>
    </row>
    <row r="71" spans="1:12" x14ac:dyDescent="0.25">
      <c r="A71" s="59" t="str">
        <f>Tabla10[[#This Row],[TIPO_P]] &amp; "|" &amp;Tabla10[[#This Row],[Agrupación]] &amp; "|" &amp; Tabla10[[#This Row],[Sexo]] &amp; "|" &amp; Tabla10[[#This Row],[Entidad]]</f>
        <v>PI|Homicidio|Hombre|Chiapas</v>
      </c>
      <c r="B71" s="60" t="s">
        <v>1046</v>
      </c>
      <c r="C71" s="64">
        <v>2017</v>
      </c>
      <c r="D71" t="s">
        <v>325</v>
      </c>
      <c r="E71" t="s">
        <v>25</v>
      </c>
      <c r="F71" t="s">
        <v>1043</v>
      </c>
      <c r="G71" t="s">
        <v>553</v>
      </c>
      <c r="J71">
        <v>1125</v>
      </c>
      <c r="L71" s="29"/>
    </row>
    <row r="72" spans="1:12" x14ac:dyDescent="0.25">
      <c r="A72" s="59" t="str">
        <f>Tabla10[[#This Row],[TIPO_P]] &amp; "|" &amp;Tabla10[[#This Row],[Agrupación]] &amp; "|" &amp; Tabla10[[#This Row],[Sexo]] &amp; "|" &amp; Tabla10[[#This Row],[Entidad]]</f>
        <v>PI|Homicidio|Hombre|Chihuahua</v>
      </c>
      <c r="B72" s="60" t="s">
        <v>1046</v>
      </c>
      <c r="C72" s="64">
        <v>2017</v>
      </c>
      <c r="D72" t="s">
        <v>325</v>
      </c>
      <c r="E72" t="s">
        <v>25</v>
      </c>
      <c r="F72" t="s">
        <v>1043</v>
      </c>
      <c r="G72" t="s">
        <v>570</v>
      </c>
      <c r="J72">
        <v>1933</v>
      </c>
      <c r="L72" s="29"/>
    </row>
    <row r="73" spans="1:12" x14ac:dyDescent="0.25">
      <c r="A73" s="59" t="str">
        <f>Tabla10[[#This Row],[TIPO_P]] &amp; "|" &amp;Tabla10[[#This Row],[Agrupación]] &amp; "|" &amp; Tabla10[[#This Row],[Sexo]] &amp; "|" &amp; Tabla10[[#This Row],[Entidad]]</f>
        <v>PI|Homicidio|Hombre|Ciudad de México</v>
      </c>
      <c r="B73" s="60" t="s">
        <v>1046</v>
      </c>
      <c r="C73" s="64">
        <v>2017</v>
      </c>
      <c r="D73" t="s">
        <v>325</v>
      </c>
      <c r="E73" t="s">
        <v>25</v>
      </c>
      <c r="F73" t="s">
        <v>1043</v>
      </c>
      <c r="G73" t="s">
        <v>582</v>
      </c>
      <c r="J73">
        <v>6053</v>
      </c>
      <c r="L73" s="29"/>
    </row>
    <row r="74" spans="1:12" x14ac:dyDescent="0.25">
      <c r="A74" s="59" t="str">
        <f>Tabla10[[#This Row],[TIPO_P]] &amp; "|" &amp;Tabla10[[#This Row],[Agrupación]] &amp; "|" &amp; Tabla10[[#This Row],[Sexo]] &amp; "|" &amp; Tabla10[[#This Row],[Entidad]]</f>
        <v>PI|Homicidio|Hombre|Coahuila de Zaragoza</v>
      </c>
      <c r="B74" s="60" t="s">
        <v>1046</v>
      </c>
      <c r="C74" s="64">
        <v>2017</v>
      </c>
      <c r="D74" t="s">
        <v>325</v>
      </c>
      <c r="E74" t="s">
        <v>25</v>
      </c>
      <c r="F74" t="s">
        <v>1043</v>
      </c>
      <c r="G74" t="s">
        <v>538</v>
      </c>
      <c r="J74">
        <v>610</v>
      </c>
      <c r="L74" s="29"/>
    </row>
    <row r="75" spans="1:12" x14ac:dyDescent="0.25">
      <c r="A75" s="59" t="str">
        <f>Tabla10[[#This Row],[TIPO_P]] &amp; "|" &amp;Tabla10[[#This Row],[Agrupación]] &amp; "|" &amp; Tabla10[[#This Row],[Sexo]] &amp; "|" &amp; Tabla10[[#This Row],[Entidad]]</f>
        <v>PI|Homicidio|Hombre|Colima</v>
      </c>
      <c r="B75" s="60" t="s">
        <v>1046</v>
      </c>
      <c r="C75" s="64">
        <v>2017</v>
      </c>
      <c r="D75" t="s">
        <v>325</v>
      </c>
      <c r="E75" t="s">
        <v>25</v>
      </c>
      <c r="F75" t="s">
        <v>1043</v>
      </c>
      <c r="G75" t="s">
        <v>547</v>
      </c>
      <c r="J75">
        <v>439</v>
      </c>
      <c r="L75" s="29"/>
    </row>
    <row r="76" spans="1:12" x14ac:dyDescent="0.25">
      <c r="A76" s="59" t="str">
        <f>Tabla10[[#This Row],[TIPO_P]] &amp; "|" &amp;Tabla10[[#This Row],[Agrupación]] &amp; "|" &amp; Tabla10[[#This Row],[Sexo]] &amp; "|" &amp; Tabla10[[#This Row],[Entidad]]</f>
        <v>PI|Homicidio|Hombre|Durango</v>
      </c>
      <c r="B76" s="60" t="s">
        <v>1046</v>
      </c>
      <c r="C76" s="64">
        <v>2017</v>
      </c>
      <c r="D76" t="s">
        <v>325</v>
      </c>
      <c r="E76" t="s">
        <v>25</v>
      </c>
      <c r="F76" t="s">
        <v>1043</v>
      </c>
      <c r="G76" t="s">
        <v>600</v>
      </c>
      <c r="J76">
        <v>434</v>
      </c>
      <c r="L76" s="29"/>
    </row>
    <row r="77" spans="1:12" x14ac:dyDescent="0.25">
      <c r="A77" s="59" t="str">
        <f>Tabla10[[#This Row],[TIPO_P]] &amp; "|" &amp;Tabla10[[#This Row],[Agrupación]] &amp; "|" &amp; Tabla10[[#This Row],[Sexo]] &amp; "|" &amp; Tabla10[[#This Row],[Entidad]]</f>
        <v>PI|Homicidio|Hombre|Guanajuato</v>
      </c>
      <c r="B77" s="60" t="s">
        <v>1046</v>
      </c>
      <c r="C77" s="64">
        <v>2017</v>
      </c>
      <c r="D77" t="s">
        <v>325</v>
      </c>
      <c r="E77" t="s">
        <v>25</v>
      </c>
      <c r="F77" t="s">
        <v>1043</v>
      </c>
      <c r="G77" t="s">
        <v>606</v>
      </c>
      <c r="J77">
        <v>1699</v>
      </c>
      <c r="L77" s="29"/>
    </row>
    <row r="78" spans="1:12" x14ac:dyDescent="0.25">
      <c r="A78" s="59" t="str">
        <f>Tabla10[[#This Row],[TIPO_P]] &amp; "|" &amp;Tabla10[[#This Row],[Agrupación]] &amp; "|" &amp; Tabla10[[#This Row],[Sexo]] &amp; "|" &amp; Tabla10[[#This Row],[Entidad]]</f>
        <v>PI|Homicidio|Hombre|Guerrero</v>
      </c>
      <c r="B78" s="60" t="s">
        <v>1046</v>
      </c>
      <c r="C78" s="64">
        <v>2017</v>
      </c>
      <c r="D78" t="s">
        <v>325</v>
      </c>
      <c r="E78" t="s">
        <v>25</v>
      </c>
      <c r="F78" t="s">
        <v>1043</v>
      </c>
      <c r="G78" t="s">
        <v>619</v>
      </c>
      <c r="J78">
        <v>1344</v>
      </c>
      <c r="L78" s="29"/>
    </row>
    <row r="79" spans="1:12" x14ac:dyDescent="0.25">
      <c r="A79" s="59" t="str">
        <f>Tabla10[[#This Row],[TIPO_P]] &amp; "|" &amp;Tabla10[[#This Row],[Agrupación]] &amp; "|" &amp; Tabla10[[#This Row],[Sexo]] &amp; "|" &amp; Tabla10[[#This Row],[Entidad]]</f>
        <v>PI|Homicidio|Hombre|Hidalgo</v>
      </c>
      <c r="B79" s="60" t="s">
        <v>1046</v>
      </c>
      <c r="C79" s="64">
        <v>2017</v>
      </c>
      <c r="D79" t="s">
        <v>325</v>
      </c>
      <c r="E79" t="s">
        <v>25</v>
      </c>
      <c r="F79" t="s">
        <v>1043</v>
      </c>
      <c r="G79" t="s">
        <v>633</v>
      </c>
      <c r="J79">
        <v>878</v>
      </c>
      <c r="L79" s="29"/>
    </row>
    <row r="80" spans="1:12" x14ac:dyDescent="0.25">
      <c r="A80" s="59" t="str">
        <f>Tabla10[[#This Row],[TIPO_P]] &amp; "|" &amp;Tabla10[[#This Row],[Agrupación]] &amp; "|" &amp; Tabla10[[#This Row],[Sexo]] &amp; "|" &amp; Tabla10[[#This Row],[Entidad]]</f>
        <v>PI|Homicidio|Hombre|Jalisco</v>
      </c>
      <c r="B80" s="60" t="s">
        <v>1046</v>
      </c>
      <c r="C80" s="64">
        <v>2017</v>
      </c>
      <c r="D80" t="s">
        <v>325</v>
      </c>
      <c r="E80" t="s">
        <v>25</v>
      </c>
      <c r="F80" t="s">
        <v>1043</v>
      </c>
      <c r="G80" t="s">
        <v>647</v>
      </c>
      <c r="J80">
        <v>3247</v>
      </c>
      <c r="L80" s="29"/>
    </row>
    <row r="81" spans="1:12" x14ac:dyDescent="0.25">
      <c r="A81" s="59" t="str">
        <f>Tabla10[[#This Row],[TIPO_P]] &amp; "|" &amp;Tabla10[[#This Row],[Agrupación]] &amp; "|" &amp; Tabla10[[#This Row],[Sexo]] &amp; "|" &amp; Tabla10[[#This Row],[Entidad]]</f>
        <v>PI|Homicidio|Hombre|Michoacán de Ocampo</v>
      </c>
      <c r="B81" s="60" t="s">
        <v>1046</v>
      </c>
      <c r="C81" s="64">
        <v>2017</v>
      </c>
      <c r="D81" t="s">
        <v>325</v>
      </c>
      <c r="E81" t="s">
        <v>25</v>
      </c>
      <c r="F81" t="s">
        <v>1043</v>
      </c>
      <c r="G81" t="s">
        <v>685</v>
      </c>
      <c r="J81">
        <v>954</v>
      </c>
      <c r="L81" s="29"/>
    </row>
    <row r="82" spans="1:12" x14ac:dyDescent="0.25">
      <c r="A82" s="59" t="str">
        <f>Tabla10[[#This Row],[TIPO_P]] &amp; "|" &amp;Tabla10[[#This Row],[Agrupación]] &amp; "|" &amp; Tabla10[[#This Row],[Sexo]] &amp; "|" &amp; Tabla10[[#This Row],[Entidad]]</f>
        <v>PI|Homicidio|Hombre|Morelos</v>
      </c>
      <c r="B82" s="60" t="s">
        <v>1046</v>
      </c>
      <c r="C82" s="64">
        <v>2017</v>
      </c>
      <c r="D82" t="s">
        <v>325</v>
      </c>
      <c r="E82" t="s">
        <v>25</v>
      </c>
      <c r="F82" t="s">
        <v>1043</v>
      </c>
      <c r="G82" t="s">
        <v>698</v>
      </c>
      <c r="J82">
        <v>664</v>
      </c>
      <c r="L82" s="29"/>
    </row>
    <row r="83" spans="1:12" x14ac:dyDescent="0.25">
      <c r="A83" s="59" t="str">
        <f>Tabla10[[#This Row],[TIPO_P]] &amp; "|" &amp;Tabla10[[#This Row],[Agrupación]] &amp; "|" &amp; Tabla10[[#This Row],[Sexo]] &amp; "|" &amp; Tabla10[[#This Row],[Entidad]]</f>
        <v>PI|Homicidio|Hombre|México</v>
      </c>
      <c r="B83" s="60" t="s">
        <v>1046</v>
      </c>
      <c r="C83" s="64">
        <v>2017</v>
      </c>
      <c r="D83" t="s">
        <v>325</v>
      </c>
      <c r="E83" t="s">
        <v>25</v>
      </c>
      <c r="F83" t="s">
        <v>1043</v>
      </c>
      <c r="G83" t="s">
        <v>662</v>
      </c>
      <c r="J83">
        <v>8238</v>
      </c>
      <c r="L83" s="29"/>
    </row>
    <row r="84" spans="1:12" x14ac:dyDescent="0.25">
      <c r="A84" s="59" t="str">
        <f>Tabla10[[#This Row],[TIPO_P]] &amp; "|" &amp;Tabla10[[#This Row],[Agrupación]] &amp; "|" &amp; Tabla10[[#This Row],[Sexo]] &amp; "|" &amp; Tabla10[[#This Row],[Entidad]]</f>
        <v>PI|Homicidio|Hombre|Nayarit</v>
      </c>
      <c r="B84" s="60" t="s">
        <v>1046</v>
      </c>
      <c r="C84" s="64">
        <v>2017</v>
      </c>
      <c r="D84" t="s">
        <v>325</v>
      </c>
      <c r="E84" t="s">
        <v>25</v>
      </c>
      <c r="F84" t="s">
        <v>1043</v>
      </c>
      <c r="G84" t="s">
        <v>705</v>
      </c>
      <c r="J84">
        <v>181</v>
      </c>
      <c r="L84" s="29"/>
    </row>
    <row r="85" spans="1:12" x14ac:dyDescent="0.25">
      <c r="A85" s="59" t="str">
        <f>Tabla10[[#This Row],[TIPO_P]] &amp; "|" &amp;Tabla10[[#This Row],[Agrupación]] &amp; "|" &amp; Tabla10[[#This Row],[Sexo]] &amp; "|" &amp; Tabla10[[#This Row],[Entidad]]</f>
        <v>PI|Homicidio|Hombre|Nuevo León</v>
      </c>
      <c r="B85" s="60" t="s">
        <v>1046</v>
      </c>
      <c r="C85" s="64">
        <v>2017</v>
      </c>
      <c r="D85" t="s">
        <v>325</v>
      </c>
      <c r="E85" t="s">
        <v>25</v>
      </c>
      <c r="F85" t="s">
        <v>1043</v>
      </c>
      <c r="G85" t="s">
        <v>710</v>
      </c>
      <c r="J85">
        <v>1580</v>
      </c>
      <c r="L85" s="29"/>
    </row>
    <row r="86" spans="1:12" x14ac:dyDescent="0.25">
      <c r="A86" s="59" t="str">
        <f>Tabla10[[#This Row],[TIPO_P]] &amp; "|" &amp;Tabla10[[#This Row],[Agrupación]] &amp; "|" &amp; Tabla10[[#This Row],[Sexo]] &amp; "|" &amp; Tabla10[[#This Row],[Entidad]]</f>
        <v>PI|Homicidio|Hombre|Oaxaca</v>
      </c>
      <c r="B86" s="60" t="s">
        <v>1046</v>
      </c>
      <c r="C86" s="64">
        <v>2017</v>
      </c>
      <c r="D86" t="s">
        <v>325</v>
      </c>
      <c r="E86" t="s">
        <v>25</v>
      </c>
      <c r="F86" t="s">
        <v>1043</v>
      </c>
      <c r="G86" t="s">
        <v>716</v>
      </c>
      <c r="J86">
        <v>1203</v>
      </c>
      <c r="L86" s="29"/>
    </row>
    <row r="87" spans="1:12" x14ac:dyDescent="0.25">
      <c r="A87" s="59" t="str">
        <f>Tabla10[[#This Row],[TIPO_P]] &amp; "|" &amp;Tabla10[[#This Row],[Agrupación]] &amp; "|" &amp; Tabla10[[#This Row],[Sexo]] &amp; "|" &amp; Tabla10[[#This Row],[Entidad]]</f>
        <v>PI|Homicidio|Hombre|Puebla</v>
      </c>
      <c r="B87" s="60" t="s">
        <v>1046</v>
      </c>
      <c r="C87" s="64">
        <v>2017</v>
      </c>
      <c r="D87" t="s">
        <v>325</v>
      </c>
      <c r="E87" t="s">
        <v>25</v>
      </c>
      <c r="F87" t="s">
        <v>1043</v>
      </c>
      <c r="G87" t="s">
        <v>727</v>
      </c>
      <c r="J87">
        <v>1077</v>
      </c>
      <c r="L87" s="29"/>
    </row>
    <row r="88" spans="1:12" x14ac:dyDescent="0.25">
      <c r="A88" s="59" t="str">
        <f>Tabla10[[#This Row],[TIPO_P]] &amp; "|" &amp;Tabla10[[#This Row],[Agrupación]] &amp; "|" &amp; Tabla10[[#This Row],[Sexo]] &amp; "|" &amp; Tabla10[[#This Row],[Entidad]]</f>
        <v>PI|Homicidio|Hombre|Querétaro</v>
      </c>
      <c r="B88" s="60" t="s">
        <v>1046</v>
      </c>
      <c r="C88" s="64">
        <v>2017</v>
      </c>
      <c r="D88" t="s">
        <v>325</v>
      </c>
      <c r="E88" t="s">
        <v>25</v>
      </c>
      <c r="F88" t="s">
        <v>1043</v>
      </c>
      <c r="G88" t="s">
        <v>731</v>
      </c>
      <c r="J88">
        <v>711</v>
      </c>
      <c r="L88" s="29"/>
    </row>
    <row r="89" spans="1:12" x14ac:dyDescent="0.25">
      <c r="A89" s="59" t="str">
        <f>Tabla10[[#This Row],[TIPO_P]] &amp; "|" &amp;Tabla10[[#This Row],[Agrupación]] &amp; "|" &amp; Tabla10[[#This Row],[Sexo]] &amp; "|" &amp; Tabla10[[#This Row],[Entidad]]</f>
        <v>PI|Homicidio|Hombre|Quintana Roo</v>
      </c>
      <c r="B89" s="60" t="s">
        <v>1046</v>
      </c>
      <c r="C89" s="64">
        <v>2017</v>
      </c>
      <c r="D89" t="s">
        <v>325</v>
      </c>
      <c r="E89" t="s">
        <v>25</v>
      </c>
      <c r="F89" t="s">
        <v>1043</v>
      </c>
      <c r="G89" t="s">
        <v>737</v>
      </c>
      <c r="J89">
        <v>744</v>
      </c>
      <c r="L89" s="29"/>
    </row>
    <row r="90" spans="1:12" x14ac:dyDescent="0.25">
      <c r="A90" s="59" t="str">
        <f>Tabla10[[#This Row],[TIPO_P]] &amp; "|" &amp;Tabla10[[#This Row],[Agrupación]] &amp; "|" &amp; Tabla10[[#This Row],[Sexo]] &amp; "|" &amp; Tabla10[[#This Row],[Entidad]]</f>
        <v>PI|Homicidio|Hombre|San Luis Potosí</v>
      </c>
      <c r="B90" s="60" t="s">
        <v>1046</v>
      </c>
      <c r="C90" s="64">
        <v>2017</v>
      </c>
      <c r="D90" t="s">
        <v>325</v>
      </c>
      <c r="E90" t="s">
        <v>25</v>
      </c>
      <c r="F90" t="s">
        <v>1043</v>
      </c>
      <c r="G90" t="s">
        <v>741</v>
      </c>
      <c r="J90">
        <v>896</v>
      </c>
      <c r="L90" s="29"/>
    </row>
    <row r="91" spans="1:12" x14ac:dyDescent="0.25">
      <c r="A91" s="59" t="str">
        <f>Tabla10[[#This Row],[TIPO_P]] &amp; "|" &amp;Tabla10[[#This Row],[Agrupación]] &amp; "|" &amp; Tabla10[[#This Row],[Sexo]] &amp; "|" &amp; Tabla10[[#This Row],[Entidad]]</f>
        <v>PI|Homicidio|Hombre|Sinaloa</v>
      </c>
      <c r="B91" s="60" t="s">
        <v>1046</v>
      </c>
      <c r="C91" s="64">
        <v>2017</v>
      </c>
      <c r="D91" t="s">
        <v>325</v>
      </c>
      <c r="E91" t="s">
        <v>25</v>
      </c>
      <c r="F91" t="s">
        <v>1043</v>
      </c>
      <c r="G91" t="s">
        <v>749</v>
      </c>
      <c r="J91">
        <v>598</v>
      </c>
      <c r="L91" s="29"/>
    </row>
    <row r="92" spans="1:12" x14ac:dyDescent="0.25">
      <c r="A92" s="59" t="str">
        <f>Tabla10[[#This Row],[TIPO_P]] &amp; "|" &amp;Tabla10[[#This Row],[Agrupación]] &amp; "|" &amp; Tabla10[[#This Row],[Sexo]] &amp; "|" &amp; Tabla10[[#This Row],[Entidad]]</f>
        <v>PI|Homicidio|Hombre|Sonora</v>
      </c>
      <c r="B92" s="60" t="s">
        <v>1046</v>
      </c>
      <c r="C92" s="64">
        <v>2017</v>
      </c>
      <c r="D92" t="s">
        <v>325</v>
      </c>
      <c r="E92" t="s">
        <v>25</v>
      </c>
      <c r="F92" t="s">
        <v>1043</v>
      </c>
      <c r="G92" t="s">
        <v>755</v>
      </c>
      <c r="J92">
        <v>1658</v>
      </c>
      <c r="L92" s="29"/>
    </row>
    <row r="93" spans="1:12" x14ac:dyDescent="0.25">
      <c r="A93" s="59" t="str">
        <f>Tabla10[[#This Row],[TIPO_P]] &amp; "|" &amp;Tabla10[[#This Row],[Agrupación]] &amp; "|" &amp; Tabla10[[#This Row],[Sexo]] &amp; "|" &amp; Tabla10[[#This Row],[Entidad]]</f>
        <v>PI|Homicidio|Hombre|Tabasco</v>
      </c>
      <c r="B93" s="60" t="s">
        <v>1046</v>
      </c>
      <c r="C93" s="64">
        <v>2017</v>
      </c>
      <c r="D93" t="s">
        <v>325</v>
      </c>
      <c r="E93" t="s">
        <v>25</v>
      </c>
      <c r="F93" t="s">
        <v>1043</v>
      </c>
      <c r="G93" t="s">
        <v>775</v>
      </c>
      <c r="J93">
        <v>644</v>
      </c>
      <c r="L93" s="29"/>
    </row>
    <row r="94" spans="1:12" x14ac:dyDescent="0.25">
      <c r="A94" s="59" t="str">
        <f>Tabla10[[#This Row],[TIPO_P]] &amp; "|" &amp;Tabla10[[#This Row],[Agrupación]] &amp; "|" &amp; Tabla10[[#This Row],[Sexo]] &amp; "|" &amp; Tabla10[[#This Row],[Entidad]]</f>
        <v>PI|Homicidio|Hombre|Tamaulipas</v>
      </c>
      <c r="B94" s="60" t="s">
        <v>1046</v>
      </c>
      <c r="C94" s="64">
        <v>2017</v>
      </c>
      <c r="D94" t="s">
        <v>325</v>
      </c>
      <c r="E94" t="s">
        <v>25</v>
      </c>
      <c r="F94" t="s">
        <v>1043</v>
      </c>
      <c r="G94" t="s">
        <v>785</v>
      </c>
      <c r="J94">
        <v>842</v>
      </c>
      <c r="L94" s="29"/>
    </row>
    <row r="95" spans="1:12" x14ac:dyDescent="0.25">
      <c r="A95" s="59" t="str">
        <f>Tabla10[[#This Row],[TIPO_P]] &amp; "|" &amp;Tabla10[[#This Row],[Agrupación]] &amp; "|" &amp; Tabla10[[#This Row],[Sexo]] &amp; "|" &amp; Tabla10[[#This Row],[Entidad]]</f>
        <v>PI|Homicidio|Hombre|Tlaxcala</v>
      </c>
      <c r="B95" s="60" t="s">
        <v>1046</v>
      </c>
      <c r="C95" s="64">
        <v>2017</v>
      </c>
      <c r="D95" t="s">
        <v>325</v>
      </c>
      <c r="E95" t="s">
        <v>25</v>
      </c>
      <c r="F95" t="s">
        <v>1043</v>
      </c>
      <c r="G95" t="s">
        <v>797</v>
      </c>
      <c r="J95">
        <v>158</v>
      </c>
      <c r="L95" s="29"/>
    </row>
    <row r="96" spans="1:12" x14ac:dyDescent="0.25">
      <c r="A96" s="59" t="str">
        <f>Tabla10[[#This Row],[TIPO_P]] &amp; "|" &amp;Tabla10[[#This Row],[Agrupación]] &amp; "|" &amp; Tabla10[[#This Row],[Sexo]] &amp; "|" &amp; Tabla10[[#This Row],[Entidad]]</f>
        <v>PI|Homicidio|Hombre|Veracruz de Ignacio de la Llave</v>
      </c>
      <c r="B96" s="60" t="s">
        <v>1046</v>
      </c>
      <c r="C96" s="64">
        <v>2017</v>
      </c>
      <c r="D96" t="s">
        <v>325</v>
      </c>
      <c r="E96" t="s">
        <v>25</v>
      </c>
      <c r="F96" t="s">
        <v>1043</v>
      </c>
      <c r="G96" t="s">
        <v>802</v>
      </c>
      <c r="J96">
        <v>1989</v>
      </c>
      <c r="L96" s="29"/>
    </row>
    <row r="97" spans="1:12" x14ac:dyDescent="0.25">
      <c r="A97" s="59" t="str">
        <f>Tabla10[[#This Row],[TIPO_P]] &amp; "|" &amp;Tabla10[[#This Row],[Agrupación]] &amp; "|" &amp; Tabla10[[#This Row],[Sexo]] &amp; "|" &amp; Tabla10[[#This Row],[Entidad]]</f>
        <v>PI|Homicidio|Hombre|Yucatán</v>
      </c>
      <c r="B97" s="60" t="s">
        <v>1046</v>
      </c>
      <c r="C97" s="64">
        <v>2017</v>
      </c>
      <c r="D97" t="s">
        <v>325</v>
      </c>
      <c r="E97" t="s">
        <v>25</v>
      </c>
      <c r="F97" t="s">
        <v>1043</v>
      </c>
      <c r="G97" t="s">
        <v>822</v>
      </c>
      <c r="J97">
        <v>413</v>
      </c>
      <c r="L97" s="29"/>
    </row>
    <row r="98" spans="1:12" x14ac:dyDescent="0.25">
      <c r="A98" s="59" t="str">
        <f>Tabla10[[#This Row],[TIPO_P]] &amp; "|" &amp;Tabla10[[#This Row],[Agrupación]] &amp; "|" &amp; Tabla10[[#This Row],[Sexo]] &amp; "|" &amp; Tabla10[[#This Row],[Entidad]]</f>
        <v>PI|Homicidio|Hombre|Zacatecas</v>
      </c>
      <c r="B98" s="60" t="s">
        <v>1046</v>
      </c>
      <c r="C98" s="64">
        <v>2017</v>
      </c>
      <c r="D98" t="s">
        <v>325</v>
      </c>
      <c r="E98" t="s">
        <v>25</v>
      </c>
      <c r="F98" t="s">
        <v>1043</v>
      </c>
      <c r="G98" t="s">
        <v>827</v>
      </c>
      <c r="J98">
        <v>271</v>
      </c>
      <c r="L98" s="29"/>
    </row>
    <row r="99" spans="1:12" x14ac:dyDescent="0.25">
      <c r="A99" s="59" t="str">
        <f>Tabla10[[#This Row],[TIPO_P]] &amp; "|" &amp;Tabla10[[#This Row],[Agrupación]] &amp; "|" &amp; Tabla10[[#This Row],[Sexo]] &amp; "|" &amp; Tabla10[[#This Row],[Entidad]]</f>
        <v>PI|Homicidio|Mujer|Aguascalientes</v>
      </c>
      <c r="B99" s="60" t="s">
        <v>1046</v>
      </c>
      <c r="C99" s="64">
        <v>2017</v>
      </c>
      <c r="D99" t="s">
        <v>325</v>
      </c>
      <c r="E99" t="s">
        <v>25</v>
      </c>
      <c r="F99" t="s">
        <v>1042</v>
      </c>
      <c r="G99" t="s">
        <v>518</v>
      </c>
      <c r="J99">
        <v>22</v>
      </c>
      <c r="L99" s="29"/>
    </row>
    <row r="100" spans="1:12" x14ac:dyDescent="0.25">
      <c r="A100" s="59" t="str">
        <f>Tabla10[[#This Row],[TIPO_P]] &amp; "|" &amp;Tabla10[[#This Row],[Agrupación]] &amp; "|" &amp; Tabla10[[#This Row],[Sexo]] &amp; "|" &amp; Tabla10[[#This Row],[Entidad]]</f>
        <v>PI|Homicidio|Mujer|Baja California</v>
      </c>
      <c r="B100" s="60" t="s">
        <v>1046</v>
      </c>
      <c r="C100" s="64">
        <v>2017</v>
      </c>
      <c r="D100" t="s">
        <v>325</v>
      </c>
      <c r="E100" t="s">
        <v>25</v>
      </c>
      <c r="F100" t="s">
        <v>1042</v>
      </c>
      <c r="G100" t="s">
        <v>519</v>
      </c>
      <c r="J100">
        <v>134</v>
      </c>
      <c r="L100" s="29"/>
    </row>
    <row r="101" spans="1:12" x14ac:dyDescent="0.25">
      <c r="A101" s="59" t="str">
        <f>Tabla10[[#This Row],[TIPO_P]] &amp; "|" &amp;Tabla10[[#This Row],[Agrupación]] &amp; "|" &amp; Tabla10[[#This Row],[Sexo]] &amp; "|" &amp; Tabla10[[#This Row],[Entidad]]</f>
        <v>PI|Homicidio|Mujer|Baja California Sur</v>
      </c>
      <c r="B101" s="60" t="s">
        <v>1046</v>
      </c>
      <c r="C101" s="64">
        <v>2017</v>
      </c>
      <c r="D101" t="s">
        <v>325</v>
      </c>
      <c r="E101" t="s">
        <v>25</v>
      </c>
      <c r="F101" t="s">
        <v>1042</v>
      </c>
      <c r="G101" t="s">
        <v>528</v>
      </c>
      <c r="J101">
        <v>18</v>
      </c>
      <c r="L101" s="29"/>
    </row>
    <row r="102" spans="1:12" x14ac:dyDescent="0.25">
      <c r="A102" s="59" t="str">
        <f>Tabla10[[#This Row],[TIPO_P]] &amp; "|" &amp;Tabla10[[#This Row],[Agrupación]] &amp; "|" &amp; Tabla10[[#This Row],[Sexo]] &amp; "|" &amp; Tabla10[[#This Row],[Entidad]]</f>
        <v>PI|Homicidio|Mujer|Campeche</v>
      </c>
      <c r="B102" s="60" t="s">
        <v>1046</v>
      </c>
      <c r="C102" s="64">
        <v>2017</v>
      </c>
      <c r="D102" t="s">
        <v>325</v>
      </c>
      <c r="E102" t="s">
        <v>25</v>
      </c>
      <c r="F102" t="s">
        <v>1042</v>
      </c>
      <c r="G102" t="s">
        <v>534</v>
      </c>
      <c r="J102">
        <v>11</v>
      </c>
      <c r="L102" s="29"/>
    </row>
    <row r="103" spans="1:12" x14ac:dyDescent="0.25">
      <c r="A103" s="59" t="str">
        <f>Tabla10[[#This Row],[TIPO_P]] &amp; "|" &amp;Tabla10[[#This Row],[Agrupación]] &amp; "|" &amp; Tabla10[[#This Row],[Sexo]] &amp; "|" &amp; Tabla10[[#This Row],[Entidad]]</f>
        <v>PI|Homicidio|Mujer|Chiapas</v>
      </c>
      <c r="B103" s="60" t="s">
        <v>1046</v>
      </c>
      <c r="C103" s="64">
        <v>2017</v>
      </c>
      <c r="D103" t="s">
        <v>325</v>
      </c>
      <c r="E103" t="s">
        <v>25</v>
      </c>
      <c r="F103" t="s">
        <v>1042</v>
      </c>
      <c r="G103" t="s">
        <v>553</v>
      </c>
      <c r="J103">
        <v>41</v>
      </c>
      <c r="L103" s="29"/>
    </row>
    <row r="104" spans="1:12" x14ac:dyDescent="0.25">
      <c r="A104" s="59" t="str">
        <f>Tabla10[[#This Row],[TIPO_P]] &amp; "|" &amp;Tabla10[[#This Row],[Agrupación]] &amp; "|" &amp; Tabla10[[#This Row],[Sexo]] &amp; "|" &amp; Tabla10[[#This Row],[Entidad]]</f>
        <v>PI|Homicidio|Mujer|Chihuahua</v>
      </c>
      <c r="B104" s="60" t="s">
        <v>1046</v>
      </c>
      <c r="C104" s="64">
        <v>2017</v>
      </c>
      <c r="D104" t="s">
        <v>325</v>
      </c>
      <c r="E104" t="s">
        <v>25</v>
      </c>
      <c r="F104" t="s">
        <v>1042</v>
      </c>
      <c r="G104" t="s">
        <v>570</v>
      </c>
      <c r="J104">
        <v>14</v>
      </c>
      <c r="L104" s="29"/>
    </row>
    <row r="105" spans="1:12" x14ac:dyDescent="0.25">
      <c r="A105" s="59" t="str">
        <f>Tabla10[[#This Row],[TIPO_P]] &amp; "|" &amp;Tabla10[[#This Row],[Agrupación]] &amp; "|" &amp; Tabla10[[#This Row],[Sexo]] &amp; "|" &amp; Tabla10[[#This Row],[Entidad]]</f>
        <v>PI|Homicidio|Mujer|Ciudad de México</v>
      </c>
      <c r="B105" s="60" t="s">
        <v>1046</v>
      </c>
      <c r="C105" s="64">
        <v>2017</v>
      </c>
      <c r="D105" t="s">
        <v>325</v>
      </c>
      <c r="E105" t="s">
        <v>25</v>
      </c>
      <c r="F105" t="s">
        <v>1042</v>
      </c>
      <c r="G105" t="s">
        <v>582</v>
      </c>
      <c r="J105">
        <v>350</v>
      </c>
      <c r="L105" s="29"/>
    </row>
    <row r="106" spans="1:12" x14ac:dyDescent="0.25">
      <c r="A106" s="59" t="str">
        <f>Tabla10[[#This Row],[TIPO_P]] &amp; "|" &amp;Tabla10[[#This Row],[Agrupación]] &amp; "|" &amp; Tabla10[[#This Row],[Sexo]] &amp; "|" &amp; Tabla10[[#This Row],[Entidad]]</f>
        <v>PI|Homicidio|Mujer|Coahuila de Zaragoza</v>
      </c>
      <c r="B106" s="60" t="s">
        <v>1046</v>
      </c>
      <c r="C106" s="64">
        <v>2017</v>
      </c>
      <c r="D106" t="s">
        <v>325</v>
      </c>
      <c r="E106" t="s">
        <v>25</v>
      </c>
      <c r="F106" t="s">
        <v>1042</v>
      </c>
      <c r="G106" t="s">
        <v>538</v>
      </c>
      <c r="J106">
        <v>26</v>
      </c>
      <c r="L106" s="29"/>
    </row>
    <row r="107" spans="1:12" x14ac:dyDescent="0.25">
      <c r="A107" s="59" t="str">
        <f>Tabla10[[#This Row],[TIPO_P]] &amp; "|" &amp;Tabla10[[#This Row],[Agrupación]] &amp; "|" &amp; Tabla10[[#This Row],[Sexo]] &amp; "|" &amp; Tabla10[[#This Row],[Entidad]]</f>
        <v>PI|Homicidio|Mujer|Colima</v>
      </c>
      <c r="B107" s="60" t="s">
        <v>1046</v>
      </c>
      <c r="C107" s="64">
        <v>2017</v>
      </c>
      <c r="D107" t="s">
        <v>325</v>
      </c>
      <c r="E107" t="s">
        <v>25</v>
      </c>
      <c r="F107" t="s">
        <v>1042</v>
      </c>
      <c r="G107" t="s">
        <v>547</v>
      </c>
      <c r="J107">
        <v>20</v>
      </c>
      <c r="L107" s="29"/>
    </row>
    <row r="108" spans="1:12" x14ac:dyDescent="0.25">
      <c r="A108" s="59" t="str">
        <f>Tabla10[[#This Row],[TIPO_P]] &amp; "|" &amp;Tabla10[[#This Row],[Agrupación]] &amp; "|" &amp; Tabla10[[#This Row],[Sexo]] &amp; "|" &amp; Tabla10[[#This Row],[Entidad]]</f>
        <v>PI|Homicidio|Mujer|Durango</v>
      </c>
      <c r="B108" s="60" t="s">
        <v>1046</v>
      </c>
      <c r="C108" s="64">
        <v>2017</v>
      </c>
      <c r="D108" t="s">
        <v>325</v>
      </c>
      <c r="E108" t="s">
        <v>25</v>
      </c>
      <c r="F108" t="s">
        <v>1042</v>
      </c>
      <c r="G108" t="s">
        <v>600</v>
      </c>
      <c r="J108">
        <v>46</v>
      </c>
      <c r="L108" s="29"/>
    </row>
    <row r="109" spans="1:12" x14ac:dyDescent="0.25">
      <c r="A109" s="59" t="str">
        <f>Tabla10[[#This Row],[TIPO_P]] &amp; "|" &amp;Tabla10[[#This Row],[Agrupación]] &amp; "|" &amp; Tabla10[[#This Row],[Sexo]] &amp; "|" &amp; Tabla10[[#This Row],[Entidad]]</f>
        <v>PI|Homicidio|Mujer|Guanajuato</v>
      </c>
      <c r="B109" s="60" t="s">
        <v>1046</v>
      </c>
      <c r="C109" s="64">
        <v>2017</v>
      </c>
      <c r="D109" t="s">
        <v>325</v>
      </c>
      <c r="E109" t="s">
        <v>25</v>
      </c>
      <c r="F109" t="s">
        <v>1042</v>
      </c>
      <c r="G109" t="s">
        <v>606</v>
      </c>
      <c r="J109">
        <v>76</v>
      </c>
      <c r="L109" s="29"/>
    </row>
    <row r="110" spans="1:12" x14ac:dyDescent="0.25">
      <c r="A110" s="59" t="str">
        <f>Tabla10[[#This Row],[TIPO_P]] &amp; "|" &amp;Tabla10[[#This Row],[Agrupación]] &amp; "|" &amp; Tabla10[[#This Row],[Sexo]] &amp; "|" &amp; Tabla10[[#This Row],[Entidad]]</f>
        <v>PI|Homicidio|Mujer|Guerrero</v>
      </c>
      <c r="B110" s="60" t="s">
        <v>1046</v>
      </c>
      <c r="C110" s="64">
        <v>2017</v>
      </c>
      <c r="D110" t="s">
        <v>325</v>
      </c>
      <c r="E110" t="s">
        <v>25</v>
      </c>
      <c r="F110" t="s">
        <v>1042</v>
      </c>
      <c r="G110" t="s">
        <v>619</v>
      </c>
      <c r="J110">
        <v>56</v>
      </c>
      <c r="L110" s="29"/>
    </row>
    <row r="111" spans="1:12" x14ac:dyDescent="0.25">
      <c r="A111" s="59" t="str">
        <f>Tabla10[[#This Row],[TIPO_P]] &amp; "|" &amp;Tabla10[[#This Row],[Agrupación]] &amp; "|" &amp; Tabla10[[#This Row],[Sexo]] &amp; "|" &amp; Tabla10[[#This Row],[Entidad]]</f>
        <v>PI|Homicidio|Mujer|Hidalgo</v>
      </c>
      <c r="B111" s="60" t="s">
        <v>1046</v>
      </c>
      <c r="C111" s="64">
        <v>2017</v>
      </c>
      <c r="D111" t="s">
        <v>325</v>
      </c>
      <c r="E111" t="s">
        <v>25</v>
      </c>
      <c r="F111" t="s">
        <v>1042</v>
      </c>
      <c r="G111" t="s">
        <v>633</v>
      </c>
      <c r="J111">
        <v>94</v>
      </c>
      <c r="L111" s="29"/>
    </row>
    <row r="112" spans="1:12" x14ac:dyDescent="0.25">
      <c r="A112" s="59" t="str">
        <f>Tabla10[[#This Row],[TIPO_P]] &amp; "|" &amp;Tabla10[[#This Row],[Agrupación]] &amp; "|" &amp; Tabla10[[#This Row],[Sexo]] &amp; "|" &amp; Tabla10[[#This Row],[Entidad]]</f>
        <v>PI|Homicidio|Mujer|Jalisco</v>
      </c>
      <c r="B112" s="60" t="s">
        <v>1046</v>
      </c>
      <c r="C112" s="64">
        <v>2017</v>
      </c>
      <c r="D112" t="s">
        <v>325</v>
      </c>
      <c r="E112" t="s">
        <v>25</v>
      </c>
      <c r="F112" t="s">
        <v>1042</v>
      </c>
      <c r="G112" t="s">
        <v>647</v>
      </c>
      <c r="J112">
        <v>105</v>
      </c>
      <c r="L112" s="29"/>
    </row>
    <row r="113" spans="1:12" x14ac:dyDescent="0.25">
      <c r="A113" s="59" t="str">
        <f>Tabla10[[#This Row],[TIPO_P]] &amp; "|" &amp;Tabla10[[#This Row],[Agrupación]] &amp; "|" &amp; Tabla10[[#This Row],[Sexo]] &amp; "|" &amp; Tabla10[[#This Row],[Entidad]]</f>
        <v>PI|Homicidio|Mujer|Michoacán de Ocampo</v>
      </c>
      <c r="B113" s="60" t="s">
        <v>1046</v>
      </c>
      <c r="C113" s="64">
        <v>2017</v>
      </c>
      <c r="D113" t="s">
        <v>325</v>
      </c>
      <c r="E113" t="s">
        <v>25</v>
      </c>
      <c r="F113" t="s">
        <v>1042</v>
      </c>
      <c r="G113" t="s">
        <v>685</v>
      </c>
      <c r="J113">
        <v>20</v>
      </c>
      <c r="L113" s="29"/>
    </row>
    <row r="114" spans="1:12" x14ac:dyDescent="0.25">
      <c r="A114" s="59" t="str">
        <f>Tabla10[[#This Row],[TIPO_P]] &amp; "|" &amp;Tabla10[[#This Row],[Agrupación]] &amp; "|" &amp; Tabla10[[#This Row],[Sexo]] &amp; "|" &amp; Tabla10[[#This Row],[Entidad]]</f>
        <v>PI|Homicidio|Mujer|Morelos</v>
      </c>
      <c r="B114" s="60" t="s">
        <v>1046</v>
      </c>
      <c r="C114" s="64">
        <v>2017</v>
      </c>
      <c r="D114" t="s">
        <v>325</v>
      </c>
      <c r="E114" t="s">
        <v>25</v>
      </c>
      <c r="F114" t="s">
        <v>1042</v>
      </c>
      <c r="G114" t="s">
        <v>698</v>
      </c>
      <c r="J114">
        <v>32</v>
      </c>
      <c r="L114" s="29"/>
    </row>
    <row r="115" spans="1:12" x14ac:dyDescent="0.25">
      <c r="A115" s="59" t="str">
        <f>Tabla10[[#This Row],[TIPO_P]] &amp; "|" &amp;Tabla10[[#This Row],[Agrupación]] &amp; "|" &amp; Tabla10[[#This Row],[Sexo]] &amp; "|" &amp; Tabla10[[#This Row],[Entidad]]</f>
        <v>PI|Homicidio|Mujer|México</v>
      </c>
      <c r="B115" s="60" t="s">
        <v>1046</v>
      </c>
      <c r="C115" s="64">
        <v>2017</v>
      </c>
      <c r="D115" t="s">
        <v>325</v>
      </c>
      <c r="E115" t="s">
        <v>25</v>
      </c>
      <c r="F115" t="s">
        <v>1042</v>
      </c>
      <c r="G115" t="s">
        <v>662</v>
      </c>
      <c r="J115">
        <v>1235</v>
      </c>
      <c r="L115" s="29"/>
    </row>
    <row r="116" spans="1:12" x14ac:dyDescent="0.25">
      <c r="A116" s="59" t="str">
        <f>Tabla10[[#This Row],[TIPO_P]] &amp; "|" &amp;Tabla10[[#This Row],[Agrupación]] &amp; "|" &amp; Tabla10[[#This Row],[Sexo]] &amp; "|" &amp; Tabla10[[#This Row],[Entidad]]</f>
        <v>PI|Homicidio|Mujer|Nayarit</v>
      </c>
      <c r="B116" s="60" t="s">
        <v>1046</v>
      </c>
      <c r="C116" s="64">
        <v>2017</v>
      </c>
      <c r="D116" t="s">
        <v>325</v>
      </c>
      <c r="E116" t="s">
        <v>25</v>
      </c>
      <c r="F116" t="s">
        <v>1042</v>
      </c>
      <c r="G116" t="s">
        <v>705</v>
      </c>
      <c r="J116">
        <v>10</v>
      </c>
      <c r="L116" s="29"/>
    </row>
    <row r="117" spans="1:12" x14ac:dyDescent="0.25">
      <c r="A117" s="59" t="str">
        <f>Tabla10[[#This Row],[TIPO_P]] &amp; "|" &amp;Tabla10[[#This Row],[Agrupación]] &amp; "|" &amp; Tabla10[[#This Row],[Sexo]] &amp; "|" &amp; Tabla10[[#This Row],[Entidad]]</f>
        <v>PI|Homicidio|Mujer|Nuevo León</v>
      </c>
      <c r="B117" s="60" t="s">
        <v>1046</v>
      </c>
      <c r="C117" s="64">
        <v>2017</v>
      </c>
      <c r="D117" t="s">
        <v>325</v>
      </c>
      <c r="E117" t="s">
        <v>25</v>
      </c>
      <c r="F117" t="s">
        <v>1042</v>
      </c>
      <c r="G117" t="s">
        <v>710</v>
      </c>
      <c r="J117">
        <v>97</v>
      </c>
      <c r="L117" s="29"/>
    </row>
    <row r="118" spans="1:12" x14ac:dyDescent="0.25">
      <c r="A118" s="59" t="str">
        <f>Tabla10[[#This Row],[TIPO_P]] &amp; "|" &amp;Tabla10[[#This Row],[Agrupación]] &amp; "|" &amp; Tabla10[[#This Row],[Sexo]] &amp; "|" &amp; Tabla10[[#This Row],[Entidad]]</f>
        <v>PI|Homicidio|Mujer|Oaxaca</v>
      </c>
      <c r="B118" s="60" t="s">
        <v>1046</v>
      </c>
      <c r="C118" s="64">
        <v>2017</v>
      </c>
      <c r="D118" t="s">
        <v>325</v>
      </c>
      <c r="E118" t="s">
        <v>25</v>
      </c>
      <c r="F118" t="s">
        <v>1042</v>
      </c>
      <c r="G118" t="s">
        <v>716</v>
      </c>
      <c r="J118">
        <v>27</v>
      </c>
      <c r="L118" s="29"/>
    </row>
    <row r="119" spans="1:12" x14ac:dyDescent="0.25">
      <c r="A119" s="59" t="str">
        <f>Tabla10[[#This Row],[TIPO_P]] &amp; "|" &amp;Tabla10[[#This Row],[Agrupación]] &amp; "|" &amp; Tabla10[[#This Row],[Sexo]] &amp; "|" &amp; Tabla10[[#This Row],[Entidad]]</f>
        <v>PI|Homicidio|Mujer|Puebla</v>
      </c>
      <c r="B119" s="60" t="s">
        <v>1046</v>
      </c>
      <c r="C119" s="64">
        <v>2017</v>
      </c>
      <c r="D119" t="s">
        <v>325</v>
      </c>
      <c r="E119" t="s">
        <v>25</v>
      </c>
      <c r="F119" t="s">
        <v>1042</v>
      </c>
      <c r="G119" t="s">
        <v>727</v>
      </c>
      <c r="J119">
        <v>72</v>
      </c>
      <c r="L119" s="29"/>
    </row>
    <row r="120" spans="1:12" x14ac:dyDescent="0.25">
      <c r="A120" s="59" t="str">
        <f>Tabla10[[#This Row],[TIPO_P]] &amp; "|" &amp;Tabla10[[#This Row],[Agrupación]] &amp; "|" &amp; Tabla10[[#This Row],[Sexo]] &amp; "|" &amp; Tabla10[[#This Row],[Entidad]]</f>
        <v>PI|Homicidio|Mujer|Querétaro</v>
      </c>
      <c r="B120" s="60" t="s">
        <v>1046</v>
      </c>
      <c r="C120" s="64">
        <v>2017</v>
      </c>
      <c r="D120" t="s">
        <v>325</v>
      </c>
      <c r="E120" t="s">
        <v>25</v>
      </c>
      <c r="F120" t="s">
        <v>1042</v>
      </c>
      <c r="G120" t="s">
        <v>731</v>
      </c>
      <c r="J120">
        <v>41</v>
      </c>
      <c r="L120" s="29"/>
    </row>
    <row r="121" spans="1:12" x14ac:dyDescent="0.25">
      <c r="A121" s="59" t="str">
        <f>Tabla10[[#This Row],[TIPO_P]] &amp; "|" &amp;Tabla10[[#This Row],[Agrupación]] &amp; "|" &amp; Tabla10[[#This Row],[Sexo]] &amp; "|" &amp; Tabla10[[#This Row],[Entidad]]</f>
        <v>PI|Homicidio|Mujer|Quintana Roo</v>
      </c>
      <c r="B121" s="60" t="s">
        <v>1046</v>
      </c>
      <c r="C121" s="64">
        <v>2017</v>
      </c>
      <c r="D121" t="s">
        <v>325</v>
      </c>
      <c r="E121" t="s">
        <v>25</v>
      </c>
      <c r="F121" t="s">
        <v>1042</v>
      </c>
      <c r="G121" t="s">
        <v>737</v>
      </c>
      <c r="J121">
        <v>35</v>
      </c>
      <c r="L121" s="29"/>
    </row>
    <row r="122" spans="1:12" x14ac:dyDescent="0.25">
      <c r="A122" s="59" t="str">
        <f>Tabla10[[#This Row],[TIPO_P]] &amp; "|" &amp;Tabla10[[#This Row],[Agrupación]] &amp; "|" &amp; Tabla10[[#This Row],[Sexo]] &amp; "|" &amp; Tabla10[[#This Row],[Entidad]]</f>
        <v>PI|Homicidio|Mujer|San Luis Potosí</v>
      </c>
      <c r="B122" s="60" t="s">
        <v>1046</v>
      </c>
      <c r="C122" s="64">
        <v>2017</v>
      </c>
      <c r="D122" t="s">
        <v>325</v>
      </c>
      <c r="E122" t="s">
        <v>25</v>
      </c>
      <c r="F122" t="s">
        <v>1042</v>
      </c>
      <c r="G122" t="s">
        <v>741</v>
      </c>
      <c r="J122">
        <v>38</v>
      </c>
      <c r="L122" s="29"/>
    </row>
    <row r="123" spans="1:12" x14ac:dyDescent="0.25">
      <c r="A123" s="59" t="str">
        <f>Tabla10[[#This Row],[TIPO_P]] &amp; "|" &amp;Tabla10[[#This Row],[Agrupación]] &amp; "|" &amp; Tabla10[[#This Row],[Sexo]] &amp; "|" &amp; Tabla10[[#This Row],[Entidad]]</f>
        <v>PI|Homicidio|Mujer|Sinaloa</v>
      </c>
      <c r="B123" s="60" t="s">
        <v>1046</v>
      </c>
      <c r="C123" s="64">
        <v>2017</v>
      </c>
      <c r="D123" t="s">
        <v>325</v>
      </c>
      <c r="E123" t="s">
        <v>25</v>
      </c>
      <c r="F123" t="s">
        <v>1042</v>
      </c>
      <c r="G123" t="s">
        <v>749</v>
      </c>
      <c r="J123">
        <v>23</v>
      </c>
      <c r="L123" s="29"/>
    </row>
    <row r="124" spans="1:12" x14ac:dyDescent="0.25">
      <c r="A124" s="59" t="str">
        <f>Tabla10[[#This Row],[TIPO_P]] &amp; "|" &amp;Tabla10[[#This Row],[Agrupación]] &amp; "|" &amp; Tabla10[[#This Row],[Sexo]] &amp; "|" &amp; Tabla10[[#This Row],[Entidad]]</f>
        <v>PI|Homicidio|Mujer|Sonora</v>
      </c>
      <c r="B124" s="60" t="s">
        <v>1046</v>
      </c>
      <c r="C124" s="64">
        <v>2017</v>
      </c>
      <c r="D124" t="s">
        <v>325</v>
      </c>
      <c r="E124" t="s">
        <v>25</v>
      </c>
      <c r="F124" t="s">
        <v>1042</v>
      </c>
      <c r="G124" t="s">
        <v>755</v>
      </c>
      <c r="J124">
        <v>97</v>
      </c>
      <c r="L124" s="29"/>
    </row>
    <row r="125" spans="1:12" x14ac:dyDescent="0.25">
      <c r="A125" s="59" t="str">
        <f>Tabla10[[#This Row],[TIPO_P]] &amp; "|" &amp;Tabla10[[#This Row],[Agrupación]] &amp; "|" &amp; Tabla10[[#This Row],[Sexo]] &amp; "|" &amp; Tabla10[[#This Row],[Entidad]]</f>
        <v>PI|Homicidio|Mujer|Tabasco</v>
      </c>
      <c r="B125" s="60" t="s">
        <v>1046</v>
      </c>
      <c r="C125" s="64">
        <v>2017</v>
      </c>
      <c r="D125" t="s">
        <v>325</v>
      </c>
      <c r="E125" t="s">
        <v>25</v>
      </c>
      <c r="F125" t="s">
        <v>1042</v>
      </c>
      <c r="G125" t="s">
        <v>775</v>
      </c>
      <c r="J125">
        <v>19</v>
      </c>
      <c r="L125" s="29"/>
    </row>
    <row r="126" spans="1:12" x14ac:dyDescent="0.25">
      <c r="A126" s="59" t="str">
        <f>Tabla10[[#This Row],[TIPO_P]] &amp; "|" &amp;Tabla10[[#This Row],[Agrupación]] &amp; "|" &amp; Tabla10[[#This Row],[Sexo]] &amp; "|" &amp; Tabla10[[#This Row],[Entidad]]</f>
        <v>PI|Homicidio|Mujer|Tamaulipas</v>
      </c>
      <c r="B126" s="60" t="s">
        <v>1046</v>
      </c>
      <c r="C126" s="64">
        <v>2017</v>
      </c>
      <c r="D126" t="s">
        <v>325</v>
      </c>
      <c r="E126" t="s">
        <v>25</v>
      </c>
      <c r="F126" t="s">
        <v>1042</v>
      </c>
      <c r="G126" t="s">
        <v>785</v>
      </c>
      <c r="J126">
        <v>54</v>
      </c>
      <c r="L126" s="29"/>
    </row>
    <row r="127" spans="1:12" x14ac:dyDescent="0.25">
      <c r="A127" s="59" t="str">
        <f>Tabla10[[#This Row],[TIPO_P]] &amp; "|" &amp;Tabla10[[#This Row],[Agrupación]] &amp; "|" &amp; Tabla10[[#This Row],[Sexo]] &amp; "|" &amp; Tabla10[[#This Row],[Entidad]]</f>
        <v>PI|Homicidio|Mujer|Tlaxcala</v>
      </c>
      <c r="B127" s="60" t="s">
        <v>1046</v>
      </c>
      <c r="C127" s="64">
        <v>2017</v>
      </c>
      <c r="D127" t="s">
        <v>325</v>
      </c>
      <c r="E127" t="s">
        <v>25</v>
      </c>
      <c r="F127" t="s">
        <v>1042</v>
      </c>
      <c r="G127" t="s">
        <v>797</v>
      </c>
      <c r="J127">
        <v>16</v>
      </c>
      <c r="L127" s="29"/>
    </row>
    <row r="128" spans="1:12" x14ac:dyDescent="0.25">
      <c r="A128" s="59" t="str">
        <f>Tabla10[[#This Row],[TIPO_P]] &amp; "|" &amp;Tabla10[[#This Row],[Agrupación]] &amp; "|" &amp; Tabla10[[#This Row],[Sexo]] &amp; "|" &amp; Tabla10[[#This Row],[Entidad]]</f>
        <v>PI|Homicidio|Mujer|Veracruz de Ignacio de la Llave</v>
      </c>
      <c r="B128" s="60" t="s">
        <v>1046</v>
      </c>
      <c r="C128" s="64">
        <v>2017</v>
      </c>
      <c r="D128" t="s">
        <v>325</v>
      </c>
      <c r="E128" t="s">
        <v>25</v>
      </c>
      <c r="F128" t="s">
        <v>1042</v>
      </c>
      <c r="G128" t="s">
        <v>802</v>
      </c>
      <c r="J128">
        <v>79</v>
      </c>
      <c r="L128" s="29"/>
    </row>
    <row r="129" spans="1:12" x14ac:dyDescent="0.25">
      <c r="A129" s="59" t="str">
        <f>Tabla10[[#This Row],[TIPO_P]] &amp; "|" &amp;Tabla10[[#This Row],[Agrupación]] &amp; "|" &amp; Tabla10[[#This Row],[Sexo]] &amp; "|" &amp; Tabla10[[#This Row],[Entidad]]</f>
        <v>PI|Homicidio|Mujer|Yucatán</v>
      </c>
      <c r="B129" s="60" t="s">
        <v>1046</v>
      </c>
      <c r="C129" s="64">
        <v>2017</v>
      </c>
      <c r="D129" t="s">
        <v>325</v>
      </c>
      <c r="E129" t="s">
        <v>25</v>
      </c>
      <c r="F129" t="s">
        <v>1042</v>
      </c>
      <c r="G129" t="s">
        <v>822</v>
      </c>
      <c r="J129">
        <v>19</v>
      </c>
      <c r="L129" s="29"/>
    </row>
    <row r="130" spans="1:12" ht="15.75" thickBot="1" x14ac:dyDescent="0.3">
      <c r="A130" s="61" t="str">
        <f>Tabla10[[#This Row],[TIPO_P]] &amp; "|" &amp;Tabla10[[#This Row],[Agrupación]] &amp; "|" &amp; Tabla10[[#This Row],[Sexo]] &amp; "|" &amp; Tabla10[[#This Row],[Entidad]]</f>
        <v>PI|Homicidio|Mujer|Zacatecas</v>
      </c>
      <c r="B130" s="62" t="s">
        <v>1046</v>
      </c>
      <c r="C130" s="65">
        <v>2017</v>
      </c>
      <c r="D130" s="30" t="s">
        <v>325</v>
      </c>
      <c r="E130" s="30" t="s">
        <v>25</v>
      </c>
      <c r="F130" s="30" t="s">
        <v>1042</v>
      </c>
      <c r="G130" s="30" t="s">
        <v>827</v>
      </c>
      <c r="H130" s="30"/>
      <c r="I130" s="30"/>
      <c r="J130" s="30">
        <v>14</v>
      </c>
      <c r="K130" s="30"/>
      <c r="L130" s="3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abSelected="1" topLeftCell="B1" workbookViewId="0">
      <pane ySplit="1" topLeftCell="A2" activePane="bottomLeft" state="frozen"/>
      <selection activeCell="B1" sqref="B1"/>
      <selection pane="bottomLeft" activeCell="Q2" sqref="Q2"/>
    </sheetView>
  </sheetViews>
  <sheetFormatPr baseColWidth="10" defaultRowHeight="15" x14ac:dyDescent="0.25"/>
  <cols>
    <col min="1" max="1" width="8.7109375" hidden="1" customWidth="1"/>
    <col min="2" max="3" width="8.7109375" customWidth="1"/>
    <col min="4" max="4" width="19.7109375" hidden="1" customWidth="1"/>
    <col min="5" max="5" width="9.140625" customWidth="1"/>
    <col min="6" max="6" width="30.85546875" customWidth="1"/>
    <col min="7" max="7" width="16.42578125" hidden="1" customWidth="1"/>
    <col min="8" max="9" width="16.42578125" customWidth="1"/>
    <col min="10" max="16" width="10.7109375" customWidth="1"/>
    <col min="17" max="17" width="92" customWidth="1"/>
  </cols>
  <sheetData>
    <row r="1" spans="1:17" ht="19.899999999999999" customHeight="1" x14ac:dyDescent="0.3">
      <c r="A1" s="67"/>
      <c r="B1" s="87">
        <v>2017</v>
      </c>
      <c r="C1" s="87"/>
      <c r="D1" s="68"/>
      <c r="E1" s="88" t="s">
        <v>25</v>
      </c>
      <c r="F1" s="88"/>
      <c r="O1" s="86">
        <f>SUM(Tabla410[[PI]:[PS]])</f>
        <v>48760</v>
      </c>
      <c r="P1" s="86"/>
    </row>
    <row r="2" spans="1:17" ht="27.75" customHeight="1" thickBot="1" x14ac:dyDescent="0.3">
      <c r="A2" s="50" t="s">
        <v>1019</v>
      </c>
      <c r="B2" s="74" t="s">
        <v>1052</v>
      </c>
      <c r="C2" s="74" t="s">
        <v>1053</v>
      </c>
      <c r="D2" s="74" t="s">
        <v>1045</v>
      </c>
      <c r="E2" s="74" t="s">
        <v>1022</v>
      </c>
      <c r="F2" s="74" t="s">
        <v>1023</v>
      </c>
      <c r="G2" s="50" t="s">
        <v>1044</v>
      </c>
      <c r="H2" s="50" t="s">
        <v>1048</v>
      </c>
      <c r="I2" s="50" t="s">
        <v>1049</v>
      </c>
      <c r="J2" s="50" t="s">
        <v>1036</v>
      </c>
      <c r="K2" s="50" t="s">
        <v>1031</v>
      </c>
      <c r="L2" s="50" t="s">
        <v>1030</v>
      </c>
      <c r="M2" s="50" t="s">
        <v>1037</v>
      </c>
      <c r="N2" s="50" t="s">
        <v>1029</v>
      </c>
      <c r="O2" s="50" t="s">
        <v>1046</v>
      </c>
      <c r="P2" s="50" t="s">
        <v>1050</v>
      </c>
      <c r="Q2" s="51" t="s">
        <v>1027</v>
      </c>
    </row>
    <row r="3" spans="1:17" ht="15" customHeight="1" x14ac:dyDescent="0.25">
      <c r="A3" s="69"/>
      <c r="B3" s="75" t="s">
        <v>1046</v>
      </c>
      <c r="C3" s="76" t="s">
        <v>1050</v>
      </c>
      <c r="D3" s="77"/>
      <c r="E3" s="77" t="s">
        <v>1042</v>
      </c>
      <c r="F3" s="78" t="s">
        <v>518</v>
      </c>
      <c r="G3" s="70"/>
      <c r="H3" s="47" t="str">
        <f>Tabla410[[#This Row],[P1]] &amp; "|" &amp; $E$1 &amp; "|" &amp; Tabla410[[#This Row],[Sexo]] &amp; "|" &amp; Tabla410[[#This Row],[Entidad]]</f>
        <v>PI|Homicidio|Mujer|Aguascalientes</v>
      </c>
      <c r="I3" s="33" t="str">
        <f>Tabla410[[#This Row],[P2]] &amp; "|" &amp; $E$1 &amp; "|" &amp; Tabla410[[#This Row],[Sexo]] &amp; "|" &amp; Tabla410[[#This Row],[Entidad]]</f>
        <v>PS|Homicidio|Mujer|Aguascalientes</v>
      </c>
      <c r="J3" s="34">
        <f>VLOOKUP($E$1,Tabla5[[#All],[name]:[id_1]],2,FALSE)</f>
        <v>77</v>
      </c>
      <c r="K3" s="34">
        <f>VLOOKUP($B$1,Tabla6[[#All],[name]:[id_2]],2)</f>
        <v>18</v>
      </c>
      <c r="L3" s="34">
        <f>VLOOKUP(Tabla410[[#This Row],[Sexo]],Tabla8[[#All],[name]:[gender_id]],2,FALSE)</f>
        <v>1</v>
      </c>
      <c r="M3" s="34" t="str">
        <f>IF(LEN(Tabla410[[#This Row],[centros]])&gt;0,VLOOKUP(Tabla410[[#This Row],[centros]],Tabla2[[#All],[Centros]:[ID]],2,FALSE),"NULL")</f>
        <v>NULL</v>
      </c>
      <c r="N3" s="34">
        <f>VLOOKUP(Tabla410[[#This Row],[Entidad]],Tabla3[[#All],[name]:[ID_2]],2,FALSE)</f>
        <v>1</v>
      </c>
      <c r="O3" s="34">
        <f>IFERROR(VLOOKUP(Tabla410[[#This Row],[CLAVE PI]], Tabla10[], 10, FALSE), 0)</f>
        <v>22</v>
      </c>
      <c r="P3" s="48">
        <f>IFERROR(VLOOKUP(Tabla410[[#This Row],[CLAVE PS]], Tabla10[], 10, FALSE), 0)</f>
        <v>1</v>
      </c>
      <c r="Q3" s="49" t="str">
        <f t="shared" ref="Q3:Q34" si="0"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(77, 18, 1, NULL, 1, 22, 1, 1);</v>
      </c>
    </row>
    <row r="4" spans="1:17" ht="15" customHeight="1" x14ac:dyDescent="0.25">
      <c r="A4" s="69"/>
      <c r="B4" s="79" t="s">
        <v>1046</v>
      </c>
      <c r="C4" s="53" t="s">
        <v>1050</v>
      </c>
      <c r="D4" s="32"/>
      <c r="E4" s="32" t="s">
        <v>1042</v>
      </c>
      <c r="F4" s="80" t="s">
        <v>519</v>
      </c>
      <c r="G4" s="71"/>
      <c r="H4" s="35" t="str">
        <f>Tabla410[[#This Row],[P1]] &amp; "|" &amp; $E$1 &amp; "|" &amp; Tabla410[[#This Row],[Sexo]] &amp; "|" &amp; Tabla410[[#This Row],[Entidad]]</f>
        <v>PI|Homicidio|Mujer|Baja California</v>
      </c>
      <c r="I4" s="21" t="str">
        <f>Tabla410[[#This Row],[P2]] &amp; "|" &amp; $E$1 &amp; "|" &amp; Tabla410[[#This Row],[Sexo]] &amp; "|" &amp; Tabla410[[#This Row],[Entidad]]</f>
        <v>PS|Homicidio|Mujer|Baja California</v>
      </c>
      <c r="J4" s="9">
        <f>VLOOKUP($E$1,Tabla5[[#All],[name]:[id_1]],2,FALSE)</f>
        <v>77</v>
      </c>
      <c r="K4" s="9">
        <f>VLOOKUP($B$1,Tabla6[[#All],[name]:[id_2]],2)</f>
        <v>18</v>
      </c>
      <c r="L4" s="9">
        <f>VLOOKUP(Tabla410[[#This Row],[Sexo]],Tabla8[[#All],[name]:[gender_id]],2,FALSE)</f>
        <v>1</v>
      </c>
      <c r="M4" s="9" t="str">
        <f>IF(LEN(Tabla410[[#This Row],[centros]])&gt;0,VLOOKUP(Tabla410[[#This Row],[centros]],Tabla2[[#All],[Centros]:[ID]],2,FALSE),"NULL")</f>
        <v>NULL</v>
      </c>
      <c r="N4" s="9">
        <f>VLOOKUP(Tabla410[[#This Row],[Entidad]],Tabla3[[#All],[name]:[ID_2]],2,FALSE)</f>
        <v>2</v>
      </c>
      <c r="O4" s="9">
        <f>IFERROR(VLOOKUP(Tabla410[[#This Row],[CLAVE PI]], Tabla10[], 10, FALSE), 0)</f>
        <v>134</v>
      </c>
      <c r="P4" s="36">
        <f>IFERROR(VLOOKUP(Tabla410[[#This Row],[CLAVE PS]], Tabla10[], 10, FALSE), 0)</f>
        <v>1</v>
      </c>
      <c r="Q4" s="42" t="str">
        <f t="shared" si="0"/>
        <v>INSERT INTO indicator_category_details (category_id, year_id, gender_id, center_id, state_id, PI, PS, status) VALUES (77, 18, 1, NULL, 2, 134, 1, 1);</v>
      </c>
    </row>
    <row r="5" spans="1:17" ht="15" customHeight="1" x14ac:dyDescent="0.25">
      <c r="A5" s="69"/>
      <c r="B5" s="79" t="s">
        <v>1046</v>
      </c>
      <c r="C5" s="53" t="s">
        <v>1050</v>
      </c>
      <c r="D5" s="32"/>
      <c r="E5" s="32" t="s">
        <v>1042</v>
      </c>
      <c r="F5" s="80" t="s">
        <v>528</v>
      </c>
      <c r="G5" s="71"/>
      <c r="H5" s="35" t="str">
        <f>Tabla410[[#This Row],[P1]] &amp; "|" &amp; $E$1 &amp; "|" &amp; Tabla410[[#This Row],[Sexo]] &amp; "|" &amp; Tabla410[[#This Row],[Entidad]]</f>
        <v>PI|Homicidio|Mujer|Baja California Sur</v>
      </c>
      <c r="I5" s="21" t="str">
        <f>Tabla410[[#This Row],[P2]] &amp; "|" &amp; $E$1 &amp; "|" &amp; Tabla410[[#This Row],[Sexo]] &amp; "|" &amp; Tabla410[[#This Row],[Entidad]]</f>
        <v>PS|Homicidio|Mujer|Baja California Sur</v>
      </c>
      <c r="J5" s="9">
        <f>VLOOKUP($E$1,Tabla5[[#All],[name]:[id_1]],2,FALSE)</f>
        <v>77</v>
      </c>
      <c r="K5" s="9">
        <f>VLOOKUP($B$1,Tabla6[[#All],[name]:[id_2]],2)</f>
        <v>18</v>
      </c>
      <c r="L5" s="9">
        <f>VLOOKUP(Tabla410[[#This Row],[Sexo]],Tabla8[[#All],[name]:[gender_id]],2,FALSE)</f>
        <v>1</v>
      </c>
      <c r="M5" s="9" t="str">
        <f>IF(LEN(Tabla410[[#This Row],[centros]])&gt;0,VLOOKUP(Tabla410[[#This Row],[centros]],Tabla2[[#All],[Centros]:[ID]],2,FALSE),"NULL")</f>
        <v>NULL</v>
      </c>
      <c r="N5" s="9">
        <f>VLOOKUP(Tabla410[[#This Row],[Entidad]],Tabla3[[#All],[name]:[ID_2]],2,FALSE)</f>
        <v>3</v>
      </c>
      <c r="O5" s="9">
        <f>IFERROR(VLOOKUP(Tabla410[[#This Row],[CLAVE PI]], Tabla10[], 10, FALSE), 0)</f>
        <v>18</v>
      </c>
      <c r="P5" s="36">
        <f>IFERROR(VLOOKUP(Tabla410[[#This Row],[CLAVE PS]], Tabla10[], 10, FALSE), 0)</f>
        <v>1</v>
      </c>
      <c r="Q5" s="42" t="str">
        <f t="shared" si="0"/>
        <v>INSERT INTO indicator_category_details (category_id, year_id, gender_id, center_id, state_id, PI, PS, status) VALUES (77, 18, 1, NULL, 3, 18, 1, 1);</v>
      </c>
    </row>
    <row r="6" spans="1:17" ht="15" customHeight="1" x14ac:dyDescent="0.25">
      <c r="A6" s="69"/>
      <c r="B6" s="79" t="s">
        <v>1046</v>
      </c>
      <c r="C6" s="53" t="s">
        <v>1050</v>
      </c>
      <c r="D6" s="32"/>
      <c r="E6" s="32" t="s">
        <v>1042</v>
      </c>
      <c r="F6" s="80" t="s">
        <v>534</v>
      </c>
      <c r="G6" s="71"/>
      <c r="H6" s="35" t="str">
        <f>Tabla410[[#This Row],[P1]] &amp; "|" &amp; $E$1 &amp; "|" &amp; Tabla410[[#This Row],[Sexo]] &amp; "|" &amp; Tabla410[[#This Row],[Entidad]]</f>
        <v>PI|Homicidio|Mujer|Campeche</v>
      </c>
      <c r="I6" s="21" t="str">
        <f>Tabla410[[#This Row],[P2]] &amp; "|" &amp; $E$1 &amp; "|" &amp; Tabla410[[#This Row],[Sexo]] &amp; "|" &amp; Tabla410[[#This Row],[Entidad]]</f>
        <v>PS|Homicidio|Mujer|Campeche</v>
      </c>
      <c r="J6" s="9">
        <f>VLOOKUP($E$1,Tabla5[[#All],[name]:[id_1]],2,FALSE)</f>
        <v>77</v>
      </c>
      <c r="K6" s="9">
        <f>VLOOKUP($B$1,Tabla6[[#All],[name]:[id_2]],2)</f>
        <v>18</v>
      </c>
      <c r="L6" s="9">
        <f>VLOOKUP(Tabla410[[#This Row],[Sexo]],Tabla8[[#All],[name]:[gender_id]],2,FALSE)</f>
        <v>1</v>
      </c>
      <c r="M6" s="9" t="str">
        <f>IF(LEN(Tabla410[[#This Row],[centros]])&gt;0,VLOOKUP(Tabla410[[#This Row],[centros]],Tabla2[[#All],[Centros]:[ID]],2,FALSE),"NULL")</f>
        <v>NULL</v>
      </c>
      <c r="N6" s="9">
        <f>VLOOKUP(Tabla410[[#This Row],[Entidad]],Tabla3[[#All],[name]:[ID_2]],2,FALSE)</f>
        <v>4</v>
      </c>
      <c r="O6" s="9">
        <f>IFERROR(VLOOKUP(Tabla410[[#This Row],[CLAVE PI]], Tabla10[], 10, FALSE), 0)</f>
        <v>11</v>
      </c>
      <c r="P6" s="36">
        <f>IFERROR(VLOOKUP(Tabla410[[#This Row],[CLAVE PS]], Tabla10[], 10, FALSE), 0)</f>
        <v>1</v>
      </c>
      <c r="Q6" s="42" t="str">
        <f t="shared" si="0"/>
        <v>INSERT INTO indicator_category_details (category_id, year_id, gender_id, center_id, state_id, PI, PS, status) VALUES (77, 18, 1, NULL, 4, 11, 1, 1);</v>
      </c>
    </row>
    <row r="7" spans="1:17" ht="15" customHeight="1" x14ac:dyDescent="0.25">
      <c r="A7" s="69"/>
      <c r="B7" s="79" t="s">
        <v>1046</v>
      </c>
      <c r="C7" s="53" t="s">
        <v>1050</v>
      </c>
      <c r="D7" s="32"/>
      <c r="E7" s="32" t="s">
        <v>1042</v>
      </c>
      <c r="F7" s="80" t="s">
        <v>553</v>
      </c>
      <c r="G7" s="71"/>
      <c r="H7" s="35" t="str">
        <f>Tabla410[[#This Row],[P1]] &amp; "|" &amp; $E$1 &amp; "|" &amp; Tabla410[[#This Row],[Sexo]] &amp; "|" &amp; Tabla410[[#This Row],[Entidad]]</f>
        <v>PI|Homicidio|Mujer|Chiapas</v>
      </c>
      <c r="I7" s="21" t="str">
        <f>Tabla410[[#This Row],[P2]] &amp; "|" &amp; $E$1 &amp; "|" &amp; Tabla410[[#This Row],[Sexo]] &amp; "|" &amp; Tabla410[[#This Row],[Entidad]]</f>
        <v>PS|Homicidio|Mujer|Chiapas</v>
      </c>
      <c r="J7" s="9">
        <f>VLOOKUP($E$1,Tabla5[[#All],[name]:[id_1]],2,FALSE)</f>
        <v>77</v>
      </c>
      <c r="K7" s="9">
        <f>VLOOKUP($B$1,Tabla6[[#All],[name]:[id_2]],2)</f>
        <v>18</v>
      </c>
      <c r="L7" s="9">
        <f>VLOOKUP(Tabla410[[#This Row],[Sexo]],Tabla8[[#All],[name]:[gender_id]],2,FALSE)</f>
        <v>1</v>
      </c>
      <c r="M7" s="9" t="str">
        <f>IF(LEN(Tabla410[[#This Row],[centros]])&gt;0,VLOOKUP(Tabla410[[#This Row],[centros]],Tabla2[[#All],[Centros]:[ID]],2,FALSE),"NULL")</f>
        <v>NULL</v>
      </c>
      <c r="N7" s="9">
        <f>VLOOKUP(Tabla410[[#This Row],[Entidad]],Tabla3[[#All],[name]:[ID_2]],2,FALSE)</f>
        <v>5</v>
      </c>
      <c r="O7" s="9">
        <f>IFERROR(VLOOKUP(Tabla410[[#This Row],[CLAVE PI]], Tabla10[], 10, FALSE), 0)</f>
        <v>41</v>
      </c>
      <c r="P7" s="36">
        <f>IFERROR(VLOOKUP(Tabla410[[#This Row],[CLAVE PS]], Tabla10[], 10, FALSE), 0)</f>
        <v>0</v>
      </c>
      <c r="Q7" s="42" t="str">
        <f t="shared" si="0"/>
        <v>INSERT INTO indicator_category_details (category_id, year_id, gender_id, center_id, state_id, PI, PS, status) VALUES (77, 18, 1, NULL, 5, 41, 0, 1);</v>
      </c>
    </row>
    <row r="8" spans="1:17" ht="15" customHeight="1" x14ac:dyDescent="0.25">
      <c r="A8" s="69"/>
      <c r="B8" s="79" t="s">
        <v>1046</v>
      </c>
      <c r="C8" s="53" t="s">
        <v>1050</v>
      </c>
      <c r="D8" s="32"/>
      <c r="E8" s="32" t="s">
        <v>1042</v>
      </c>
      <c r="F8" s="80" t="s">
        <v>570</v>
      </c>
      <c r="G8" s="71"/>
      <c r="H8" s="35" t="str">
        <f>Tabla410[[#This Row],[P1]] &amp; "|" &amp; $E$1 &amp; "|" &amp; Tabla410[[#This Row],[Sexo]] &amp; "|" &amp; Tabla410[[#This Row],[Entidad]]</f>
        <v>PI|Homicidio|Mujer|Chihuahua</v>
      </c>
      <c r="I8" s="21" t="str">
        <f>Tabla410[[#This Row],[P2]] &amp; "|" &amp; $E$1 &amp; "|" &amp; Tabla410[[#This Row],[Sexo]] &amp; "|" &amp; Tabla410[[#This Row],[Entidad]]</f>
        <v>PS|Homicidio|Mujer|Chihuahua</v>
      </c>
      <c r="J8" s="9">
        <f>VLOOKUP($E$1,Tabla5[[#All],[name]:[id_1]],2,FALSE)</f>
        <v>77</v>
      </c>
      <c r="K8" s="9">
        <f>VLOOKUP($B$1,Tabla6[[#All],[name]:[id_2]],2)</f>
        <v>18</v>
      </c>
      <c r="L8" s="9">
        <f>VLOOKUP(Tabla410[[#This Row],[Sexo]],Tabla8[[#All],[name]:[gender_id]],2,FALSE)</f>
        <v>1</v>
      </c>
      <c r="M8" s="9" t="str">
        <f>IF(LEN(Tabla410[[#This Row],[centros]])&gt;0,VLOOKUP(Tabla410[[#This Row],[centros]],Tabla2[[#All],[Centros]:[ID]],2,FALSE),"NULL")</f>
        <v>NULL</v>
      </c>
      <c r="N8" s="9">
        <f>VLOOKUP(Tabla410[[#This Row],[Entidad]],Tabla3[[#All],[name]:[ID_2]],2,FALSE)</f>
        <v>6</v>
      </c>
      <c r="O8" s="9">
        <f>IFERROR(VLOOKUP(Tabla410[[#This Row],[CLAVE PI]], Tabla10[], 10, FALSE), 0)</f>
        <v>14</v>
      </c>
      <c r="P8" s="36">
        <f>IFERROR(VLOOKUP(Tabla410[[#This Row],[CLAVE PS]], Tabla10[], 10, FALSE), 0)</f>
        <v>2</v>
      </c>
      <c r="Q8" s="42" t="str">
        <f t="shared" si="0"/>
        <v>INSERT INTO indicator_category_details (category_id, year_id, gender_id, center_id, state_id, PI, PS, status) VALUES (77, 18, 1, NULL, 6, 14, 2, 1);</v>
      </c>
    </row>
    <row r="9" spans="1:17" ht="15" customHeight="1" x14ac:dyDescent="0.25">
      <c r="A9" s="69"/>
      <c r="B9" s="79" t="s">
        <v>1046</v>
      </c>
      <c r="C9" s="53" t="s">
        <v>1050</v>
      </c>
      <c r="D9" s="32"/>
      <c r="E9" s="32" t="s">
        <v>1042</v>
      </c>
      <c r="F9" s="80" t="s">
        <v>582</v>
      </c>
      <c r="G9" s="71"/>
      <c r="H9" s="35" t="str">
        <f>Tabla410[[#This Row],[P1]] &amp; "|" &amp; $E$1 &amp; "|" &amp; Tabla410[[#This Row],[Sexo]] &amp; "|" &amp; Tabla410[[#This Row],[Entidad]]</f>
        <v>PI|Homicidio|Mujer|Ciudad de México</v>
      </c>
      <c r="I9" s="21" t="str">
        <f>Tabla410[[#This Row],[P2]] &amp; "|" &amp; $E$1 &amp; "|" &amp; Tabla410[[#This Row],[Sexo]] &amp; "|" &amp; Tabla410[[#This Row],[Entidad]]</f>
        <v>PS|Homicidio|Mujer|Ciudad de México</v>
      </c>
      <c r="J9" s="9">
        <f>VLOOKUP($E$1,Tabla5[[#All],[name]:[id_1]],2,FALSE)</f>
        <v>77</v>
      </c>
      <c r="K9" s="9">
        <f>VLOOKUP($B$1,Tabla6[[#All],[name]:[id_2]],2)</f>
        <v>18</v>
      </c>
      <c r="L9" s="9">
        <f>VLOOKUP(Tabla410[[#This Row],[Sexo]],Tabla8[[#All],[name]:[gender_id]],2,FALSE)</f>
        <v>1</v>
      </c>
      <c r="M9" s="9" t="str">
        <f>IF(LEN(Tabla410[[#This Row],[centros]])&gt;0,VLOOKUP(Tabla410[[#This Row],[centros]],Tabla2[[#All],[Centros]:[ID]],2,FALSE),"NULL")</f>
        <v>NULL</v>
      </c>
      <c r="N9" s="9">
        <f>VLOOKUP(Tabla410[[#This Row],[Entidad]],Tabla3[[#All],[name]:[ID_2]],2,FALSE)</f>
        <v>7</v>
      </c>
      <c r="O9" s="9">
        <f>IFERROR(VLOOKUP(Tabla410[[#This Row],[CLAVE PI]], Tabla10[], 10, FALSE), 0)</f>
        <v>350</v>
      </c>
      <c r="P9" s="36">
        <f>IFERROR(VLOOKUP(Tabla410[[#This Row],[CLAVE PS]], Tabla10[], 10, FALSE), 0)</f>
        <v>3</v>
      </c>
      <c r="Q9" s="42" t="str">
        <f t="shared" si="0"/>
        <v>INSERT INTO indicator_category_details (category_id, year_id, gender_id, center_id, state_id, PI, PS, status) VALUES (77, 18, 1, NULL, 7, 350, 3, 1);</v>
      </c>
    </row>
    <row r="10" spans="1:17" ht="15" customHeight="1" x14ac:dyDescent="0.25">
      <c r="A10" s="69"/>
      <c r="B10" s="79" t="s">
        <v>1046</v>
      </c>
      <c r="C10" s="53" t="s">
        <v>1050</v>
      </c>
      <c r="D10" s="32"/>
      <c r="E10" s="32" t="s">
        <v>1042</v>
      </c>
      <c r="F10" s="80" t="s">
        <v>538</v>
      </c>
      <c r="G10" s="71"/>
      <c r="H10" s="35" t="str">
        <f>Tabla410[[#This Row],[P1]] &amp; "|" &amp; $E$1 &amp; "|" &amp; Tabla410[[#This Row],[Sexo]] &amp; "|" &amp; Tabla410[[#This Row],[Entidad]]</f>
        <v>PI|Homicidio|Mujer|Coahuila de Zaragoza</v>
      </c>
      <c r="I10" s="21" t="str">
        <f>Tabla410[[#This Row],[P2]] &amp; "|" &amp; $E$1 &amp; "|" &amp; Tabla410[[#This Row],[Sexo]] &amp; "|" &amp; Tabla410[[#This Row],[Entidad]]</f>
        <v>PS|Homicidio|Mujer|Coahuila de Zaragoza</v>
      </c>
      <c r="J10" s="9">
        <f>VLOOKUP($E$1,Tabla5[[#All],[name]:[id_1]],2,FALSE)</f>
        <v>77</v>
      </c>
      <c r="K10" s="9">
        <f>VLOOKUP($B$1,Tabla6[[#All],[name]:[id_2]],2)</f>
        <v>18</v>
      </c>
      <c r="L10" s="9">
        <f>VLOOKUP(Tabla410[[#This Row],[Sexo]],Tabla8[[#All],[name]:[gender_id]],2,FALSE)</f>
        <v>1</v>
      </c>
      <c r="M10" s="9" t="str">
        <f>IF(LEN(Tabla410[[#This Row],[centros]])&gt;0,VLOOKUP(Tabla410[[#This Row],[centros]],Tabla2[[#All],[Centros]:[ID]],2,FALSE),"NULL")</f>
        <v>NULL</v>
      </c>
      <c r="N10" s="9">
        <f>VLOOKUP(Tabla410[[#This Row],[Entidad]],Tabla3[[#All],[name]:[ID_2]],2,FALSE)</f>
        <v>8</v>
      </c>
      <c r="O10" s="9">
        <f>IFERROR(VLOOKUP(Tabla410[[#This Row],[CLAVE PI]], Tabla10[], 10, FALSE), 0)</f>
        <v>26</v>
      </c>
      <c r="P10" s="36">
        <f>IFERROR(VLOOKUP(Tabla410[[#This Row],[CLAVE PS]], Tabla10[], 10, FALSE), 0)</f>
        <v>2</v>
      </c>
      <c r="Q10" s="42" t="str">
        <f t="shared" si="0"/>
        <v>INSERT INTO indicator_category_details (category_id, year_id, gender_id, center_id, state_id, PI, PS, status) VALUES (77, 18, 1, NULL, 8, 26, 2, 1);</v>
      </c>
    </row>
    <row r="11" spans="1:17" ht="15" customHeight="1" x14ac:dyDescent="0.25">
      <c r="A11" s="69"/>
      <c r="B11" s="79" t="s">
        <v>1046</v>
      </c>
      <c r="C11" s="53" t="s">
        <v>1050</v>
      </c>
      <c r="D11" s="32"/>
      <c r="E11" s="32" t="s">
        <v>1042</v>
      </c>
      <c r="F11" s="80" t="s">
        <v>547</v>
      </c>
      <c r="G11" s="71"/>
      <c r="H11" s="35" t="str">
        <f>Tabla410[[#This Row],[P1]] &amp; "|" &amp; $E$1 &amp; "|" &amp; Tabla410[[#This Row],[Sexo]] &amp; "|" &amp; Tabla410[[#This Row],[Entidad]]</f>
        <v>PI|Homicidio|Mujer|Colima</v>
      </c>
      <c r="I11" s="21" t="str">
        <f>Tabla410[[#This Row],[P2]] &amp; "|" &amp; $E$1 &amp; "|" &amp; Tabla410[[#This Row],[Sexo]] &amp; "|" &amp; Tabla410[[#This Row],[Entidad]]</f>
        <v>PS|Homicidio|Mujer|Colima</v>
      </c>
      <c r="J11" s="9">
        <f>VLOOKUP($E$1,Tabla5[[#All],[name]:[id_1]],2,FALSE)</f>
        <v>77</v>
      </c>
      <c r="K11" s="9">
        <f>VLOOKUP($B$1,Tabla6[[#All],[name]:[id_2]],2)</f>
        <v>18</v>
      </c>
      <c r="L11" s="9">
        <f>VLOOKUP(Tabla410[[#This Row],[Sexo]],Tabla8[[#All],[name]:[gender_id]],2,FALSE)</f>
        <v>1</v>
      </c>
      <c r="M11" s="9" t="str">
        <f>IF(LEN(Tabla410[[#This Row],[centros]])&gt;0,VLOOKUP(Tabla410[[#This Row],[centros]],Tabla2[[#All],[Centros]:[ID]],2,FALSE),"NULL")</f>
        <v>NULL</v>
      </c>
      <c r="N11" s="9">
        <f>VLOOKUP(Tabla410[[#This Row],[Entidad]],Tabla3[[#All],[name]:[ID_2]],2,FALSE)</f>
        <v>9</v>
      </c>
      <c r="O11" s="9">
        <f>IFERROR(VLOOKUP(Tabla410[[#This Row],[CLAVE PI]], Tabla10[], 10, FALSE), 0)</f>
        <v>20</v>
      </c>
      <c r="P11" s="36">
        <f>IFERROR(VLOOKUP(Tabla410[[#This Row],[CLAVE PS]], Tabla10[], 10, FALSE), 0)</f>
        <v>0</v>
      </c>
      <c r="Q11" s="42" t="str">
        <f t="shared" si="0"/>
        <v>INSERT INTO indicator_category_details (category_id, year_id, gender_id, center_id, state_id, PI, PS, status) VALUES (77, 18, 1, NULL, 9, 20, 0, 1);</v>
      </c>
    </row>
    <row r="12" spans="1:17" ht="15" customHeight="1" x14ac:dyDescent="0.25">
      <c r="A12" s="69"/>
      <c r="B12" s="79" t="s">
        <v>1046</v>
      </c>
      <c r="C12" s="53" t="s">
        <v>1050</v>
      </c>
      <c r="D12" s="32"/>
      <c r="E12" s="32" t="s">
        <v>1042</v>
      </c>
      <c r="F12" s="80" t="s">
        <v>600</v>
      </c>
      <c r="G12" s="71"/>
      <c r="H12" s="35" t="str">
        <f>Tabla410[[#This Row],[P1]] &amp; "|" &amp; $E$1 &amp; "|" &amp; Tabla410[[#This Row],[Sexo]] &amp; "|" &amp; Tabla410[[#This Row],[Entidad]]</f>
        <v>PI|Homicidio|Mujer|Durango</v>
      </c>
      <c r="I12" s="21" t="str">
        <f>Tabla410[[#This Row],[P2]] &amp; "|" &amp; $E$1 &amp; "|" &amp; Tabla410[[#This Row],[Sexo]] &amp; "|" &amp; Tabla410[[#This Row],[Entidad]]</f>
        <v>PS|Homicidio|Mujer|Durango</v>
      </c>
      <c r="J12" s="9">
        <f>VLOOKUP($E$1,Tabla5[[#All],[name]:[id_1]],2,FALSE)</f>
        <v>77</v>
      </c>
      <c r="K12" s="9">
        <f>VLOOKUP($B$1,Tabla6[[#All],[name]:[id_2]],2)</f>
        <v>18</v>
      </c>
      <c r="L12" s="9">
        <f>VLOOKUP(Tabla410[[#This Row],[Sexo]],Tabla8[[#All],[name]:[gender_id]],2,FALSE)</f>
        <v>1</v>
      </c>
      <c r="M12" s="9" t="str">
        <f>IF(LEN(Tabla410[[#This Row],[centros]])&gt;0,VLOOKUP(Tabla410[[#This Row],[centros]],Tabla2[[#All],[Centros]:[ID]],2,FALSE),"NULL")</f>
        <v>NULL</v>
      </c>
      <c r="N12" s="9">
        <f>VLOOKUP(Tabla410[[#This Row],[Entidad]],Tabla3[[#All],[name]:[ID_2]],2,FALSE)</f>
        <v>10</v>
      </c>
      <c r="O12" s="9">
        <f>IFERROR(VLOOKUP(Tabla410[[#This Row],[CLAVE PI]], Tabla10[], 10, FALSE), 0)</f>
        <v>46</v>
      </c>
      <c r="P12" s="36">
        <f>IFERROR(VLOOKUP(Tabla410[[#This Row],[CLAVE PS]], Tabla10[], 10, FALSE), 0)</f>
        <v>0</v>
      </c>
      <c r="Q12" s="42" t="str">
        <f t="shared" si="0"/>
        <v>INSERT INTO indicator_category_details (category_id, year_id, gender_id, center_id, state_id, PI, PS, status) VALUES (77, 18, 1, NULL, 10, 46, 0, 1);</v>
      </c>
    </row>
    <row r="13" spans="1:17" ht="15" customHeight="1" x14ac:dyDescent="0.25">
      <c r="A13" s="69"/>
      <c r="B13" s="79" t="s">
        <v>1046</v>
      </c>
      <c r="C13" s="53" t="s">
        <v>1050</v>
      </c>
      <c r="D13" s="32"/>
      <c r="E13" s="32" t="s">
        <v>1042</v>
      </c>
      <c r="F13" s="80" t="s">
        <v>606</v>
      </c>
      <c r="G13" s="71"/>
      <c r="H13" s="35" t="str">
        <f>Tabla410[[#This Row],[P1]] &amp; "|" &amp; $E$1 &amp; "|" &amp; Tabla410[[#This Row],[Sexo]] &amp; "|" &amp; Tabla410[[#This Row],[Entidad]]</f>
        <v>PI|Homicidio|Mujer|Guanajuato</v>
      </c>
      <c r="I13" s="21" t="str">
        <f>Tabla410[[#This Row],[P2]] &amp; "|" &amp; $E$1 &amp; "|" &amp; Tabla410[[#This Row],[Sexo]] &amp; "|" &amp; Tabla410[[#This Row],[Entidad]]</f>
        <v>PS|Homicidio|Mujer|Guanajuato</v>
      </c>
      <c r="J13" s="9">
        <f>VLOOKUP($E$1,Tabla5[[#All],[name]:[id_1]],2,FALSE)</f>
        <v>77</v>
      </c>
      <c r="K13" s="9">
        <f>VLOOKUP($B$1,Tabla6[[#All],[name]:[id_2]],2)</f>
        <v>18</v>
      </c>
      <c r="L13" s="9">
        <f>VLOOKUP(Tabla410[[#This Row],[Sexo]],Tabla8[[#All],[name]:[gender_id]],2,FALSE)</f>
        <v>1</v>
      </c>
      <c r="M13" s="9" t="str">
        <f>IF(LEN(Tabla410[[#This Row],[centros]])&gt;0,VLOOKUP(Tabla410[[#This Row],[centros]],Tabla2[[#All],[Centros]:[ID]],2,FALSE),"NULL")</f>
        <v>NULL</v>
      </c>
      <c r="N13" s="9">
        <f>VLOOKUP(Tabla410[[#This Row],[Entidad]],Tabla3[[#All],[name]:[ID_2]],2,FALSE)</f>
        <v>11</v>
      </c>
      <c r="O13" s="9">
        <f>IFERROR(VLOOKUP(Tabla410[[#This Row],[CLAVE PI]], Tabla10[], 10, FALSE), 0)</f>
        <v>76</v>
      </c>
      <c r="P13" s="36">
        <f>IFERROR(VLOOKUP(Tabla410[[#This Row],[CLAVE PS]], Tabla10[], 10, FALSE), 0)</f>
        <v>0</v>
      </c>
      <c r="Q13" s="42" t="str">
        <f t="shared" si="0"/>
        <v>INSERT INTO indicator_category_details (category_id, year_id, gender_id, center_id, state_id, PI, PS, status) VALUES (77, 18, 1, NULL, 11, 76, 0, 1);</v>
      </c>
    </row>
    <row r="14" spans="1:17" ht="15" customHeight="1" x14ac:dyDescent="0.25">
      <c r="A14" s="69"/>
      <c r="B14" s="79" t="s">
        <v>1046</v>
      </c>
      <c r="C14" s="53" t="s">
        <v>1050</v>
      </c>
      <c r="D14" s="32"/>
      <c r="E14" s="32" t="s">
        <v>1042</v>
      </c>
      <c r="F14" s="80" t="s">
        <v>619</v>
      </c>
      <c r="G14" s="71"/>
      <c r="H14" s="35" t="str">
        <f>Tabla410[[#This Row],[P1]] &amp; "|" &amp; $E$1 &amp; "|" &amp; Tabla410[[#This Row],[Sexo]] &amp; "|" &amp; Tabla410[[#This Row],[Entidad]]</f>
        <v>PI|Homicidio|Mujer|Guerrero</v>
      </c>
      <c r="I14" s="21" t="str">
        <f>Tabla410[[#This Row],[P2]] &amp; "|" &amp; $E$1 &amp; "|" &amp; Tabla410[[#This Row],[Sexo]] &amp; "|" &amp; Tabla410[[#This Row],[Entidad]]</f>
        <v>PS|Homicidio|Mujer|Guerrero</v>
      </c>
      <c r="J14" s="9">
        <f>VLOOKUP($E$1,Tabla5[[#All],[name]:[id_1]],2,FALSE)</f>
        <v>77</v>
      </c>
      <c r="K14" s="9">
        <f>VLOOKUP($B$1,Tabla6[[#All],[name]:[id_2]],2)</f>
        <v>18</v>
      </c>
      <c r="L14" s="9">
        <f>VLOOKUP(Tabla410[[#This Row],[Sexo]],Tabla8[[#All],[name]:[gender_id]],2,FALSE)</f>
        <v>1</v>
      </c>
      <c r="M14" s="9" t="str">
        <f>IF(LEN(Tabla410[[#This Row],[centros]])&gt;0,VLOOKUP(Tabla410[[#This Row],[centros]],Tabla2[[#All],[Centros]:[ID]],2,FALSE),"NULL")</f>
        <v>NULL</v>
      </c>
      <c r="N14" s="9">
        <f>VLOOKUP(Tabla410[[#This Row],[Entidad]],Tabla3[[#All],[name]:[ID_2]],2,FALSE)</f>
        <v>12</v>
      </c>
      <c r="O14" s="9">
        <f>IFERROR(VLOOKUP(Tabla410[[#This Row],[CLAVE PI]], Tabla10[], 10, FALSE), 0)</f>
        <v>56</v>
      </c>
      <c r="P14" s="36">
        <f>IFERROR(VLOOKUP(Tabla410[[#This Row],[CLAVE PS]], Tabla10[], 10, FALSE), 0)</f>
        <v>0</v>
      </c>
      <c r="Q14" s="42" t="str">
        <f t="shared" si="0"/>
        <v>INSERT INTO indicator_category_details (category_id, year_id, gender_id, center_id, state_id, PI, PS, status) VALUES (77, 18, 1, NULL, 12, 56, 0, 1);</v>
      </c>
    </row>
    <row r="15" spans="1:17" ht="15" customHeight="1" x14ac:dyDescent="0.25">
      <c r="A15" s="69"/>
      <c r="B15" s="79" t="s">
        <v>1046</v>
      </c>
      <c r="C15" s="53" t="s">
        <v>1050</v>
      </c>
      <c r="D15" s="32"/>
      <c r="E15" s="32" t="s">
        <v>1042</v>
      </c>
      <c r="F15" s="80" t="s">
        <v>633</v>
      </c>
      <c r="G15" s="71"/>
      <c r="H15" s="35" t="str">
        <f>Tabla410[[#This Row],[P1]] &amp; "|" &amp; $E$1 &amp; "|" &amp; Tabla410[[#This Row],[Sexo]] &amp; "|" &amp; Tabla410[[#This Row],[Entidad]]</f>
        <v>PI|Homicidio|Mujer|Hidalgo</v>
      </c>
      <c r="I15" s="21" t="str">
        <f>Tabla410[[#This Row],[P2]] &amp; "|" &amp; $E$1 &amp; "|" &amp; Tabla410[[#This Row],[Sexo]] &amp; "|" &amp; Tabla410[[#This Row],[Entidad]]</f>
        <v>PS|Homicidio|Mujer|Hidalgo</v>
      </c>
      <c r="J15" s="9">
        <f>VLOOKUP($E$1,Tabla5[[#All],[name]:[id_1]],2,FALSE)</f>
        <v>77</v>
      </c>
      <c r="K15" s="9">
        <f>VLOOKUP($B$1,Tabla6[[#All],[name]:[id_2]],2)</f>
        <v>18</v>
      </c>
      <c r="L15" s="9">
        <f>VLOOKUP(Tabla410[[#This Row],[Sexo]],Tabla8[[#All],[name]:[gender_id]],2,FALSE)</f>
        <v>1</v>
      </c>
      <c r="M15" s="9" t="str">
        <f>IF(LEN(Tabla410[[#This Row],[centros]])&gt;0,VLOOKUP(Tabla410[[#This Row],[centros]],Tabla2[[#All],[Centros]:[ID]],2,FALSE),"NULL")</f>
        <v>NULL</v>
      </c>
      <c r="N15" s="9">
        <f>VLOOKUP(Tabla410[[#This Row],[Entidad]],Tabla3[[#All],[name]:[ID_2]],2,FALSE)</f>
        <v>13</v>
      </c>
      <c r="O15" s="9">
        <f>IFERROR(VLOOKUP(Tabla410[[#This Row],[CLAVE PI]], Tabla10[], 10, FALSE), 0)</f>
        <v>94</v>
      </c>
      <c r="P15" s="36">
        <f>IFERROR(VLOOKUP(Tabla410[[#This Row],[CLAVE PS]], Tabla10[], 10, FALSE), 0)</f>
        <v>1</v>
      </c>
      <c r="Q15" s="42" t="str">
        <f t="shared" si="0"/>
        <v>INSERT INTO indicator_category_details (category_id, year_id, gender_id, center_id, state_id, PI, PS, status) VALUES (77, 18, 1, NULL, 13, 94, 1, 1);</v>
      </c>
    </row>
    <row r="16" spans="1:17" ht="15" customHeight="1" x14ac:dyDescent="0.25">
      <c r="A16" s="69"/>
      <c r="B16" s="79" t="s">
        <v>1046</v>
      </c>
      <c r="C16" s="53" t="s">
        <v>1050</v>
      </c>
      <c r="D16" s="32"/>
      <c r="E16" s="32" t="s">
        <v>1042</v>
      </c>
      <c r="F16" s="80" t="s">
        <v>647</v>
      </c>
      <c r="G16" s="71"/>
      <c r="H16" s="35" t="str">
        <f>Tabla410[[#This Row],[P1]] &amp; "|" &amp; $E$1 &amp; "|" &amp; Tabla410[[#This Row],[Sexo]] &amp; "|" &amp; Tabla410[[#This Row],[Entidad]]</f>
        <v>PI|Homicidio|Mujer|Jalisco</v>
      </c>
      <c r="I16" s="21" t="str">
        <f>Tabla410[[#This Row],[P2]] &amp; "|" &amp; $E$1 &amp; "|" &amp; Tabla410[[#This Row],[Sexo]] &amp; "|" &amp; Tabla410[[#This Row],[Entidad]]</f>
        <v>PS|Homicidio|Mujer|Jalisco</v>
      </c>
      <c r="J16" s="9">
        <f>VLOOKUP($E$1,Tabla5[[#All],[name]:[id_1]],2,FALSE)</f>
        <v>77</v>
      </c>
      <c r="K16" s="9">
        <f>VLOOKUP($B$1,Tabla6[[#All],[name]:[id_2]],2)</f>
        <v>18</v>
      </c>
      <c r="L16" s="9">
        <f>VLOOKUP(Tabla410[[#This Row],[Sexo]],Tabla8[[#All],[name]:[gender_id]],2,FALSE)</f>
        <v>1</v>
      </c>
      <c r="M16" s="9" t="str">
        <f>IF(LEN(Tabla410[[#This Row],[centros]])&gt;0,VLOOKUP(Tabla410[[#This Row],[centros]],Tabla2[[#All],[Centros]:[ID]],2,FALSE),"NULL")</f>
        <v>NULL</v>
      </c>
      <c r="N16" s="9">
        <f>VLOOKUP(Tabla410[[#This Row],[Entidad]],Tabla3[[#All],[name]:[ID_2]],2,FALSE)</f>
        <v>14</v>
      </c>
      <c r="O16" s="9">
        <f>IFERROR(VLOOKUP(Tabla410[[#This Row],[CLAVE PI]], Tabla10[], 10, FALSE), 0)</f>
        <v>105</v>
      </c>
      <c r="P16" s="36">
        <f>IFERROR(VLOOKUP(Tabla410[[#This Row],[CLAVE PS]], Tabla10[], 10, FALSE), 0)</f>
        <v>4</v>
      </c>
      <c r="Q16" s="42" t="str">
        <f t="shared" si="0"/>
        <v>INSERT INTO indicator_category_details (category_id, year_id, gender_id, center_id, state_id, PI, PS, status) VALUES (77, 18, 1, NULL, 14, 105, 4, 1);</v>
      </c>
    </row>
    <row r="17" spans="1:17" ht="15" customHeight="1" x14ac:dyDescent="0.25">
      <c r="A17" s="69"/>
      <c r="B17" s="79" t="s">
        <v>1046</v>
      </c>
      <c r="C17" s="53" t="s">
        <v>1050</v>
      </c>
      <c r="D17" s="32"/>
      <c r="E17" s="32" t="s">
        <v>1042</v>
      </c>
      <c r="F17" s="80" t="s">
        <v>662</v>
      </c>
      <c r="G17" s="71"/>
      <c r="H17" s="35" t="str">
        <f>Tabla410[[#This Row],[P1]] &amp; "|" &amp; $E$1 &amp; "|" &amp; Tabla410[[#This Row],[Sexo]] &amp; "|" &amp; Tabla410[[#This Row],[Entidad]]</f>
        <v>PI|Homicidio|Mujer|México</v>
      </c>
      <c r="I17" s="21" t="str">
        <f>Tabla410[[#This Row],[P2]] &amp; "|" &amp; $E$1 &amp; "|" &amp; Tabla410[[#This Row],[Sexo]] &amp; "|" &amp; Tabla410[[#This Row],[Entidad]]</f>
        <v>PS|Homicidio|Mujer|México</v>
      </c>
      <c r="J17" s="9">
        <f>VLOOKUP($E$1,Tabla5[[#All],[name]:[id_1]],2,FALSE)</f>
        <v>77</v>
      </c>
      <c r="K17" s="9">
        <f>VLOOKUP($B$1,Tabla6[[#All],[name]:[id_2]],2)</f>
        <v>18</v>
      </c>
      <c r="L17" s="9">
        <f>VLOOKUP(Tabla410[[#This Row],[Sexo]],Tabla8[[#All],[name]:[gender_id]],2,FALSE)</f>
        <v>1</v>
      </c>
      <c r="M17" s="9" t="str">
        <f>IF(LEN(Tabla410[[#This Row],[centros]])&gt;0,VLOOKUP(Tabla410[[#This Row],[centros]],Tabla2[[#All],[Centros]:[ID]],2,FALSE),"NULL")</f>
        <v>NULL</v>
      </c>
      <c r="N17" s="9">
        <f>VLOOKUP(Tabla410[[#This Row],[Entidad]],Tabla3[[#All],[name]:[ID_2]],2,FALSE)</f>
        <v>15</v>
      </c>
      <c r="O17" s="9">
        <f>IFERROR(VLOOKUP(Tabla410[[#This Row],[CLAVE PI]], Tabla10[], 10, FALSE), 0)</f>
        <v>1235</v>
      </c>
      <c r="P17" s="36">
        <f>IFERROR(VLOOKUP(Tabla410[[#This Row],[CLAVE PS]], Tabla10[], 10, FALSE), 0)</f>
        <v>7</v>
      </c>
      <c r="Q17" s="42" t="str">
        <f t="shared" si="0"/>
        <v>INSERT INTO indicator_category_details (category_id, year_id, gender_id, center_id, state_id, PI, PS, status) VALUES (77, 18, 1, NULL, 15, 1235, 7, 1);</v>
      </c>
    </row>
    <row r="18" spans="1:17" ht="15" customHeight="1" x14ac:dyDescent="0.25">
      <c r="A18" s="69"/>
      <c r="B18" s="79" t="s">
        <v>1046</v>
      </c>
      <c r="C18" s="53" t="s">
        <v>1050</v>
      </c>
      <c r="D18" s="32"/>
      <c r="E18" s="32" t="s">
        <v>1042</v>
      </c>
      <c r="F18" s="80" t="s">
        <v>685</v>
      </c>
      <c r="G18" s="71"/>
      <c r="H18" s="35" t="str">
        <f>Tabla410[[#This Row],[P1]] &amp; "|" &amp; $E$1 &amp; "|" &amp; Tabla410[[#This Row],[Sexo]] &amp; "|" &amp; Tabla410[[#This Row],[Entidad]]</f>
        <v>PI|Homicidio|Mujer|Michoacán de Ocampo</v>
      </c>
      <c r="I18" s="21" t="str">
        <f>Tabla410[[#This Row],[P2]] &amp; "|" &amp; $E$1 &amp; "|" &amp; Tabla410[[#This Row],[Sexo]] &amp; "|" &amp; Tabla410[[#This Row],[Entidad]]</f>
        <v>PS|Homicidio|Mujer|Michoacán de Ocampo</v>
      </c>
      <c r="J18" s="9">
        <f>VLOOKUP($E$1,Tabla5[[#All],[name]:[id_1]],2,FALSE)</f>
        <v>77</v>
      </c>
      <c r="K18" s="9">
        <f>VLOOKUP($B$1,Tabla6[[#All],[name]:[id_2]],2)</f>
        <v>18</v>
      </c>
      <c r="L18" s="9">
        <f>VLOOKUP(Tabla410[[#This Row],[Sexo]],Tabla8[[#All],[name]:[gender_id]],2,FALSE)</f>
        <v>1</v>
      </c>
      <c r="M18" s="9" t="str">
        <f>IF(LEN(Tabla410[[#This Row],[centros]])&gt;0,VLOOKUP(Tabla410[[#This Row],[centros]],Tabla2[[#All],[Centros]:[ID]],2,FALSE),"NULL")</f>
        <v>NULL</v>
      </c>
      <c r="N18" s="9">
        <f>VLOOKUP(Tabla410[[#This Row],[Entidad]],Tabla3[[#All],[name]:[ID_2]],2,FALSE)</f>
        <v>16</v>
      </c>
      <c r="O18" s="9">
        <f>IFERROR(VLOOKUP(Tabla410[[#This Row],[CLAVE PI]], Tabla10[], 10, FALSE), 0)</f>
        <v>20</v>
      </c>
      <c r="P18" s="36">
        <f>IFERROR(VLOOKUP(Tabla410[[#This Row],[CLAVE PS]], Tabla10[], 10, FALSE), 0)</f>
        <v>0</v>
      </c>
      <c r="Q18" s="42" t="str">
        <f t="shared" si="0"/>
        <v>INSERT INTO indicator_category_details (category_id, year_id, gender_id, center_id, state_id, PI, PS, status) VALUES (77, 18, 1, NULL, 16, 20, 0, 1);</v>
      </c>
    </row>
    <row r="19" spans="1:17" ht="15" customHeight="1" x14ac:dyDescent="0.25">
      <c r="A19" s="69"/>
      <c r="B19" s="79" t="s">
        <v>1046</v>
      </c>
      <c r="C19" s="53" t="s">
        <v>1050</v>
      </c>
      <c r="D19" s="32"/>
      <c r="E19" s="32" t="s">
        <v>1042</v>
      </c>
      <c r="F19" s="80" t="s">
        <v>698</v>
      </c>
      <c r="G19" s="71"/>
      <c r="H19" s="35" t="str">
        <f>Tabla410[[#This Row],[P1]] &amp; "|" &amp; $E$1 &amp; "|" &amp; Tabla410[[#This Row],[Sexo]] &amp; "|" &amp; Tabla410[[#This Row],[Entidad]]</f>
        <v>PI|Homicidio|Mujer|Morelos</v>
      </c>
      <c r="I19" s="21" t="str">
        <f>Tabla410[[#This Row],[P2]] &amp; "|" &amp; $E$1 &amp; "|" &amp; Tabla410[[#This Row],[Sexo]] &amp; "|" &amp; Tabla410[[#This Row],[Entidad]]</f>
        <v>PS|Homicidio|Mujer|Morelos</v>
      </c>
      <c r="J19" s="9">
        <f>VLOOKUP($E$1,Tabla5[[#All],[name]:[id_1]],2,FALSE)</f>
        <v>77</v>
      </c>
      <c r="K19" s="9">
        <f>VLOOKUP($B$1,Tabla6[[#All],[name]:[id_2]],2)</f>
        <v>18</v>
      </c>
      <c r="L19" s="9">
        <f>VLOOKUP(Tabla410[[#This Row],[Sexo]],Tabla8[[#All],[name]:[gender_id]],2,FALSE)</f>
        <v>1</v>
      </c>
      <c r="M19" s="9" t="str">
        <f>IF(LEN(Tabla410[[#This Row],[centros]])&gt;0,VLOOKUP(Tabla410[[#This Row],[centros]],Tabla2[[#All],[Centros]:[ID]],2,FALSE),"NULL")</f>
        <v>NULL</v>
      </c>
      <c r="N19" s="9">
        <f>VLOOKUP(Tabla410[[#This Row],[Entidad]],Tabla3[[#All],[name]:[ID_2]],2,FALSE)</f>
        <v>17</v>
      </c>
      <c r="O19" s="9">
        <f>IFERROR(VLOOKUP(Tabla410[[#This Row],[CLAVE PI]], Tabla10[], 10, FALSE), 0)</f>
        <v>32</v>
      </c>
      <c r="P19" s="36">
        <f>IFERROR(VLOOKUP(Tabla410[[#This Row],[CLAVE PS]], Tabla10[], 10, FALSE), 0)</f>
        <v>0</v>
      </c>
      <c r="Q19" s="42" t="str">
        <f t="shared" si="0"/>
        <v>INSERT INTO indicator_category_details (category_id, year_id, gender_id, center_id, state_id, PI, PS, status) VALUES (77, 18, 1, NULL, 17, 32, 0, 1);</v>
      </c>
    </row>
    <row r="20" spans="1:17" ht="15" customHeight="1" x14ac:dyDescent="0.25">
      <c r="A20" s="69"/>
      <c r="B20" s="79" t="s">
        <v>1046</v>
      </c>
      <c r="C20" s="53" t="s">
        <v>1050</v>
      </c>
      <c r="D20" s="32"/>
      <c r="E20" s="32" t="s">
        <v>1042</v>
      </c>
      <c r="F20" s="80" t="s">
        <v>705</v>
      </c>
      <c r="G20" s="71"/>
      <c r="H20" s="35" t="str">
        <f>Tabla410[[#This Row],[P1]] &amp; "|" &amp; $E$1 &amp; "|" &amp; Tabla410[[#This Row],[Sexo]] &amp; "|" &amp; Tabla410[[#This Row],[Entidad]]</f>
        <v>PI|Homicidio|Mujer|Nayarit</v>
      </c>
      <c r="I20" s="21" t="str">
        <f>Tabla410[[#This Row],[P2]] &amp; "|" &amp; $E$1 &amp; "|" &amp; Tabla410[[#This Row],[Sexo]] &amp; "|" &amp; Tabla410[[#This Row],[Entidad]]</f>
        <v>PS|Homicidio|Mujer|Nayarit</v>
      </c>
      <c r="J20" s="9">
        <f>VLOOKUP($E$1,Tabla5[[#All],[name]:[id_1]],2,FALSE)</f>
        <v>77</v>
      </c>
      <c r="K20" s="9">
        <f>VLOOKUP($B$1,Tabla6[[#All],[name]:[id_2]],2)</f>
        <v>18</v>
      </c>
      <c r="L20" s="9">
        <f>VLOOKUP(Tabla410[[#This Row],[Sexo]],Tabla8[[#All],[name]:[gender_id]],2,FALSE)</f>
        <v>1</v>
      </c>
      <c r="M20" s="9" t="str">
        <f>IF(LEN(Tabla410[[#This Row],[centros]])&gt;0,VLOOKUP(Tabla410[[#This Row],[centros]],Tabla2[[#All],[Centros]:[ID]],2,FALSE),"NULL")</f>
        <v>NULL</v>
      </c>
      <c r="N20" s="9">
        <f>VLOOKUP(Tabla410[[#This Row],[Entidad]],Tabla3[[#All],[name]:[ID_2]],2,FALSE)</f>
        <v>18</v>
      </c>
      <c r="O20" s="9">
        <f>IFERROR(VLOOKUP(Tabla410[[#This Row],[CLAVE PI]], Tabla10[], 10, FALSE), 0)</f>
        <v>10</v>
      </c>
      <c r="P20" s="36">
        <f>IFERROR(VLOOKUP(Tabla410[[#This Row],[CLAVE PS]], Tabla10[], 10, FALSE), 0)</f>
        <v>0</v>
      </c>
      <c r="Q20" s="42" t="str">
        <f t="shared" si="0"/>
        <v>INSERT INTO indicator_category_details (category_id, year_id, gender_id, center_id, state_id, PI, PS, status) VALUES (77, 18, 1, NULL, 18, 10, 0, 1);</v>
      </c>
    </row>
    <row r="21" spans="1:17" ht="15" customHeight="1" x14ac:dyDescent="0.25">
      <c r="A21" s="69"/>
      <c r="B21" s="79" t="s">
        <v>1046</v>
      </c>
      <c r="C21" s="53" t="s">
        <v>1050</v>
      </c>
      <c r="D21" s="32"/>
      <c r="E21" s="32" t="s">
        <v>1042</v>
      </c>
      <c r="F21" s="81" t="s">
        <v>710</v>
      </c>
      <c r="G21" s="72"/>
      <c r="H21" s="37" t="str">
        <f>Tabla410[[#This Row],[P1]] &amp; "|" &amp; $E$1 &amp; "|" &amp; Tabla410[[#This Row],[Sexo]] &amp; "|" &amp; Tabla410[[#This Row],[Entidad]]</f>
        <v>PI|Homicidio|Mujer|Nuevo León</v>
      </c>
      <c r="I21" s="22" t="str">
        <f>Tabla410[[#This Row],[P2]] &amp; "|" &amp; $E$1 &amp; "|" &amp; Tabla410[[#This Row],[Sexo]] &amp; "|" &amp; Tabla410[[#This Row],[Entidad]]</f>
        <v>PS|Homicidio|Mujer|Nuevo León</v>
      </c>
      <c r="J21" s="13">
        <f>VLOOKUP($E$1,Tabla5[[#All],[name]:[id_1]],2,FALSE)</f>
        <v>77</v>
      </c>
      <c r="K21" s="13">
        <f>VLOOKUP($B$1,Tabla6[[#All],[name]:[id_2]],2)</f>
        <v>18</v>
      </c>
      <c r="L21" s="13">
        <f>VLOOKUP(Tabla410[[#This Row],[Sexo]],Tabla8[[#All],[name]:[gender_id]],2,FALSE)</f>
        <v>1</v>
      </c>
      <c r="M21" s="13" t="str">
        <f>IF(LEN(Tabla410[[#This Row],[centros]])&gt;0,VLOOKUP(Tabla410[[#This Row],[centros]],Tabla2[[#All],[Centros]:[ID]],2,FALSE),"NULL")</f>
        <v>NULL</v>
      </c>
      <c r="N21" s="13">
        <f>VLOOKUP(Tabla410[[#This Row],[Entidad]],Tabla3[[#All],[name]:[ID_2]],2,FALSE)</f>
        <v>19</v>
      </c>
      <c r="O21" s="9">
        <f>IFERROR(VLOOKUP(Tabla410[[#This Row],[CLAVE PI]], Tabla10[], 10, FALSE), 0)</f>
        <v>97</v>
      </c>
      <c r="P21" s="36">
        <f>IFERROR(VLOOKUP(Tabla410[[#This Row],[CLAVE PS]], Tabla10[], 10, FALSE), 0)</f>
        <v>1</v>
      </c>
      <c r="Q21" s="43" t="str">
        <f t="shared" si="0"/>
        <v>INSERT INTO indicator_category_details (category_id, year_id, gender_id, center_id, state_id, PI, PS, status) VALUES (77, 18, 1, NULL, 19, 97, 1, 1);</v>
      </c>
    </row>
    <row r="22" spans="1:17" ht="15" customHeight="1" x14ac:dyDescent="0.25">
      <c r="A22" s="69"/>
      <c r="B22" s="79" t="s">
        <v>1046</v>
      </c>
      <c r="C22" s="53" t="s">
        <v>1050</v>
      </c>
      <c r="D22" s="32"/>
      <c r="E22" s="32" t="s">
        <v>1042</v>
      </c>
      <c r="F22" s="80" t="s">
        <v>716</v>
      </c>
      <c r="G22" s="71"/>
      <c r="H22" s="35" t="str">
        <f>Tabla410[[#This Row],[P1]] &amp; "|" &amp; $E$1 &amp; "|" &amp; Tabla410[[#This Row],[Sexo]] &amp; "|" &amp; Tabla410[[#This Row],[Entidad]]</f>
        <v>PI|Homicidio|Mujer|Oaxaca</v>
      </c>
      <c r="I22" s="21" t="str">
        <f>Tabla410[[#This Row],[P2]] &amp; "|" &amp; $E$1 &amp; "|" &amp; Tabla410[[#This Row],[Sexo]] &amp; "|" &amp; Tabla410[[#This Row],[Entidad]]</f>
        <v>PS|Homicidio|Mujer|Oaxaca</v>
      </c>
      <c r="J22" s="9">
        <f>VLOOKUP($E$1,Tabla5[[#All],[name]:[id_1]],2,FALSE)</f>
        <v>77</v>
      </c>
      <c r="K22" s="9">
        <f>VLOOKUP($B$1,Tabla6[[#All],[name]:[id_2]],2)</f>
        <v>18</v>
      </c>
      <c r="L22" s="9">
        <f>VLOOKUP(Tabla410[[#This Row],[Sexo]],Tabla8[[#All],[name]:[gender_id]],2,FALSE)</f>
        <v>1</v>
      </c>
      <c r="M22" s="9" t="str">
        <f>IF(LEN(Tabla410[[#This Row],[centros]])&gt;0,VLOOKUP(Tabla410[[#This Row],[centros]],Tabla2[[#All],[Centros]:[ID]],2,FALSE),"NULL")</f>
        <v>NULL</v>
      </c>
      <c r="N22" s="9">
        <f>VLOOKUP(Tabla410[[#This Row],[Entidad]],Tabla3[[#All],[name]:[ID_2]],2,FALSE)</f>
        <v>20</v>
      </c>
      <c r="O22" s="9">
        <f>IFERROR(VLOOKUP(Tabla410[[#This Row],[CLAVE PI]], Tabla10[], 10, FALSE), 0)</f>
        <v>27</v>
      </c>
      <c r="P22" s="36">
        <f>IFERROR(VLOOKUP(Tabla410[[#This Row],[CLAVE PS]], Tabla10[], 10, FALSE), 0)</f>
        <v>0</v>
      </c>
      <c r="Q22" s="42" t="str">
        <f t="shared" si="0"/>
        <v>INSERT INTO indicator_category_details (category_id, year_id, gender_id, center_id, state_id, PI, PS, status) VALUES (77, 18, 1, NULL, 20, 27, 0, 1);</v>
      </c>
    </row>
    <row r="23" spans="1:17" ht="15" customHeight="1" x14ac:dyDescent="0.25">
      <c r="A23" s="69"/>
      <c r="B23" s="79" t="s">
        <v>1046</v>
      </c>
      <c r="C23" s="53" t="s">
        <v>1050</v>
      </c>
      <c r="D23" s="32"/>
      <c r="E23" s="32" t="s">
        <v>1042</v>
      </c>
      <c r="F23" s="80" t="s">
        <v>727</v>
      </c>
      <c r="G23" s="71"/>
      <c r="H23" s="35" t="str">
        <f>Tabla410[[#This Row],[P1]] &amp; "|" &amp; $E$1 &amp; "|" &amp; Tabla410[[#This Row],[Sexo]] &amp; "|" &amp; Tabla410[[#This Row],[Entidad]]</f>
        <v>PI|Homicidio|Mujer|Puebla</v>
      </c>
      <c r="I23" s="21" t="str">
        <f>Tabla410[[#This Row],[P2]] &amp; "|" &amp; $E$1 &amp; "|" &amp; Tabla410[[#This Row],[Sexo]] &amp; "|" &amp; Tabla410[[#This Row],[Entidad]]</f>
        <v>PS|Homicidio|Mujer|Puebla</v>
      </c>
      <c r="J23" s="9">
        <f>VLOOKUP($E$1,Tabla5[[#All],[name]:[id_1]],2,FALSE)</f>
        <v>77</v>
      </c>
      <c r="K23" s="9">
        <f>VLOOKUP($B$1,Tabla6[[#All],[name]:[id_2]],2)</f>
        <v>18</v>
      </c>
      <c r="L23" s="9">
        <f>VLOOKUP(Tabla410[[#This Row],[Sexo]],Tabla8[[#All],[name]:[gender_id]],2,FALSE)</f>
        <v>1</v>
      </c>
      <c r="M23" s="9" t="str">
        <f>IF(LEN(Tabla410[[#This Row],[centros]])&gt;0,VLOOKUP(Tabla410[[#This Row],[centros]],Tabla2[[#All],[Centros]:[ID]],2,FALSE),"NULL")</f>
        <v>NULL</v>
      </c>
      <c r="N23" s="9">
        <f>VLOOKUP(Tabla410[[#This Row],[Entidad]],Tabla3[[#All],[name]:[ID_2]],2,FALSE)</f>
        <v>21</v>
      </c>
      <c r="O23" s="9">
        <f>IFERROR(VLOOKUP(Tabla410[[#This Row],[CLAVE PI]], Tabla10[], 10, FALSE), 0)</f>
        <v>72</v>
      </c>
      <c r="P23" s="36">
        <f>IFERROR(VLOOKUP(Tabla410[[#This Row],[CLAVE PS]], Tabla10[], 10, FALSE), 0)</f>
        <v>0</v>
      </c>
      <c r="Q23" s="42" t="str">
        <f t="shared" si="0"/>
        <v>INSERT INTO indicator_category_details (category_id, year_id, gender_id, center_id, state_id, PI, PS, status) VALUES (77, 18, 1, NULL, 21, 72, 0, 1);</v>
      </c>
    </row>
    <row r="24" spans="1:17" ht="15" customHeight="1" x14ac:dyDescent="0.25">
      <c r="A24" s="69"/>
      <c r="B24" s="79" t="s">
        <v>1046</v>
      </c>
      <c r="C24" s="53" t="s">
        <v>1050</v>
      </c>
      <c r="D24" s="32"/>
      <c r="E24" s="32" t="s">
        <v>1042</v>
      </c>
      <c r="F24" s="80" t="s">
        <v>731</v>
      </c>
      <c r="G24" s="71"/>
      <c r="H24" s="35" t="str">
        <f>Tabla410[[#This Row],[P1]] &amp; "|" &amp; $E$1 &amp; "|" &amp; Tabla410[[#This Row],[Sexo]] &amp; "|" &amp; Tabla410[[#This Row],[Entidad]]</f>
        <v>PI|Homicidio|Mujer|Querétaro</v>
      </c>
      <c r="I24" s="21" t="str">
        <f>Tabla410[[#This Row],[P2]] &amp; "|" &amp; $E$1 &amp; "|" &amp; Tabla410[[#This Row],[Sexo]] &amp; "|" &amp; Tabla410[[#This Row],[Entidad]]</f>
        <v>PS|Homicidio|Mujer|Querétaro</v>
      </c>
      <c r="J24" s="9">
        <f>VLOOKUP($E$1,Tabla5[[#All],[name]:[id_1]],2,FALSE)</f>
        <v>77</v>
      </c>
      <c r="K24" s="9">
        <f>VLOOKUP($B$1,Tabla6[[#All],[name]:[id_2]],2)</f>
        <v>18</v>
      </c>
      <c r="L24" s="9">
        <f>VLOOKUP(Tabla410[[#This Row],[Sexo]],Tabla8[[#All],[name]:[gender_id]],2,FALSE)</f>
        <v>1</v>
      </c>
      <c r="M24" s="9" t="str">
        <f>IF(LEN(Tabla410[[#This Row],[centros]])&gt;0,VLOOKUP(Tabla410[[#This Row],[centros]],Tabla2[[#All],[Centros]:[ID]],2,FALSE),"NULL")</f>
        <v>NULL</v>
      </c>
      <c r="N24" s="9">
        <f>VLOOKUP(Tabla410[[#This Row],[Entidad]],Tabla3[[#All],[name]:[ID_2]],2,FALSE)</f>
        <v>22</v>
      </c>
      <c r="O24" s="9">
        <f>IFERROR(VLOOKUP(Tabla410[[#This Row],[CLAVE PI]], Tabla10[], 10, FALSE), 0)</f>
        <v>41</v>
      </c>
      <c r="P24" s="36">
        <f>IFERROR(VLOOKUP(Tabla410[[#This Row],[CLAVE PS]], Tabla10[], 10, FALSE), 0)</f>
        <v>2</v>
      </c>
      <c r="Q24" s="42" t="str">
        <f t="shared" si="0"/>
        <v>INSERT INTO indicator_category_details (category_id, year_id, gender_id, center_id, state_id, PI, PS, status) VALUES (77, 18, 1, NULL, 22, 41, 2, 1);</v>
      </c>
    </row>
    <row r="25" spans="1:17" ht="15" customHeight="1" x14ac:dyDescent="0.25">
      <c r="A25" s="69"/>
      <c r="B25" s="79" t="s">
        <v>1046</v>
      </c>
      <c r="C25" s="53" t="s">
        <v>1050</v>
      </c>
      <c r="D25" s="32"/>
      <c r="E25" s="32" t="s">
        <v>1042</v>
      </c>
      <c r="F25" s="80" t="s">
        <v>737</v>
      </c>
      <c r="G25" s="71"/>
      <c r="H25" s="35" t="str">
        <f>Tabla410[[#This Row],[P1]] &amp; "|" &amp; $E$1 &amp; "|" &amp; Tabla410[[#This Row],[Sexo]] &amp; "|" &amp; Tabla410[[#This Row],[Entidad]]</f>
        <v>PI|Homicidio|Mujer|Quintana Roo</v>
      </c>
      <c r="I25" s="21" t="str">
        <f>Tabla410[[#This Row],[P2]] &amp; "|" &amp; $E$1 &amp; "|" &amp; Tabla410[[#This Row],[Sexo]] &amp; "|" &amp; Tabla410[[#This Row],[Entidad]]</f>
        <v>PS|Homicidio|Mujer|Quintana Roo</v>
      </c>
      <c r="J25" s="9">
        <f>VLOOKUP($E$1,Tabla5[[#All],[name]:[id_1]],2,FALSE)</f>
        <v>77</v>
      </c>
      <c r="K25" s="9">
        <f>VLOOKUP($B$1,Tabla6[[#All],[name]:[id_2]],2)</f>
        <v>18</v>
      </c>
      <c r="L25" s="9">
        <f>VLOOKUP(Tabla410[[#This Row],[Sexo]],Tabla8[[#All],[name]:[gender_id]],2,FALSE)</f>
        <v>1</v>
      </c>
      <c r="M25" s="9" t="str">
        <f>IF(LEN(Tabla410[[#This Row],[centros]])&gt;0,VLOOKUP(Tabla410[[#This Row],[centros]],Tabla2[[#All],[Centros]:[ID]],2,FALSE),"NULL")</f>
        <v>NULL</v>
      </c>
      <c r="N25" s="9">
        <f>VLOOKUP(Tabla410[[#This Row],[Entidad]],Tabla3[[#All],[name]:[ID_2]],2,FALSE)</f>
        <v>23</v>
      </c>
      <c r="O25" s="9">
        <f>IFERROR(VLOOKUP(Tabla410[[#This Row],[CLAVE PI]], Tabla10[], 10, FALSE), 0)</f>
        <v>35</v>
      </c>
      <c r="P25" s="36">
        <f>IFERROR(VLOOKUP(Tabla410[[#This Row],[CLAVE PS]], Tabla10[], 10, FALSE), 0)</f>
        <v>1</v>
      </c>
      <c r="Q25" s="42" t="str">
        <f t="shared" si="0"/>
        <v>INSERT INTO indicator_category_details (category_id, year_id, gender_id, center_id, state_id, PI, PS, status) VALUES (77, 18, 1, NULL, 23, 35, 1, 1);</v>
      </c>
    </row>
    <row r="26" spans="1:17" ht="15" customHeight="1" x14ac:dyDescent="0.25">
      <c r="A26" s="69"/>
      <c r="B26" s="79" t="s">
        <v>1046</v>
      </c>
      <c r="C26" s="53" t="s">
        <v>1050</v>
      </c>
      <c r="D26" s="32"/>
      <c r="E26" s="32" t="s">
        <v>1042</v>
      </c>
      <c r="F26" s="80" t="s">
        <v>741</v>
      </c>
      <c r="G26" s="71"/>
      <c r="H26" s="35" t="str">
        <f>Tabla410[[#This Row],[P1]] &amp; "|" &amp; $E$1 &amp; "|" &amp; Tabla410[[#This Row],[Sexo]] &amp; "|" &amp; Tabla410[[#This Row],[Entidad]]</f>
        <v>PI|Homicidio|Mujer|San Luis Potosí</v>
      </c>
      <c r="I26" s="21" t="str">
        <f>Tabla410[[#This Row],[P2]] &amp; "|" &amp; $E$1 &amp; "|" &amp; Tabla410[[#This Row],[Sexo]] &amp; "|" &amp; Tabla410[[#This Row],[Entidad]]</f>
        <v>PS|Homicidio|Mujer|San Luis Potosí</v>
      </c>
      <c r="J26" s="9">
        <f>VLOOKUP($E$1,Tabla5[[#All],[name]:[id_1]],2,FALSE)</f>
        <v>77</v>
      </c>
      <c r="K26" s="9">
        <f>VLOOKUP($B$1,Tabla6[[#All],[name]:[id_2]],2)</f>
        <v>18</v>
      </c>
      <c r="L26" s="9">
        <f>VLOOKUP(Tabla410[[#This Row],[Sexo]],Tabla8[[#All],[name]:[gender_id]],2,FALSE)</f>
        <v>1</v>
      </c>
      <c r="M26" s="9" t="str">
        <f>IF(LEN(Tabla410[[#This Row],[centros]])&gt;0,VLOOKUP(Tabla410[[#This Row],[centros]],Tabla2[[#All],[Centros]:[ID]],2,FALSE),"NULL")</f>
        <v>NULL</v>
      </c>
      <c r="N26" s="9">
        <f>VLOOKUP(Tabla410[[#This Row],[Entidad]],Tabla3[[#All],[name]:[ID_2]],2,FALSE)</f>
        <v>24</v>
      </c>
      <c r="O26" s="9">
        <f>IFERROR(VLOOKUP(Tabla410[[#This Row],[CLAVE PI]], Tabla10[], 10, FALSE), 0)</f>
        <v>38</v>
      </c>
      <c r="P26" s="36">
        <f>IFERROR(VLOOKUP(Tabla410[[#This Row],[CLAVE PS]], Tabla10[], 10, FALSE), 0)</f>
        <v>0</v>
      </c>
      <c r="Q26" s="42" t="str">
        <f t="shared" si="0"/>
        <v>INSERT INTO indicator_category_details (category_id, year_id, gender_id, center_id, state_id, PI, PS, status) VALUES (77, 18, 1, NULL, 24, 38, 0, 1);</v>
      </c>
    </row>
    <row r="27" spans="1:17" ht="15" customHeight="1" x14ac:dyDescent="0.25">
      <c r="A27" s="69"/>
      <c r="B27" s="79" t="s">
        <v>1046</v>
      </c>
      <c r="C27" s="53" t="s">
        <v>1050</v>
      </c>
      <c r="D27" s="32"/>
      <c r="E27" s="32" t="s">
        <v>1042</v>
      </c>
      <c r="F27" s="80" t="s">
        <v>749</v>
      </c>
      <c r="G27" s="71"/>
      <c r="H27" s="35" t="str">
        <f>Tabla410[[#This Row],[P1]] &amp; "|" &amp; $E$1 &amp; "|" &amp; Tabla410[[#This Row],[Sexo]] &amp; "|" &amp; Tabla410[[#This Row],[Entidad]]</f>
        <v>PI|Homicidio|Mujer|Sinaloa</v>
      </c>
      <c r="I27" s="21" t="str">
        <f>Tabla410[[#This Row],[P2]] &amp; "|" &amp; $E$1 &amp; "|" &amp; Tabla410[[#This Row],[Sexo]] &amp; "|" &amp; Tabla410[[#This Row],[Entidad]]</f>
        <v>PS|Homicidio|Mujer|Sinaloa</v>
      </c>
      <c r="J27" s="9">
        <f>VLOOKUP($E$1,Tabla5[[#All],[name]:[id_1]],2,FALSE)</f>
        <v>77</v>
      </c>
      <c r="K27" s="9">
        <f>VLOOKUP($B$1,Tabla6[[#All],[name]:[id_2]],2)</f>
        <v>18</v>
      </c>
      <c r="L27" s="9">
        <f>VLOOKUP(Tabla410[[#This Row],[Sexo]],Tabla8[[#All],[name]:[gender_id]],2,FALSE)</f>
        <v>1</v>
      </c>
      <c r="M27" s="9" t="str">
        <f>IF(LEN(Tabla410[[#This Row],[centros]])&gt;0,VLOOKUP(Tabla410[[#This Row],[centros]],Tabla2[[#All],[Centros]:[ID]],2,FALSE),"NULL")</f>
        <v>NULL</v>
      </c>
      <c r="N27" s="9">
        <f>VLOOKUP(Tabla410[[#This Row],[Entidad]],Tabla3[[#All],[name]:[ID_2]],2,FALSE)</f>
        <v>25</v>
      </c>
      <c r="O27" s="9">
        <f>IFERROR(VLOOKUP(Tabla410[[#This Row],[CLAVE PI]], Tabla10[], 10, FALSE), 0)</f>
        <v>23</v>
      </c>
      <c r="P27" s="36">
        <f>IFERROR(VLOOKUP(Tabla410[[#This Row],[CLAVE PS]], Tabla10[], 10, FALSE), 0)</f>
        <v>0</v>
      </c>
      <c r="Q27" s="42" t="str">
        <f t="shared" si="0"/>
        <v>INSERT INTO indicator_category_details (category_id, year_id, gender_id, center_id, state_id, PI, PS, status) VALUES (77, 18, 1, NULL, 25, 23, 0, 1);</v>
      </c>
    </row>
    <row r="28" spans="1:17" ht="15" customHeight="1" x14ac:dyDescent="0.25">
      <c r="A28" s="69"/>
      <c r="B28" s="79" t="s">
        <v>1046</v>
      </c>
      <c r="C28" s="53" t="s">
        <v>1050</v>
      </c>
      <c r="D28" s="32"/>
      <c r="E28" s="32" t="s">
        <v>1042</v>
      </c>
      <c r="F28" s="80" t="s">
        <v>755</v>
      </c>
      <c r="G28" s="71"/>
      <c r="H28" s="35" t="str">
        <f>Tabla410[[#This Row],[P1]] &amp; "|" &amp; $E$1 &amp; "|" &amp; Tabla410[[#This Row],[Sexo]] &amp; "|" &amp; Tabla410[[#This Row],[Entidad]]</f>
        <v>PI|Homicidio|Mujer|Sonora</v>
      </c>
      <c r="I28" s="21" t="str">
        <f>Tabla410[[#This Row],[P2]] &amp; "|" &amp; $E$1 &amp; "|" &amp; Tabla410[[#This Row],[Sexo]] &amp; "|" &amp; Tabla410[[#This Row],[Entidad]]</f>
        <v>PS|Homicidio|Mujer|Sonora</v>
      </c>
      <c r="J28" s="9">
        <f>VLOOKUP($E$1,Tabla5[[#All],[name]:[id_1]],2,FALSE)</f>
        <v>77</v>
      </c>
      <c r="K28" s="9">
        <f>VLOOKUP($B$1,Tabla6[[#All],[name]:[id_2]],2)</f>
        <v>18</v>
      </c>
      <c r="L28" s="9">
        <f>VLOOKUP(Tabla410[[#This Row],[Sexo]],Tabla8[[#All],[name]:[gender_id]],2,FALSE)</f>
        <v>1</v>
      </c>
      <c r="M28" s="9" t="str">
        <f>IF(LEN(Tabla410[[#This Row],[centros]])&gt;0,VLOOKUP(Tabla410[[#This Row],[centros]],Tabla2[[#All],[Centros]:[ID]],2,FALSE),"NULL")</f>
        <v>NULL</v>
      </c>
      <c r="N28" s="9">
        <f>VLOOKUP(Tabla410[[#This Row],[Entidad]],Tabla3[[#All],[name]:[ID_2]],2,FALSE)</f>
        <v>26</v>
      </c>
      <c r="O28" s="9">
        <f>IFERROR(VLOOKUP(Tabla410[[#This Row],[CLAVE PI]], Tabla10[], 10, FALSE), 0)</f>
        <v>97</v>
      </c>
      <c r="P28" s="36">
        <f>IFERROR(VLOOKUP(Tabla410[[#This Row],[CLAVE PS]], Tabla10[], 10, FALSE), 0)</f>
        <v>3</v>
      </c>
      <c r="Q28" s="42" t="str">
        <f t="shared" si="0"/>
        <v>INSERT INTO indicator_category_details (category_id, year_id, gender_id, center_id, state_id, PI, PS, status) VALUES (77, 18, 1, NULL, 26, 97, 3, 1);</v>
      </c>
    </row>
    <row r="29" spans="1:17" ht="15" customHeight="1" x14ac:dyDescent="0.25">
      <c r="A29" s="69"/>
      <c r="B29" s="79" t="s">
        <v>1046</v>
      </c>
      <c r="C29" s="53" t="s">
        <v>1050</v>
      </c>
      <c r="D29" s="32"/>
      <c r="E29" s="32" t="s">
        <v>1042</v>
      </c>
      <c r="F29" s="80" t="s">
        <v>775</v>
      </c>
      <c r="G29" s="71"/>
      <c r="H29" s="35" t="str">
        <f>Tabla410[[#This Row],[P1]] &amp; "|" &amp; $E$1 &amp; "|" &amp; Tabla410[[#This Row],[Sexo]] &amp; "|" &amp; Tabla410[[#This Row],[Entidad]]</f>
        <v>PI|Homicidio|Mujer|Tabasco</v>
      </c>
      <c r="I29" s="21" t="str">
        <f>Tabla410[[#This Row],[P2]] &amp; "|" &amp; $E$1 &amp; "|" &amp; Tabla410[[#This Row],[Sexo]] &amp; "|" &amp; Tabla410[[#This Row],[Entidad]]</f>
        <v>PS|Homicidio|Mujer|Tabasco</v>
      </c>
      <c r="J29" s="9">
        <f>VLOOKUP($E$1,Tabla5[[#All],[name]:[id_1]],2,FALSE)</f>
        <v>77</v>
      </c>
      <c r="K29" s="9">
        <f>VLOOKUP($B$1,Tabla6[[#All],[name]:[id_2]],2)</f>
        <v>18</v>
      </c>
      <c r="L29" s="9">
        <f>VLOOKUP(Tabla410[[#This Row],[Sexo]],Tabla8[[#All],[name]:[gender_id]],2,FALSE)</f>
        <v>1</v>
      </c>
      <c r="M29" s="9" t="str">
        <f>IF(LEN(Tabla410[[#This Row],[centros]])&gt;0,VLOOKUP(Tabla410[[#This Row],[centros]],Tabla2[[#All],[Centros]:[ID]],2,FALSE),"NULL")</f>
        <v>NULL</v>
      </c>
      <c r="N29" s="9">
        <f>VLOOKUP(Tabla410[[#This Row],[Entidad]],Tabla3[[#All],[name]:[ID_2]],2,FALSE)</f>
        <v>27</v>
      </c>
      <c r="O29" s="9">
        <f>IFERROR(VLOOKUP(Tabla410[[#This Row],[CLAVE PI]], Tabla10[], 10, FALSE), 0)</f>
        <v>19</v>
      </c>
      <c r="P29" s="36">
        <f>IFERROR(VLOOKUP(Tabla410[[#This Row],[CLAVE PS]], Tabla10[], 10, FALSE), 0)</f>
        <v>0</v>
      </c>
      <c r="Q29" s="42" t="str">
        <f t="shared" si="0"/>
        <v>INSERT INTO indicator_category_details (category_id, year_id, gender_id, center_id, state_id, PI, PS, status) VALUES (77, 18, 1, NULL, 27, 19, 0, 1);</v>
      </c>
    </row>
    <row r="30" spans="1:17" ht="15" customHeight="1" x14ac:dyDescent="0.25">
      <c r="A30" s="69"/>
      <c r="B30" s="79" t="s">
        <v>1046</v>
      </c>
      <c r="C30" s="53" t="s">
        <v>1050</v>
      </c>
      <c r="D30" s="32"/>
      <c r="E30" s="32" t="s">
        <v>1042</v>
      </c>
      <c r="F30" s="80" t="s">
        <v>785</v>
      </c>
      <c r="G30" s="71"/>
      <c r="H30" s="35" t="str">
        <f>Tabla410[[#This Row],[P1]] &amp; "|" &amp; $E$1 &amp; "|" &amp; Tabla410[[#This Row],[Sexo]] &amp; "|" &amp; Tabla410[[#This Row],[Entidad]]</f>
        <v>PI|Homicidio|Mujer|Tamaulipas</v>
      </c>
      <c r="I30" s="21" t="str">
        <f>Tabla410[[#This Row],[P2]] &amp; "|" &amp; $E$1 &amp; "|" &amp; Tabla410[[#This Row],[Sexo]] &amp; "|" &amp; Tabla410[[#This Row],[Entidad]]</f>
        <v>PS|Homicidio|Mujer|Tamaulipas</v>
      </c>
      <c r="J30" s="9">
        <f>VLOOKUP($E$1,Tabla5[[#All],[name]:[id_1]],2,FALSE)</f>
        <v>77</v>
      </c>
      <c r="K30" s="9">
        <f>VLOOKUP($B$1,Tabla6[[#All],[name]:[id_2]],2)</f>
        <v>18</v>
      </c>
      <c r="L30" s="9">
        <f>VLOOKUP(Tabla410[[#This Row],[Sexo]],Tabla8[[#All],[name]:[gender_id]],2,FALSE)</f>
        <v>1</v>
      </c>
      <c r="M30" s="9" t="str">
        <f>IF(LEN(Tabla410[[#This Row],[centros]])&gt;0,VLOOKUP(Tabla410[[#This Row],[centros]],Tabla2[[#All],[Centros]:[ID]],2,FALSE),"NULL")</f>
        <v>NULL</v>
      </c>
      <c r="N30" s="9">
        <f>VLOOKUP(Tabla410[[#This Row],[Entidad]],Tabla3[[#All],[name]:[ID_2]],2,FALSE)</f>
        <v>28</v>
      </c>
      <c r="O30" s="9">
        <f>IFERROR(VLOOKUP(Tabla410[[#This Row],[CLAVE PI]], Tabla10[], 10, FALSE), 0)</f>
        <v>54</v>
      </c>
      <c r="P30" s="36">
        <f>IFERROR(VLOOKUP(Tabla410[[#This Row],[CLAVE PS]], Tabla10[], 10, FALSE), 0)</f>
        <v>1</v>
      </c>
      <c r="Q30" s="42" t="str">
        <f t="shared" si="0"/>
        <v>INSERT INTO indicator_category_details (category_id, year_id, gender_id, center_id, state_id, PI, PS, status) VALUES (77, 18, 1, NULL, 28, 54, 1, 1);</v>
      </c>
    </row>
    <row r="31" spans="1:17" ht="15" customHeight="1" x14ac:dyDescent="0.25">
      <c r="A31" s="69"/>
      <c r="B31" s="79" t="s">
        <v>1046</v>
      </c>
      <c r="C31" s="53" t="s">
        <v>1050</v>
      </c>
      <c r="D31" s="32"/>
      <c r="E31" s="32" t="s">
        <v>1042</v>
      </c>
      <c r="F31" s="80" t="s">
        <v>797</v>
      </c>
      <c r="G31" s="71"/>
      <c r="H31" s="35" t="str">
        <f>Tabla410[[#This Row],[P1]] &amp; "|" &amp; $E$1 &amp; "|" &amp; Tabla410[[#This Row],[Sexo]] &amp; "|" &amp; Tabla410[[#This Row],[Entidad]]</f>
        <v>PI|Homicidio|Mujer|Tlaxcala</v>
      </c>
      <c r="I31" s="21" t="str">
        <f>Tabla410[[#This Row],[P2]] &amp; "|" &amp; $E$1 &amp; "|" &amp; Tabla410[[#This Row],[Sexo]] &amp; "|" &amp; Tabla410[[#This Row],[Entidad]]</f>
        <v>PS|Homicidio|Mujer|Tlaxcala</v>
      </c>
      <c r="J31" s="9">
        <f>VLOOKUP($E$1,Tabla5[[#All],[name]:[id_1]],2,FALSE)</f>
        <v>77</v>
      </c>
      <c r="K31" s="9">
        <f>VLOOKUP($B$1,Tabla6[[#All],[name]:[id_2]],2)</f>
        <v>18</v>
      </c>
      <c r="L31" s="9">
        <f>VLOOKUP(Tabla410[[#This Row],[Sexo]],Tabla8[[#All],[name]:[gender_id]],2,FALSE)</f>
        <v>1</v>
      </c>
      <c r="M31" s="9" t="str">
        <f>IF(LEN(Tabla410[[#This Row],[centros]])&gt;0,VLOOKUP(Tabla410[[#This Row],[centros]],Tabla2[[#All],[Centros]:[ID]],2,FALSE),"NULL")</f>
        <v>NULL</v>
      </c>
      <c r="N31" s="9">
        <f>VLOOKUP(Tabla410[[#This Row],[Entidad]],Tabla3[[#All],[name]:[ID_2]],2,FALSE)</f>
        <v>29</v>
      </c>
      <c r="O31" s="9">
        <f>IFERROR(VLOOKUP(Tabla410[[#This Row],[CLAVE PI]], Tabla10[], 10, FALSE), 0)</f>
        <v>16</v>
      </c>
      <c r="P31" s="36">
        <f>IFERROR(VLOOKUP(Tabla410[[#This Row],[CLAVE PS]], Tabla10[], 10, FALSE), 0)</f>
        <v>0</v>
      </c>
      <c r="Q31" s="42" t="str">
        <f t="shared" si="0"/>
        <v>INSERT INTO indicator_category_details (category_id, year_id, gender_id, center_id, state_id, PI, PS, status) VALUES (77, 18, 1, NULL, 29, 16, 0, 1);</v>
      </c>
    </row>
    <row r="32" spans="1:17" ht="15" customHeight="1" x14ac:dyDescent="0.25">
      <c r="A32" s="69"/>
      <c r="B32" s="79" t="s">
        <v>1046</v>
      </c>
      <c r="C32" s="53" t="s">
        <v>1050</v>
      </c>
      <c r="D32" s="32"/>
      <c r="E32" s="32" t="s">
        <v>1042</v>
      </c>
      <c r="F32" s="80" t="s">
        <v>802</v>
      </c>
      <c r="G32" s="71"/>
      <c r="H32" s="35" t="str">
        <f>Tabla410[[#This Row],[P1]] &amp; "|" &amp; $E$1 &amp; "|" &amp; Tabla410[[#This Row],[Sexo]] &amp; "|" &amp; Tabla410[[#This Row],[Entidad]]</f>
        <v>PI|Homicidio|Mujer|Veracruz de Ignacio de la Llave</v>
      </c>
      <c r="I32" s="21" t="str">
        <f>Tabla410[[#This Row],[P2]] &amp; "|" &amp; $E$1 &amp; "|" &amp; Tabla410[[#This Row],[Sexo]] &amp; "|" &amp; Tabla410[[#This Row],[Entidad]]</f>
        <v>PS|Homicidio|Mujer|Veracruz de Ignacio de la Llave</v>
      </c>
      <c r="J32" s="9">
        <f>VLOOKUP($E$1,Tabla5[[#All],[name]:[id_1]],2,FALSE)</f>
        <v>77</v>
      </c>
      <c r="K32" s="9">
        <f>VLOOKUP($B$1,Tabla6[[#All],[name]:[id_2]],2)</f>
        <v>18</v>
      </c>
      <c r="L32" s="9">
        <f>VLOOKUP(Tabla410[[#This Row],[Sexo]],Tabla8[[#All],[name]:[gender_id]],2,FALSE)</f>
        <v>1</v>
      </c>
      <c r="M32" s="9" t="str">
        <f>IF(LEN(Tabla410[[#This Row],[centros]])&gt;0,VLOOKUP(Tabla410[[#This Row],[centros]],Tabla2[[#All],[Centros]:[ID]],2,FALSE),"NULL")</f>
        <v>NULL</v>
      </c>
      <c r="N32" s="9">
        <f>VLOOKUP(Tabla410[[#This Row],[Entidad]],Tabla3[[#All],[name]:[ID_2]],2,FALSE)</f>
        <v>30</v>
      </c>
      <c r="O32" s="9">
        <f>IFERROR(VLOOKUP(Tabla410[[#This Row],[CLAVE PI]], Tabla10[], 10, FALSE), 0)</f>
        <v>79</v>
      </c>
      <c r="P32" s="36">
        <f>IFERROR(VLOOKUP(Tabla410[[#This Row],[CLAVE PS]], Tabla10[], 10, FALSE), 0)</f>
        <v>1</v>
      </c>
      <c r="Q32" s="42" t="str">
        <f t="shared" si="0"/>
        <v>INSERT INTO indicator_category_details (category_id, year_id, gender_id, center_id, state_id, PI, PS, status) VALUES (77, 18, 1, NULL, 30, 79, 1, 1);</v>
      </c>
    </row>
    <row r="33" spans="1:17" ht="15" customHeight="1" x14ac:dyDescent="0.25">
      <c r="A33" s="69"/>
      <c r="B33" s="79" t="s">
        <v>1046</v>
      </c>
      <c r="C33" s="53" t="s">
        <v>1050</v>
      </c>
      <c r="D33" s="32"/>
      <c r="E33" s="32" t="s">
        <v>1042</v>
      </c>
      <c r="F33" s="80" t="s">
        <v>822</v>
      </c>
      <c r="G33" s="71"/>
      <c r="H33" s="35" t="str">
        <f>Tabla410[[#This Row],[P1]] &amp; "|" &amp; $E$1 &amp; "|" &amp; Tabla410[[#This Row],[Sexo]] &amp; "|" &amp; Tabla410[[#This Row],[Entidad]]</f>
        <v>PI|Homicidio|Mujer|Yucatán</v>
      </c>
      <c r="I33" s="21" t="str">
        <f>Tabla410[[#This Row],[P2]] &amp; "|" &amp; $E$1 &amp; "|" &amp; Tabla410[[#This Row],[Sexo]] &amp; "|" &amp; Tabla410[[#This Row],[Entidad]]</f>
        <v>PS|Homicidio|Mujer|Yucatán</v>
      </c>
      <c r="J33" s="9">
        <f>VLOOKUP($E$1,Tabla5[[#All],[name]:[id_1]],2,FALSE)</f>
        <v>77</v>
      </c>
      <c r="K33" s="9">
        <f>VLOOKUP($B$1,Tabla6[[#All],[name]:[id_2]],2)</f>
        <v>18</v>
      </c>
      <c r="L33" s="9">
        <f>VLOOKUP(Tabla410[[#This Row],[Sexo]],Tabla8[[#All],[name]:[gender_id]],2,FALSE)</f>
        <v>1</v>
      </c>
      <c r="M33" s="9" t="str">
        <f>IF(LEN(Tabla410[[#This Row],[centros]])&gt;0,VLOOKUP(Tabla410[[#This Row],[centros]],Tabla2[[#All],[Centros]:[ID]],2,FALSE),"NULL")</f>
        <v>NULL</v>
      </c>
      <c r="N33" s="9">
        <f>VLOOKUP(Tabla410[[#This Row],[Entidad]],Tabla3[[#All],[name]:[ID_2]],2,FALSE)</f>
        <v>31</v>
      </c>
      <c r="O33" s="9">
        <f>IFERROR(VLOOKUP(Tabla410[[#This Row],[CLAVE PI]], Tabla10[], 10, FALSE), 0)</f>
        <v>19</v>
      </c>
      <c r="P33" s="36">
        <f>IFERROR(VLOOKUP(Tabla410[[#This Row],[CLAVE PS]], Tabla10[], 10, FALSE), 0)</f>
        <v>0</v>
      </c>
      <c r="Q33" s="42" t="str">
        <f t="shared" si="0"/>
        <v>INSERT INTO indicator_category_details (category_id, year_id, gender_id, center_id, state_id, PI, PS, status) VALUES (77, 18, 1, NULL, 31, 19, 0, 1);</v>
      </c>
    </row>
    <row r="34" spans="1:17" ht="15" customHeight="1" thickBot="1" x14ac:dyDescent="0.3">
      <c r="A34" s="69"/>
      <c r="B34" s="82" t="s">
        <v>1046</v>
      </c>
      <c r="C34" s="54" t="s">
        <v>1050</v>
      </c>
      <c r="D34" s="83"/>
      <c r="E34" s="83" t="s">
        <v>1042</v>
      </c>
      <c r="F34" s="84" t="s">
        <v>827</v>
      </c>
      <c r="G34" s="73"/>
      <c r="H34" s="38" t="str">
        <f>Tabla410[[#This Row],[P1]] &amp; "|" &amp; $E$1 &amp; "|" &amp; Tabla410[[#This Row],[Sexo]] &amp; "|" &amp; Tabla410[[#This Row],[Entidad]]</f>
        <v>PI|Homicidio|Mujer|Zacatecas</v>
      </c>
      <c r="I34" s="39" t="str">
        <f>Tabla410[[#This Row],[P2]] &amp; "|" &amp; $E$1 &amp; "|" &amp; Tabla410[[#This Row],[Sexo]] &amp; "|" &amp; Tabla410[[#This Row],[Entidad]]</f>
        <v>PS|Homicidio|Mujer|Zacatecas</v>
      </c>
      <c r="J34" s="40">
        <f>VLOOKUP($E$1,Tabla5[[#All],[name]:[id_1]],2,FALSE)</f>
        <v>77</v>
      </c>
      <c r="K34" s="40">
        <f>VLOOKUP($B$1,Tabla6[[#All],[name]:[id_2]],2)</f>
        <v>18</v>
      </c>
      <c r="L34" s="40">
        <f>VLOOKUP(Tabla410[[#This Row],[Sexo]],Tabla8[[#All],[name]:[gender_id]],2,FALSE)</f>
        <v>1</v>
      </c>
      <c r="M34" s="40" t="str">
        <f>IF(LEN(Tabla410[[#This Row],[centros]])&gt;0,VLOOKUP(Tabla410[[#This Row],[centros]],Tabla2[[#All],[Centros]:[ID]],2,FALSE),"NULL")</f>
        <v>NULL</v>
      </c>
      <c r="N34" s="40">
        <f>VLOOKUP(Tabla410[[#This Row],[Entidad]],Tabla3[[#All],[name]:[ID_2]],2,FALSE)</f>
        <v>32</v>
      </c>
      <c r="O34" s="40">
        <f>IFERROR(VLOOKUP(Tabla410[[#This Row],[CLAVE PI]], Tabla10[], 10, FALSE), 0)</f>
        <v>14</v>
      </c>
      <c r="P34" s="41">
        <f>IFERROR(VLOOKUP(Tabla410[[#This Row],[CLAVE PS]], Tabla10[], 10, FALSE), 0)</f>
        <v>0</v>
      </c>
      <c r="Q34" s="44" t="str">
        <f t="shared" si="0"/>
        <v>INSERT INTO indicator_category_details (category_id, year_id, gender_id, center_id, state_id, PI, PS, status) VALUES (77, 18, 1, NULL, 32, 14, 0, 1);</v>
      </c>
    </row>
    <row r="35" spans="1:17" ht="15.75" x14ac:dyDescent="0.25">
      <c r="A35" s="46"/>
      <c r="B35" s="52" t="s">
        <v>1046</v>
      </c>
      <c r="C35" s="52" t="s">
        <v>1050</v>
      </c>
      <c r="D35" s="32"/>
      <c r="E35" s="32" t="s">
        <v>1043</v>
      </c>
      <c r="F35" s="32" t="s">
        <v>518</v>
      </c>
      <c r="G35" s="4"/>
      <c r="H35" s="35" t="str">
        <f>Tabla410[[#This Row],[P1]] &amp; "|" &amp; $E$1 &amp; "|" &amp; Tabla410[[#This Row],[Sexo]] &amp; "|" &amp; Tabla410[[#This Row],[Entidad]]</f>
        <v>PI|Homicidio|Hombre|Aguascalientes</v>
      </c>
      <c r="I35" s="21" t="str">
        <f>Tabla410[[#This Row],[P2]] &amp; "|" &amp; $E$1 &amp; "|" &amp; Tabla410[[#This Row],[Sexo]] &amp; "|" &amp; Tabla410[[#This Row],[Entidad]]</f>
        <v>PS|Homicidio|Hombre|Aguascalientes</v>
      </c>
      <c r="J35" s="9">
        <f>VLOOKUP($E$1,Tabla5[[#All],[name]:[id_1]],2,FALSE)</f>
        <v>77</v>
      </c>
      <c r="K35" s="9">
        <f>VLOOKUP($B$1,Tabla6[[#All],[name]:[id_2]],2)</f>
        <v>18</v>
      </c>
      <c r="L35" s="9">
        <f>VLOOKUP(Tabla410[[#This Row],[Sexo]],Tabla8[[#All],[name]:[gender_id]],2,FALSE)</f>
        <v>2</v>
      </c>
      <c r="M35" s="9" t="str">
        <f>IF(LEN(Tabla410[[#This Row],[centros]])&gt;0,VLOOKUP(Tabla410[[#This Row],[centros]],Tabla2[[#All],[Centros]:[ID]],2,FALSE),"NULL")</f>
        <v>NULL</v>
      </c>
      <c r="N35" s="9">
        <f>VLOOKUP(Tabla410[[#This Row],[Entidad]],Tabla3[[#All],[name]:[ID_2]],2,FALSE)</f>
        <v>1</v>
      </c>
      <c r="O35" s="9">
        <f>IFERROR(VLOOKUP(Tabla410[[#This Row],[CLAVE PI]], Tabla10[], 10, FALSE), 0)</f>
        <v>327</v>
      </c>
      <c r="P35" s="36">
        <f>IFERROR(VLOOKUP(Tabla410[[#This Row],[CLAVE PS]], Tabla10[], 10, FALSE), 0)</f>
        <v>12</v>
      </c>
      <c r="Q35" s="42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(77, 18, 2, NULL, 1, 327, 12, 1);</v>
      </c>
    </row>
    <row r="36" spans="1:17" ht="15.75" x14ac:dyDescent="0.25">
      <c r="A36" s="46"/>
      <c r="B36" s="53" t="s">
        <v>1046</v>
      </c>
      <c r="C36" s="53" t="s">
        <v>1050</v>
      </c>
      <c r="D36" s="32"/>
      <c r="E36" s="3" t="s">
        <v>1043</v>
      </c>
      <c r="F36" s="3" t="s">
        <v>519</v>
      </c>
      <c r="G36" s="4"/>
      <c r="H36" s="35" t="str">
        <f>Tabla410[[#This Row],[P1]] &amp; "|" &amp; $E$1 &amp; "|" &amp; Tabla410[[#This Row],[Sexo]] &amp; "|" &amp; Tabla410[[#This Row],[Entidad]]</f>
        <v>PI|Homicidio|Hombre|Baja California</v>
      </c>
      <c r="I36" s="21" t="str">
        <f>Tabla410[[#This Row],[P2]] &amp; "|" &amp; $E$1 &amp; "|" &amp; Tabla410[[#This Row],[Sexo]] &amp; "|" &amp; Tabla410[[#This Row],[Entidad]]</f>
        <v>PS|Homicidio|Hombre|Baja California</v>
      </c>
      <c r="J36" s="9">
        <f>VLOOKUP($E$1,Tabla5[[#All],[name]:[id_1]],2,FALSE)</f>
        <v>77</v>
      </c>
      <c r="K36" s="9">
        <f>VLOOKUP($B$1,Tabla6[[#All],[name]:[id_2]],2)</f>
        <v>18</v>
      </c>
      <c r="L36" s="9">
        <f>VLOOKUP(Tabla410[[#This Row],[Sexo]],Tabla8[[#All],[name]:[gender_id]],2,FALSE)</f>
        <v>2</v>
      </c>
      <c r="M36" s="9" t="str">
        <f>IF(LEN(Tabla410[[#This Row],[centros]])&gt;0,VLOOKUP(Tabla410[[#This Row],[centros]],Tabla2[[#All],[Centros]:[ID]],2,FALSE),"NULL")</f>
        <v>NULL</v>
      </c>
      <c r="N36" s="9">
        <f>VLOOKUP(Tabla410[[#This Row],[Entidad]],Tabla3[[#All],[name]:[ID_2]],2,FALSE)</f>
        <v>2</v>
      </c>
      <c r="O36" s="9">
        <f>IFERROR(VLOOKUP(Tabla410[[#This Row],[CLAVE PI]], Tabla10[], 10, FALSE), 0)</f>
        <v>3683</v>
      </c>
      <c r="P36" s="36">
        <f>IFERROR(VLOOKUP(Tabla410[[#This Row],[CLAVE PS]], Tabla10[], 10, FALSE), 0)</f>
        <v>27</v>
      </c>
      <c r="Q36" s="42" t="str">
        <f t="shared" si="1"/>
        <v>INSERT INTO indicator_category_details (category_id, year_id, gender_id, center_id, state_id, PI, PS, status) VALUES (77, 18, 2, NULL, 2, 3683, 27, 1);</v>
      </c>
    </row>
    <row r="37" spans="1:17" ht="15.75" x14ac:dyDescent="0.25">
      <c r="A37" s="46"/>
      <c r="B37" s="53" t="s">
        <v>1046</v>
      </c>
      <c r="C37" s="53" t="s">
        <v>1050</v>
      </c>
      <c r="D37" s="32"/>
      <c r="E37" s="3" t="s">
        <v>1043</v>
      </c>
      <c r="F37" s="3" t="s">
        <v>528</v>
      </c>
      <c r="G37" s="4"/>
      <c r="H37" s="35" t="str">
        <f>Tabla410[[#This Row],[P1]] &amp; "|" &amp; $E$1 &amp; "|" &amp; Tabla410[[#This Row],[Sexo]] &amp; "|" &amp; Tabla410[[#This Row],[Entidad]]</f>
        <v>PI|Homicidio|Hombre|Baja California Sur</v>
      </c>
      <c r="I37" s="21" t="str">
        <f>Tabla410[[#This Row],[P2]] &amp; "|" &amp; $E$1 &amp; "|" &amp; Tabla410[[#This Row],[Sexo]] &amp; "|" &amp; Tabla410[[#This Row],[Entidad]]</f>
        <v>PS|Homicidio|Hombre|Baja California Sur</v>
      </c>
      <c r="J37" s="9">
        <f>VLOOKUP($E$1,Tabla5[[#All],[name]:[id_1]],2,FALSE)</f>
        <v>77</v>
      </c>
      <c r="K37" s="9">
        <f>VLOOKUP($B$1,Tabla6[[#All],[name]:[id_2]],2)</f>
        <v>18</v>
      </c>
      <c r="L37" s="9">
        <f>VLOOKUP(Tabla410[[#This Row],[Sexo]],Tabla8[[#All],[name]:[gender_id]],2,FALSE)</f>
        <v>2</v>
      </c>
      <c r="M37" s="9" t="str">
        <f>IF(LEN(Tabla410[[#This Row],[centros]])&gt;0,VLOOKUP(Tabla410[[#This Row],[centros]],Tabla2[[#All],[Centros]:[ID]],2,FALSE),"NULL")</f>
        <v>NULL</v>
      </c>
      <c r="N37" s="9">
        <f>VLOOKUP(Tabla410[[#This Row],[Entidad]],Tabla3[[#All],[name]:[ID_2]],2,FALSE)</f>
        <v>3</v>
      </c>
      <c r="O37" s="9">
        <f>IFERROR(VLOOKUP(Tabla410[[#This Row],[CLAVE PI]], Tabla10[], 10, FALSE), 0)</f>
        <v>288</v>
      </c>
      <c r="P37" s="36">
        <f>IFERROR(VLOOKUP(Tabla410[[#This Row],[CLAVE PS]], Tabla10[], 10, FALSE), 0)</f>
        <v>1</v>
      </c>
      <c r="Q37" s="42" t="str">
        <f t="shared" si="1"/>
        <v>INSERT INTO indicator_category_details (category_id, year_id, gender_id, center_id, state_id, PI, PS, status) VALUES (77, 18, 2, NULL, 3, 288, 1, 1);</v>
      </c>
    </row>
    <row r="38" spans="1:17" ht="15.75" x14ac:dyDescent="0.25">
      <c r="A38" s="46"/>
      <c r="B38" s="53" t="s">
        <v>1046</v>
      </c>
      <c r="C38" s="53" t="s">
        <v>1050</v>
      </c>
      <c r="D38" s="32"/>
      <c r="E38" s="3" t="s">
        <v>1043</v>
      </c>
      <c r="F38" s="3" t="s">
        <v>534</v>
      </c>
      <c r="G38" s="4"/>
      <c r="H38" s="35" t="str">
        <f>Tabla410[[#This Row],[P1]] &amp; "|" &amp; $E$1 &amp; "|" &amp; Tabla410[[#This Row],[Sexo]] &amp; "|" &amp; Tabla410[[#This Row],[Entidad]]</f>
        <v>PI|Homicidio|Hombre|Campeche</v>
      </c>
      <c r="I38" s="21" t="str">
        <f>Tabla410[[#This Row],[P2]] &amp; "|" &amp; $E$1 &amp; "|" &amp; Tabla410[[#This Row],[Sexo]] &amp; "|" &amp; Tabla410[[#This Row],[Entidad]]</f>
        <v>PS|Homicidio|Hombre|Campeche</v>
      </c>
      <c r="J38" s="9">
        <f>VLOOKUP($E$1,Tabla5[[#All],[name]:[id_1]],2,FALSE)</f>
        <v>77</v>
      </c>
      <c r="K38" s="9">
        <f>VLOOKUP($B$1,Tabla6[[#All],[name]:[id_2]],2)</f>
        <v>18</v>
      </c>
      <c r="L38" s="9">
        <f>VLOOKUP(Tabla410[[#This Row],[Sexo]],Tabla8[[#All],[name]:[gender_id]],2,FALSE)</f>
        <v>2</v>
      </c>
      <c r="M38" s="9" t="str">
        <f>IF(LEN(Tabla410[[#This Row],[centros]])&gt;0,VLOOKUP(Tabla410[[#This Row],[centros]],Tabla2[[#All],[Centros]:[ID]],2,FALSE),"NULL")</f>
        <v>NULL</v>
      </c>
      <c r="N38" s="9">
        <f>VLOOKUP(Tabla410[[#This Row],[Entidad]],Tabla3[[#All],[name]:[ID_2]],2,FALSE)</f>
        <v>4</v>
      </c>
      <c r="O38" s="9">
        <f>IFERROR(VLOOKUP(Tabla410[[#This Row],[CLAVE PI]], Tabla10[], 10, FALSE), 0)</f>
        <v>371</v>
      </c>
      <c r="P38" s="36">
        <f>IFERROR(VLOOKUP(Tabla410[[#This Row],[CLAVE PS]], Tabla10[], 10, FALSE), 0)</f>
        <v>9</v>
      </c>
      <c r="Q38" s="42" t="str">
        <f t="shared" si="1"/>
        <v>INSERT INTO indicator_category_details (category_id, year_id, gender_id, center_id, state_id, PI, PS, status) VALUES (77, 18, 2, NULL, 4, 371, 9, 1);</v>
      </c>
    </row>
    <row r="39" spans="1:17" ht="15.75" x14ac:dyDescent="0.25">
      <c r="A39" s="46"/>
      <c r="B39" s="53" t="s">
        <v>1046</v>
      </c>
      <c r="C39" s="53" t="s">
        <v>1050</v>
      </c>
      <c r="D39" s="32"/>
      <c r="E39" s="3" t="s">
        <v>1043</v>
      </c>
      <c r="F39" s="3" t="s">
        <v>553</v>
      </c>
      <c r="G39" s="4"/>
      <c r="H39" s="35" t="str">
        <f>Tabla410[[#This Row],[P1]] &amp; "|" &amp; $E$1 &amp; "|" &amp; Tabla410[[#This Row],[Sexo]] &amp; "|" &amp; Tabla410[[#This Row],[Entidad]]</f>
        <v>PI|Homicidio|Hombre|Chiapas</v>
      </c>
      <c r="I39" s="21" t="str">
        <f>Tabla410[[#This Row],[P2]] &amp; "|" &amp; $E$1 &amp; "|" &amp; Tabla410[[#This Row],[Sexo]] &amp; "|" &amp; Tabla410[[#This Row],[Entidad]]</f>
        <v>PS|Homicidio|Hombre|Chiapas</v>
      </c>
      <c r="J39" s="9">
        <f>VLOOKUP($E$1,Tabla5[[#All],[name]:[id_1]],2,FALSE)</f>
        <v>77</v>
      </c>
      <c r="K39" s="9">
        <f>VLOOKUP($B$1,Tabla6[[#All],[name]:[id_2]],2)</f>
        <v>18</v>
      </c>
      <c r="L39" s="9">
        <f>VLOOKUP(Tabla410[[#This Row],[Sexo]],Tabla8[[#All],[name]:[gender_id]],2,FALSE)</f>
        <v>2</v>
      </c>
      <c r="M39" s="9" t="str">
        <f>IF(LEN(Tabla410[[#This Row],[centros]])&gt;0,VLOOKUP(Tabla410[[#This Row],[centros]],Tabla2[[#All],[Centros]:[ID]],2,FALSE),"NULL")</f>
        <v>NULL</v>
      </c>
      <c r="N39" s="9">
        <f>VLOOKUP(Tabla410[[#This Row],[Entidad]],Tabla3[[#All],[name]:[ID_2]],2,FALSE)</f>
        <v>5</v>
      </c>
      <c r="O39" s="9">
        <f>IFERROR(VLOOKUP(Tabla410[[#This Row],[CLAVE PI]], Tabla10[], 10, FALSE), 0)</f>
        <v>1125</v>
      </c>
      <c r="P39" s="36">
        <f>IFERROR(VLOOKUP(Tabla410[[#This Row],[CLAVE PS]], Tabla10[], 10, FALSE), 0)</f>
        <v>5</v>
      </c>
      <c r="Q39" s="42" t="str">
        <f t="shared" si="1"/>
        <v>INSERT INTO indicator_category_details (category_id, year_id, gender_id, center_id, state_id, PI, PS, status) VALUES (77, 18, 2, NULL, 5, 1125, 5, 1);</v>
      </c>
    </row>
    <row r="40" spans="1:17" ht="15.75" x14ac:dyDescent="0.25">
      <c r="A40" s="46"/>
      <c r="B40" s="53" t="s">
        <v>1046</v>
      </c>
      <c r="C40" s="53" t="s">
        <v>1050</v>
      </c>
      <c r="D40" s="32"/>
      <c r="E40" s="3" t="s">
        <v>1043</v>
      </c>
      <c r="F40" s="3" t="s">
        <v>570</v>
      </c>
      <c r="G40" s="4"/>
      <c r="H40" s="35" t="str">
        <f>Tabla410[[#This Row],[P1]] &amp; "|" &amp; $E$1 &amp; "|" &amp; Tabla410[[#This Row],[Sexo]] &amp; "|" &amp; Tabla410[[#This Row],[Entidad]]</f>
        <v>PI|Homicidio|Hombre|Chihuahua</v>
      </c>
      <c r="I40" s="21" t="str">
        <f>Tabla410[[#This Row],[P2]] &amp; "|" &amp; $E$1 &amp; "|" &amp; Tabla410[[#This Row],[Sexo]] &amp; "|" &amp; Tabla410[[#This Row],[Entidad]]</f>
        <v>PS|Homicidio|Hombre|Chihuahua</v>
      </c>
      <c r="J40" s="9">
        <f>VLOOKUP($E$1,Tabla5[[#All],[name]:[id_1]],2,FALSE)</f>
        <v>77</v>
      </c>
      <c r="K40" s="9">
        <f>VLOOKUP($B$1,Tabla6[[#All],[name]:[id_2]],2)</f>
        <v>18</v>
      </c>
      <c r="L40" s="9">
        <f>VLOOKUP(Tabla410[[#This Row],[Sexo]],Tabla8[[#All],[name]:[gender_id]],2,FALSE)</f>
        <v>2</v>
      </c>
      <c r="M40" s="9" t="str">
        <f>IF(LEN(Tabla410[[#This Row],[centros]])&gt;0,VLOOKUP(Tabla410[[#This Row],[centros]],Tabla2[[#All],[Centros]:[ID]],2,FALSE),"NULL")</f>
        <v>NULL</v>
      </c>
      <c r="N40" s="9">
        <f>VLOOKUP(Tabla410[[#This Row],[Entidad]],Tabla3[[#All],[name]:[ID_2]],2,FALSE)</f>
        <v>6</v>
      </c>
      <c r="O40" s="9">
        <f>IFERROR(VLOOKUP(Tabla410[[#This Row],[CLAVE PI]], Tabla10[], 10, FALSE), 0)</f>
        <v>1933</v>
      </c>
      <c r="P40" s="36">
        <f>IFERROR(VLOOKUP(Tabla410[[#This Row],[CLAVE PS]], Tabla10[], 10, FALSE), 0)</f>
        <v>38</v>
      </c>
      <c r="Q40" s="42" t="str">
        <f t="shared" si="1"/>
        <v>INSERT INTO indicator_category_details (category_id, year_id, gender_id, center_id, state_id, PI, PS, status) VALUES (77, 18, 2, NULL, 6, 1933, 38, 1);</v>
      </c>
    </row>
    <row r="41" spans="1:17" ht="15.75" x14ac:dyDescent="0.25">
      <c r="A41" s="46"/>
      <c r="B41" s="53" t="s">
        <v>1046</v>
      </c>
      <c r="C41" s="53" t="s">
        <v>1050</v>
      </c>
      <c r="D41" s="32"/>
      <c r="E41" s="3" t="s">
        <v>1043</v>
      </c>
      <c r="F41" s="3" t="s">
        <v>582</v>
      </c>
      <c r="G41" s="4"/>
      <c r="H41" s="35" t="str">
        <f>Tabla410[[#This Row],[P1]] &amp; "|" &amp; $E$1 &amp; "|" &amp; Tabla410[[#This Row],[Sexo]] &amp; "|" &amp; Tabla410[[#This Row],[Entidad]]</f>
        <v>PI|Homicidio|Hombre|Ciudad de México</v>
      </c>
      <c r="I41" s="21" t="str">
        <f>Tabla410[[#This Row],[P2]] &amp; "|" &amp; $E$1 &amp; "|" &amp; Tabla410[[#This Row],[Sexo]] &amp; "|" &amp; Tabla410[[#This Row],[Entidad]]</f>
        <v>PS|Homicidio|Hombre|Ciudad de México</v>
      </c>
      <c r="J41" s="9">
        <f>VLOOKUP($E$1,Tabla5[[#All],[name]:[id_1]],2,FALSE)</f>
        <v>77</v>
      </c>
      <c r="K41" s="9">
        <f>VLOOKUP($B$1,Tabla6[[#All],[name]:[id_2]],2)</f>
        <v>18</v>
      </c>
      <c r="L41" s="9">
        <f>VLOOKUP(Tabla410[[#This Row],[Sexo]],Tabla8[[#All],[name]:[gender_id]],2,FALSE)</f>
        <v>2</v>
      </c>
      <c r="M41" s="9" t="str">
        <f>IF(LEN(Tabla410[[#This Row],[centros]])&gt;0,VLOOKUP(Tabla410[[#This Row],[centros]],Tabla2[[#All],[Centros]:[ID]],2,FALSE),"NULL")</f>
        <v>NULL</v>
      </c>
      <c r="N41" s="9">
        <f>VLOOKUP(Tabla410[[#This Row],[Entidad]],Tabla3[[#All],[name]:[ID_2]],2,FALSE)</f>
        <v>7</v>
      </c>
      <c r="O41" s="9">
        <f>IFERROR(VLOOKUP(Tabla410[[#This Row],[CLAVE PI]], Tabla10[], 10, FALSE), 0)</f>
        <v>6053</v>
      </c>
      <c r="P41" s="36">
        <f>IFERROR(VLOOKUP(Tabla410[[#This Row],[CLAVE PS]], Tabla10[], 10, FALSE), 0)</f>
        <v>44</v>
      </c>
      <c r="Q41" s="42" t="str">
        <f t="shared" si="1"/>
        <v>INSERT INTO indicator_category_details (category_id, year_id, gender_id, center_id, state_id, PI, PS, status) VALUES (77, 18, 2, NULL, 7, 6053, 44, 1);</v>
      </c>
    </row>
    <row r="42" spans="1:17" ht="15.75" x14ac:dyDescent="0.25">
      <c r="A42" s="46"/>
      <c r="B42" s="53" t="s">
        <v>1046</v>
      </c>
      <c r="C42" s="53" t="s">
        <v>1050</v>
      </c>
      <c r="D42" s="32"/>
      <c r="E42" s="3" t="s">
        <v>1043</v>
      </c>
      <c r="F42" s="3" t="s">
        <v>538</v>
      </c>
      <c r="G42" s="4"/>
      <c r="H42" s="35" t="str">
        <f>Tabla410[[#This Row],[P1]] &amp; "|" &amp; $E$1 &amp; "|" &amp; Tabla410[[#This Row],[Sexo]] &amp; "|" &amp; Tabla410[[#This Row],[Entidad]]</f>
        <v>PI|Homicidio|Hombre|Coahuila de Zaragoza</v>
      </c>
      <c r="I42" s="21" t="str">
        <f>Tabla410[[#This Row],[P2]] &amp; "|" &amp; $E$1 &amp; "|" &amp; Tabla410[[#This Row],[Sexo]] &amp; "|" &amp; Tabla410[[#This Row],[Entidad]]</f>
        <v>PS|Homicidio|Hombre|Coahuila de Zaragoza</v>
      </c>
      <c r="J42" s="9">
        <f>VLOOKUP($E$1,Tabla5[[#All],[name]:[id_1]],2,FALSE)</f>
        <v>77</v>
      </c>
      <c r="K42" s="9">
        <f>VLOOKUP($B$1,Tabla6[[#All],[name]:[id_2]],2)</f>
        <v>18</v>
      </c>
      <c r="L42" s="9">
        <f>VLOOKUP(Tabla410[[#This Row],[Sexo]],Tabla8[[#All],[name]:[gender_id]],2,FALSE)</f>
        <v>2</v>
      </c>
      <c r="M42" s="9" t="str">
        <f>IF(LEN(Tabla410[[#This Row],[centros]])&gt;0,VLOOKUP(Tabla410[[#This Row],[centros]],Tabla2[[#All],[Centros]:[ID]],2,FALSE),"NULL")</f>
        <v>NULL</v>
      </c>
      <c r="N42" s="9">
        <f>VLOOKUP(Tabla410[[#This Row],[Entidad]],Tabla3[[#All],[name]:[ID_2]],2,FALSE)</f>
        <v>8</v>
      </c>
      <c r="O42" s="9">
        <f>IFERROR(VLOOKUP(Tabla410[[#This Row],[CLAVE PI]], Tabla10[], 10, FALSE), 0)</f>
        <v>610</v>
      </c>
      <c r="P42" s="36">
        <f>IFERROR(VLOOKUP(Tabla410[[#This Row],[CLAVE PS]], Tabla10[], 10, FALSE), 0)</f>
        <v>13</v>
      </c>
      <c r="Q42" s="42" t="str">
        <f t="shared" si="1"/>
        <v>INSERT INTO indicator_category_details (category_id, year_id, gender_id, center_id, state_id, PI, PS, status) VALUES (77, 18, 2, NULL, 8, 610, 13, 1);</v>
      </c>
    </row>
    <row r="43" spans="1:17" ht="15.75" x14ac:dyDescent="0.25">
      <c r="A43" s="46"/>
      <c r="B43" s="53" t="s">
        <v>1046</v>
      </c>
      <c r="C43" s="53" t="s">
        <v>1050</v>
      </c>
      <c r="D43" s="32"/>
      <c r="E43" s="3" t="s">
        <v>1043</v>
      </c>
      <c r="F43" s="3" t="s">
        <v>547</v>
      </c>
      <c r="G43" s="4"/>
      <c r="H43" s="35" t="str">
        <f>Tabla410[[#This Row],[P1]] &amp; "|" &amp; $E$1 &amp; "|" &amp; Tabla410[[#This Row],[Sexo]] &amp; "|" &amp; Tabla410[[#This Row],[Entidad]]</f>
        <v>PI|Homicidio|Hombre|Colima</v>
      </c>
      <c r="I43" s="21" t="str">
        <f>Tabla410[[#This Row],[P2]] &amp; "|" &amp; $E$1 &amp; "|" &amp; Tabla410[[#This Row],[Sexo]] &amp; "|" &amp; Tabla410[[#This Row],[Entidad]]</f>
        <v>PS|Homicidio|Hombre|Colima</v>
      </c>
      <c r="J43" s="9">
        <f>VLOOKUP($E$1,Tabla5[[#All],[name]:[id_1]],2,FALSE)</f>
        <v>77</v>
      </c>
      <c r="K43" s="9">
        <f>VLOOKUP($B$1,Tabla6[[#All],[name]:[id_2]],2)</f>
        <v>18</v>
      </c>
      <c r="L43" s="9">
        <f>VLOOKUP(Tabla410[[#This Row],[Sexo]],Tabla8[[#All],[name]:[gender_id]],2,FALSE)</f>
        <v>2</v>
      </c>
      <c r="M43" s="9" t="str">
        <f>IF(LEN(Tabla410[[#This Row],[centros]])&gt;0,VLOOKUP(Tabla410[[#This Row],[centros]],Tabla2[[#All],[Centros]:[ID]],2,FALSE),"NULL")</f>
        <v>NULL</v>
      </c>
      <c r="N43" s="9">
        <f>VLOOKUP(Tabla410[[#This Row],[Entidad]],Tabla3[[#All],[name]:[ID_2]],2,FALSE)</f>
        <v>9</v>
      </c>
      <c r="O43" s="9">
        <f>IFERROR(VLOOKUP(Tabla410[[#This Row],[CLAVE PI]], Tabla10[], 10, FALSE), 0)</f>
        <v>439</v>
      </c>
      <c r="P43" s="36">
        <f>IFERROR(VLOOKUP(Tabla410[[#This Row],[CLAVE PS]], Tabla10[], 10, FALSE), 0)</f>
        <v>1</v>
      </c>
      <c r="Q43" s="42" t="str">
        <f t="shared" si="1"/>
        <v>INSERT INTO indicator_category_details (category_id, year_id, gender_id, center_id, state_id, PI, PS, status) VALUES (77, 18, 2, NULL, 9, 439, 1, 1);</v>
      </c>
    </row>
    <row r="44" spans="1:17" ht="15.75" x14ac:dyDescent="0.25">
      <c r="A44" s="46"/>
      <c r="B44" s="53" t="s">
        <v>1046</v>
      </c>
      <c r="C44" s="53" t="s">
        <v>1050</v>
      </c>
      <c r="D44" s="32"/>
      <c r="E44" s="3" t="s">
        <v>1043</v>
      </c>
      <c r="F44" s="3" t="s">
        <v>600</v>
      </c>
      <c r="G44" s="4"/>
      <c r="H44" s="35" t="str">
        <f>Tabla410[[#This Row],[P1]] &amp; "|" &amp; $E$1 &amp; "|" &amp; Tabla410[[#This Row],[Sexo]] &amp; "|" &amp; Tabla410[[#This Row],[Entidad]]</f>
        <v>PI|Homicidio|Hombre|Durango</v>
      </c>
      <c r="I44" s="21" t="str">
        <f>Tabla410[[#This Row],[P2]] &amp; "|" &amp; $E$1 &amp; "|" &amp; Tabla410[[#This Row],[Sexo]] &amp; "|" &amp; Tabla410[[#This Row],[Entidad]]</f>
        <v>PS|Homicidio|Hombre|Durango</v>
      </c>
      <c r="J44" s="9">
        <f>VLOOKUP($E$1,Tabla5[[#All],[name]:[id_1]],2,FALSE)</f>
        <v>77</v>
      </c>
      <c r="K44" s="9">
        <f>VLOOKUP($B$1,Tabla6[[#All],[name]:[id_2]],2)</f>
        <v>18</v>
      </c>
      <c r="L44" s="9">
        <f>VLOOKUP(Tabla410[[#This Row],[Sexo]],Tabla8[[#All],[name]:[gender_id]],2,FALSE)</f>
        <v>2</v>
      </c>
      <c r="M44" s="9" t="str">
        <f>IF(LEN(Tabla410[[#This Row],[centros]])&gt;0,VLOOKUP(Tabla410[[#This Row],[centros]],Tabla2[[#All],[Centros]:[ID]],2,FALSE),"NULL")</f>
        <v>NULL</v>
      </c>
      <c r="N44" s="9">
        <f>VLOOKUP(Tabla410[[#This Row],[Entidad]],Tabla3[[#All],[name]:[ID_2]],2,FALSE)</f>
        <v>10</v>
      </c>
      <c r="O44" s="9">
        <f>IFERROR(VLOOKUP(Tabla410[[#This Row],[CLAVE PI]], Tabla10[], 10, FALSE), 0)</f>
        <v>434</v>
      </c>
      <c r="P44" s="36">
        <f>IFERROR(VLOOKUP(Tabla410[[#This Row],[CLAVE PS]], Tabla10[], 10, FALSE), 0)</f>
        <v>8</v>
      </c>
      <c r="Q44" s="42" t="str">
        <f t="shared" si="1"/>
        <v>INSERT INTO indicator_category_details (category_id, year_id, gender_id, center_id, state_id, PI, PS, status) VALUES (77, 18, 2, NULL, 10, 434, 8, 1);</v>
      </c>
    </row>
    <row r="45" spans="1:17" ht="15.75" x14ac:dyDescent="0.25">
      <c r="A45" s="46"/>
      <c r="B45" s="53" t="s">
        <v>1046</v>
      </c>
      <c r="C45" s="53" t="s">
        <v>1050</v>
      </c>
      <c r="D45" s="32"/>
      <c r="E45" s="3" t="s">
        <v>1043</v>
      </c>
      <c r="F45" s="3" t="s">
        <v>606</v>
      </c>
      <c r="G45" s="4"/>
      <c r="H45" s="35" t="str">
        <f>Tabla410[[#This Row],[P1]] &amp; "|" &amp; $E$1 &amp; "|" &amp; Tabla410[[#This Row],[Sexo]] &amp; "|" &amp; Tabla410[[#This Row],[Entidad]]</f>
        <v>PI|Homicidio|Hombre|Guanajuato</v>
      </c>
      <c r="I45" s="21" t="str">
        <f>Tabla410[[#This Row],[P2]] &amp; "|" &amp; $E$1 &amp; "|" &amp; Tabla410[[#This Row],[Sexo]] &amp; "|" &amp; Tabla410[[#This Row],[Entidad]]</f>
        <v>PS|Homicidio|Hombre|Guanajuato</v>
      </c>
      <c r="J45" s="9">
        <f>VLOOKUP($E$1,Tabla5[[#All],[name]:[id_1]],2,FALSE)</f>
        <v>77</v>
      </c>
      <c r="K45" s="9">
        <f>VLOOKUP($B$1,Tabla6[[#All],[name]:[id_2]],2)</f>
        <v>18</v>
      </c>
      <c r="L45" s="9">
        <f>VLOOKUP(Tabla410[[#This Row],[Sexo]],Tabla8[[#All],[name]:[gender_id]],2,FALSE)</f>
        <v>2</v>
      </c>
      <c r="M45" s="9" t="str">
        <f>IF(LEN(Tabla410[[#This Row],[centros]])&gt;0,VLOOKUP(Tabla410[[#This Row],[centros]],Tabla2[[#All],[Centros]:[ID]],2,FALSE),"NULL")</f>
        <v>NULL</v>
      </c>
      <c r="N45" s="9">
        <f>VLOOKUP(Tabla410[[#This Row],[Entidad]],Tabla3[[#All],[name]:[ID_2]],2,FALSE)</f>
        <v>11</v>
      </c>
      <c r="O45" s="9">
        <f>IFERROR(VLOOKUP(Tabla410[[#This Row],[CLAVE PI]], Tabla10[], 10, FALSE), 0)</f>
        <v>1699</v>
      </c>
      <c r="P45" s="36">
        <f>IFERROR(VLOOKUP(Tabla410[[#This Row],[CLAVE PS]], Tabla10[], 10, FALSE), 0)</f>
        <v>26</v>
      </c>
      <c r="Q45" s="42" t="str">
        <f t="shared" si="1"/>
        <v>INSERT INTO indicator_category_details (category_id, year_id, gender_id, center_id, state_id, PI, PS, status) VALUES (77, 18, 2, NULL, 11, 1699, 26, 1);</v>
      </c>
    </row>
    <row r="46" spans="1:17" ht="15.75" x14ac:dyDescent="0.25">
      <c r="A46" s="46"/>
      <c r="B46" s="53" t="s">
        <v>1046</v>
      </c>
      <c r="C46" s="53" t="s">
        <v>1050</v>
      </c>
      <c r="D46" s="32"/>
      <c r="E46" s="3" t="s">
        <v>1043</v>
      </c>
      <c r="F46" s="3" t="s">
        <v>619</v>
      </c>
      <c r="G46" s="4"/>
      <c r="H46" s="35" t="str">
        <f>Tabla410[[#This Row],[P1]] &amp; "|" &amp; $E$1 &amp; "|" &amp; Tabla410[[#This Row],[Sexo]] &amp; "|" &amp; Tabla410[[#This Row],[Entidad]]</f>
        <v>PI|Homicidio|Hombre|Guerrero</v>
      </c>
      <c r="I46" s="21" t="str">
        <f>Tabla410[[#This Row],[P2]] &amp; "|" &amp; $E$1 &amp; "|" &amp; Tabla410[[#This Row],[Sexo]] &amp; "|" &amp; Tabla410[[#This Row],[Entidad]]</f>
        <v>PS|Homicidio|Hombre|Guerrero</v>
      </c>
      <c r="J46" s="9">
        <f>VLOOKUP($E$1,Tabla5[[#All],[name]:[id_1]],2,FALSE)</f>
        <v>77</v>
      </c>
      <c r="K46" s="9">
        <f>VLOOKUP($B$1,Tabla6[[#All],[name]:[id_2]],2)</f>
        <v>18</v>
      </c>
      <c r="L46" s="9">
        <f>VLOOKUP(Tabla410[[#This Row],[Sexo]],Tabla8[[#All],[name]:[gender_id]],2,FALSE)</f>
        <v>2</v>
      </c>
      <c r="M46" s="9" t="str">
        <f>IF(LEN(Tabla410[[#This Row],[centros]])&gt;0,VLOOKUP(Tabla410[[#This Row],[centros]],Tabla2[[#All],[Centros]:[ID]],2,FALSE),"NULL")</f>
        <v>NULL</v>
      </c>
      <c r="N46" s="9">
        <f>VLOOKUP(Tabla410[[#This Row],[Entidad]],Tabla3[[#All],[name]:[ID_2]],2,FALSE)</f>
        <v>12</v>
      </c>
      <c r="O46" s="9">
        <f>IFERROR(VLOOKUP(Tabla410[[#This Row],[CLAVE PI]], Tabla10[], 10, FALSE), 0)</f>
        <v>1344</v>
      </c>
      <c r="P46" s="36">
        <f>IFERROR(VLOOKUP(Tabla410[[#This Row],[CLAVE PS]], Tabla10[], 10, FALSE), 0)</f>
        <v>16</v>
      </c>
      <c r="Q46" s="42" t="str">
        <f t="shared" si="1"/>
        <v>INSERT INTO indicator_category_details (category_id, year_id, gender_id, center_id, state_id, PI, PS, status) VALUES (77, 18, 2, NULL, 12, 1344, 16, 1);</v>
      </c>
    </row>
    <row r="47" spans="1:17" ht="15.75" x14ac:dyDescent="0.25">
      <c r="A47" s="46"/>
      <c r="B47" s="53" t="s">
        <v>1046</v>
      </c>
      <c r="C47" s="53" t="s">
        <v>1050</v>
      </c>
      <c r="D47" s="32"/>
      <c r="E47" s="3" t="s">
        <v>1043</v>
      </c>
      <c r="F47" s="3" t="s">
        <v>633</v>
      </c>
      <c r="G47" s="4"/>
      <c r="H47" s="35" t="str">
        <f>Tabla410[[#This Row],[P1]] &amp; "|" &amp; $E$1 &amp; "|" &amp; Tabla410[[#This Row],[Sexo]] &amp; "|" &amp; Tabla410[[#This Row],[Entidad]]</f>
        <v>PI|Homicidio|Hombre|Hidalgo</v>
      </c>
      <c r="I47" s="21" t="str">
        <f>Tabla410[[#This Row],[P2]] &amp; "|" &amp; $E$1 &amp; "|" &amp; Tabla410[[#This Row],[Sexo]] &amp; "|" &amp; Tabla410[[#This Row],[Entidad]]</f>
        <v>PS|Homicidio|Hombre|Hidalgo</v>
      </c>
      <c r="J47" s="9">
        <f>VLOOKUP($E$1,Tabla5[[#All],[name]:[id_1]],2,FALSE)</f>
        <v>77</v>
      </c>
      <c r="K47" s="9">
        <f>VLOOKUP($B$1,Tabla6[[#All],[name]:[id_2]],2)</f>
        <v>18</v>
      </c>
      <c r="L47" s="9">
        <f>VLOOKUP(Tabla410[[#This Row],[Sexo]],Tabla8[[#All],[name]:[gender_id]],2,FALSE)</f>
        <v>2</v>
      </c>
      <c r="M47" s="9" t="str">
        <f>IF(LEN(Tabla410[[#This Row],[centros]])&gt;0,VLOOKUP(Tabla410[[#This Row],[centros]],Tabla2[[#All],[Centros]:[ID]],2,FALSE),"NULL")</f>
        <v>NULL</v>
      </c>
      <c r="N47" s="9">
        <f>VLOOKUP(Tabla410[[#This Row],[Entidad]],Tabla3[[#All],[name]:[ID_2]],2,FALSE)</f>
        <v>13</v>
      </c>
      <c r="O47" s="9">
        <f>IFERROR(VLOOKUP(Tabla410[[#This Row],[CLAVE PI]], Tabla10[], 10, FALSE), 0)</f>
        <v>878</v>
      </c>
      <c r="P47" s="36">
        <f>IFERROR(VLOOKUP(Tabla410[[#This Row],[CLAVE PS]], Tabla10[], 10, FALSE), 0)</f>
        <v>11</v>
      </c>
      <c r="Q47" s="42" t="str">
        <f t="shared" si="1"/>
        <v>INSERT INTO indicator_category_details (category_id, year_id, gender_id, center_id, state_id, PI, PS, status) VALUES (77, 18, 2, NULL, 13, 878, 11, 1);</v>
      </c>
    </row>
    <row r="48" spans="1:17" ht="15.75" x14ac:dyDescent="0.25">
      <c r="A48" s="46"/>
      <c r="B48" s="53" t="s">
        <v>1046</v>
      </c>
      <c r="C48" s="53" t="s">
        <v>1050</v>
      </c>
      <c r="D48" s="32"/>
      <c r="E48" s="3" t="s">
        <v>1043</v>
      </c>
      <c r="F48" s="3" t="s">
        <v>647</v>
      </c>
      <c r="G48" s="4"/>
      <c r="H48" s="35" t="str">
        <f>Tabla410[[#This Row],[P1]] &amp; "|" &amp; $E$1 &amp; "|" &amp; Tabla410[[#This Row],[Sexo]] &amp; "|" &amp; Tabla410[[#This Row],[Entidad]]</f>
        <v>PI|Homicidio|Hombre|Jalisco</v>
      </c>
      <c r="I48" s="21" t="str">
        <f>Tabla410[[#This Row],[P2]] &amp; "|" &amp; $E$1 &amp; "|" &amp; Tabla410[[#This Row],[Sexo]] &amp; "|" &amp; Tabla410[[#This Row],[Entidad]]</f>
        <v>PS|Homicidio|Hombre|Jalisco</v>
      </c>
      <c r="J48" s="9">
        <f>VLOOKUP($E$1,Tabla5[[#All],[name]:[id_1]],2,FALSE)</f>
        <v>77</v>
      </c>
      <c r="K48" s="9">
        <f>VLOOKUP($B$1,Tabla6[[#All],[name]:[id_2]],2)</f>
        <v>18</v>
      </c>
      <c r="L48" s="9">
        <f>VLOOKUP(Tabla410[[#This Row],[Sexo]],Tabla8[[#All],[name]:[gender_id]],2,FALSE)</f>
        <v>2</v>
      </c>
      <c r="M48" s="9" t="str">
        <f>IF(LEN(Tabla410[[#This Row],[centros]])&gt;0,VLOOKUP(Tabla410[[#This Row],[centros]],Tabla2[[#All],[Centros]:[ID]],2,FALSE),"NULL")</f>
        <v>NULL</v>
      </c>
      <c r="N48" s="9">
        <f>VLOOKUP(Tabla410[[#This Row],[Entidad]],Tabla3[[#All],[name]:[ID_2]],2,FALSE)</f>
        <v>14</v>
      </c>
      <c r="O48" s="9">
        <f>IFERROR(VLOOKUP(Tabla410[[#This Row],[CLAVE PI]], Tabla10[], 10, FALSE), 0)</f>
        <v>3247</v>
      </c>
      <c r="P48" s="36">
        <f>IFERROR(VLOOKUP(Tabla410[[#This Row],[CLAVE PS]], Tabla10[], 10, FALSE), 0)</f>
        <v>57</v>
      </c>
      <c r="Q48" s="42" t="str">
        <f t="shared" si="1"/>
        <v>INSERT INTO indicator_category_details (category_id, year_id, gender_id, center_id, state_id, PI, PS, status) VALUES (77, 18, 2, NULL, 14, 3247, 57, 1);</v>
      </c>
    </row>
    <row r="49" spans="1:17" ht="15.75" x14ac:dyDescent="0.25">
      <c r="A49" s="46"/>
      <c r="B49" s="53" t="s">
        <v>1046</v>
      </c>
      <c r="C49" s="53" t="s">
        <v>1050</v>
      </c>
      <c r="D49" s="32"/>
      <c r="E49" s="3" t="s">
        <v>1043</v>
      </c>
      <c r="F49" s="3" t="s">
        <v>662</v>
      </c>
      <c r="G49" s="4"/>
      <c r="H49" s="35" t="str">
        <f>Tabla410[[#This Row],[P1]] &amp; "|" &amp; $E$1 &amp; "|" &amp; Tabla410[[#This Row],[Sexo]] &amp; "|" &amp; Tabla410[[#This Row],[Entidad]]</f>
        <v>PI|Homicidio|Hombre|México</v>
      </c>
      <c r="I49" s="21" t="str">
        <f>Tabla410[[#This Row],[P2]] &amp; "|" &amp; $E$1 &amp; "|" &amp; Tabla410[[#This Row],[Sexo]] &amp; "|" &amp; Tabla410[[#This Row],[Entidad]]</f>
        <v>PS|Homicidio|Hombre|México</v>
      </c>
      <c r="J49" s="9">
        <f>VLOOKUP($E$1,Tabla5[[#All],[name]:[id_1]],2,FALSE)</f>
        <v>77</v>
      </c>
      <c r="K49" s="9">
        <f>VLOOKUP($B$1,Tabla6[[#All],[name]:[id_2]],2)</f>
        <v>18</v>
      </c>
      <c r="L49" s="9">
        <f>VLOOKUP(Tabla410[[#This Row],[Sexo]],Tabla8[[#All],[name]:[gender_id]],2,FALSE)</f>
        <v>2</v>
      </c>
      <c r="M49" s="9" t="str">
        <f>IF(LEN(Tabla410[[#This Row],[centros]])&gt;0,VLOOKUP(Tabla410[[#This Row],[centros]],Tabla2[[#All],[Centros]:[ID]],2,FALSE),"NULL")</f>
        <v>NULL</v>
      </c>
      <c r="N49" s="9">
        <f>VLOOKUP(Tabla410[[#This Row],[Entidad]],Tabla3[[#All],[name]:[ID_2]],2,FALSE)</f>
        <v>15</v>
      </c>
      <c r="O49" s="9">
        <f>IFERROR(VLOOKUP(Tabla410[[#This Row],[CLAVE PI]], Tabla10[], 10, FALSE), 0)</f>
        <v>8238</v>
      </c>
      <c r="P49" s="36">
        <f>IFERROR(VLOOKUP(Tabla410[[#This Row],[CLAVE PS]], Tabla10[], 10, FALSE), 0)</f>
        <v>44</v>
      </c>
      <c r="Q49" s="42" t="str">
        <f t="shared" si="1"/>
        <v>INSERT INTO indicator_category_details (category_id, year_id, gender_id, center_id, state_id, PI, PS, status) VALUES (77, 18, 2, NULL, 15, 8238, 44, 1);</v>
      </c>
    </row>
    <row r="50" spans="1:17" ht="15.75" x14ac:dyDescent="0.25">
      <c r="A50" s="46"/>
      <c r="B50" s="53" t="s">
        <v>1046</v>
      </c>
      <c r="C50" s="53" t="s">
        <v>1050</v>
      </c>
      <c r="D50" s="32"/>
      <c r="E50" s="3" t="s">
        <v>1043</v>
      </c>
      <c r="F50" s="3" t="s">
        <v>685</v>
      </c>
      <c r="G50" s="4"/>
      <c r="H50" s="35" t="str">
        <f>Tabla410[[#This Row],[P1]] &amp; "|" &amp; $E$1 &amp; "|" &amp; Tabla410[[#This Row],[Sexo]] &amp; "|" &amp; Tabla410[[#This Row],[Entidad]]</f>
        <v>PI|Homicidio|Hombre|Michoacán de Ocampo</v>
      </c>
      <c r="I50" s="21" t="str">
        <f>Tabla410[[#This Row],[P2]] &amp; "|" &amp; $E$1 &amp; "|" &amp; Tabla410[[#This Row],[Sexo]] &amp; "|" &amp; Tabla410[[#This Row],[Entidad]]</f>
        <v>PS|Homicidio|Hombre|Michoacán de Ocampo</v>
      </c>
      <c r="J50" s="9">
        <f>VLOOKUP($E$1,Tabla5[[#All],[name]:[id_1]],2,FALSE)</f>
        <v>77</v>
      </c>
      <c r="K50" s="9">
        <f>VLOOKUP($B$1,Tabla6[[#All],[name]:[id_2]],2)</f>
        <v>18</v>
      </c>
      <c r="L50" s="9">
        <f>VLOOKUP(Tabla410[[#This Row],[Sexo]],Tabla8[[#All],[name]:[gender_id]],2,FALSE)</f>
        <v>2</v>
      </c>
      <c r="M50" s="9" t="str">
        <f>IF(LEN(Tabla410[[#This Row],[centros]])&gt;0,VLOOKUP(Tabla410[[#This Row],[centros]],Tabla2[[#All],[Centros]:[ID]],2,FALSE),"NULL")</f>
        <v>NULL</v>
      </c>
      <c r="N50" s="9">
        <f>VLOOKUP(Tabla410[[#This Row],[Entidad]],Tabla3[[#All],[name]:[ID_2]],2,FALSE)</f>
        <v>16</v>
      </c>
      <c r="O50" s="9">
        <f>IFERROR(VLOOKUP(Tabla410[[#This Row],[CLAVE PI]], Tabla10[], 10, FALSE), 0)</f>
        <v>954</v>
      </c>
      <c r="P50" s="36">
        <f>IFERROR(VLOOKUP(Tabla410[[#This Row],[CLAVE PS]], Tabla10[], 10, FALSE), 0)</f>
        <v>0</v>
      </c>
      <c r="Q50" s="42" t="str">
        <f t="shared" si="1"/>
        <v>INSERT INTO indicator_category_details (category_id, year_id, gender_id, center_id, state_id, PI, PS, status) VALUES (77, 18, 2, NULL, 16, 954, 0, 1);</v>
      </c>
    </row>
    <row r="51" spans="1:17" ht="15.75" x14ac:dyDescent="0.25">
      <c r="A51" s="46"/>
      <c r="B51" s="53" t="s">
        <v>1046</v>
      </c>
      <c r="C51" s="53" t="s">
        <v>1050</v>
      </c>
      <c r="D51" s="32"/>
      <c r="E51" s="3" t="s">
        <v>1043</v>
      </c>
      <c r="F51" s="3" t="s">
        <v>698</v>
      </c>
      <c r="G51" s="4"/>
      <c r="H51" s="35" t="str">
        <f>Tabla410[[#This Row],[P1]] &amp; "|" &amp; $E$1 &amp; "|" &amp; Tabla410[[#This Row],[Sexo]] &amp; "|" &amp; Tabla410[[#This Row],[Entidad]]</f>
        <v>PI|Homicidio|Hombre|Morelos</v>
      </c>
      <c r="I51" s="21" t="str">
        <f>Tabla410[[#This Row],[P2]] &amp; "|" &amp; $E$1 &amp; "|" &amp; Tabla410[[#This Row],[Sexo]] &amp; "|" &amp; Tabla410[[#This Row],[Entidad]]</f>
        <v>PS|Homicidio|Hombre|Morelos</v>
      </c>
      <c r="J51" s="9">
        <f>VLOOKUP($E$1,Tabla5[[#All],[name]:[id_1]],2,FALSE)</f>
        <v>77</v>
      </c>
      <c r="K51" s="9">
        <f>VLOOKUP($B$1,Tabla6[[#All],[name]:[id_2]],2)</f>
        <v>18</v>
      </c>
      <c r="L51" s="9">
        <f>VLOOKUP(Tabla410[[#This Row],[Sexo]],Tabla8[[#All],[name]:[gender_id]],2,FALSE)</f>
        <v>2</v>
      </c>
      <c r="M51" s="9" t="str">
        <f>IF(LEN(Tabla410[[#This Row],[centros]])&gt;0,VLOOKUP(Tabla410[[#This Row],[centros]],Tabla2[[#All],[Centros]:[ID]],2,FALSE),"NULL")</f>
        <v>NULL</v>
      </c>
      <c r="N51" s="9">
        <f>VLOOKUP(Tabla410[[#This Row],[Entidad]],Tabla3[[#All],[name]:[ID_2]],2,FALSE)</f>
        <v>17</v>
      </c>
      <c r="O51" s="9">
        <f>IFERROR(VLOOKUP(Tabla410[[#This Row],[CLAVE PI]], Tabla10[], 10, FALSE), 0)</f>
        <v>664</v>
      </c>
      <c r="P51" s="36">
        <f>IFERROR(VLOOKUP(Tabla410[[#This Row],[CLAVE PS]], Tabla10[], 10, FALSE), 0)</f>
        <v>13</v>
      </c>
      <c r="Q51" s="42" t="str">
        <f t="shared" si="1"/>
        <v>INSERT INTO indicator_category_details (category_id, year_id, gender_id, center_id, state_id, PI, PS, status) VALUES (77, 18, 2, NULL, 17, 664, 13, 1);</v>
      </c>
    </row>
    <row r="52" spans="1:17" ht="15.75" x14ac:dyDescent="0.25">
      <c r="A52" s="46"/>
      <c r="B52" s="53" t="s">
        <v>1046</v>
      </c>
      <c r="C52" s="53" t="s">
        <v>1050</v>
      </c>
      <c r="D52" s="32"/>
      <c r="E52" s="3" t="s">
        <v>1043</v>
      </c>
      <c r="F52" s="3" t="s">
        <v>705</v>
      </c>
      <c r="G52" s="4"/>
      <c r="H52" s="35" t="str">
        <f>Tabla410[[#This Row],[P1]] &amp; "|" &amp; $E$1 &amp; "|" &amp; Tabla410[[#This Row],[Sexo]] &amp; "|" &amp; Tabla410[[#This Row],[Entidad]]</f>
        <v>PI|Homicidio|Hombre|Nayarit</v>
      </c>
      <c r="I52" s="21" t="str">
        <f>Tabla410[[#This Row],[P2]] &amp; "|" &amp; $E$1 &amp; "|" &amp; Tabla410[[#This Row],[Sexo]] &amp; "|" &amp; Tabla410[[#This Row],[Entidad]]</f>
        <v>PS|Homicidio|Hombre|Nayarit</v>
      </c>
      <c r="J52" s="9">
        <f>VLOOKUP($E$1,Tabla5[[#All],[name]:[id_1]],2,FALSE)</f>
        <v>77</v>
      </c>
      <c r="K52" s="9">
        <f>VLOOKUP($B$1,Tabla6[[#All],[name]:[id_2]],2)</f>
        <v>18</v>
      </c>
      <c r="L52" s="9">
        <f>VLOOKUP(Tabla410[[#This Row],[Sexo]],Tabla8[[#All],[name]:[gender_id]],2,FALSE)</f>
        <v>2</v>
      </c>
      <c r="M52" s="9" t="str">
        <f>IF(LEN(Tabla410[[#This Row],[centros]])&gt;0,VLOOKUP(Tabla410[[#This Row],[centros]],Tabla2[[#All],[Centros]:[ID]],2,FALSE),"NULL")</f>
        <v>NULL</v>
      </c>
      <c r="N52" s="9">
        <f>VLOOKUP(Tabla410[[#This Row],[Entidad]],Tabla3[[#All],[name]:[ID_2]],2,FALSE)</f>
        <v>18</v>
      </c>
      <c r="O52" s="9">
        <f>IFERROR(VLOOKUP(Tabla410[[#This Row],[CLAVE PI]], Tabla10[], 10, FALSE), 0)</f>
        <v>181</v>
      </c>
      <c r="P52" s="36">
        <f>IFERROR(VLOOKUP(Tabla410[[#This Row],[CLAVE PS]], Tabla10[], 10, FALSE), 0)</f>
        <v>7</v>
      </c>
      <c r="Q52" s="42" t="str">
        <f t="shared" si="1"/>
        <v>INSERT INTO indicator_category_details (category_id, year_id, gender_id, center_id, state_id, PI, PS, status) VALUES (77, 18, 2, NULL, 18, 181, 7, 1);</v>
      </c>
    </row>
    <row r="53" spans="1:17" ht="15.75" x14ac:dyDescent="0.25">
      <c r="A53" s="46"/>
      <c r="B53" s="53" t="s">
        <v>1046</v>
      </c>
      <c r="C53" s="53" t="s">
        <v>1050</v>
      </c>
      <c r="D53" s="32"/>
      <c r="E53" s="3" t="s">
        <v>1043</v>
      </c>
      <c r="F53" s="3" t="s">
        <v>710</v>
      </c>
      <c r="G53" s="4"/>
      <c r="H53" s="35" t="str">
        <f>Tabla410[[#This Row],[P1]] &amp; "|" &amp; $E$1 &amp; "|" &amp; Tabla410[[#This Row],[Sexo]] &amp; "|" &amp; Tabla410[[#This Row],[Entidad]]</f>
        <v>PI|Homicidio|Hombre|Nuevo León</v>
      </c>
      <c r="I53" s="21" t="str">
        <f>Tabla410[[#This Row],[P2]] &amp; "|" &amp; $E$1 &amp; "|" &amp; Tabla410[[#This Row],[Sexo]] &amp; "|" &amp; Tabla410[[#This Row],[Entidad]]</f>
        <v>PS|Homicidio|Hombre|Nuevo León</v>
      </c>
      <c r="J53" s="9">
        <f>VLOOKUP($E$1,Tabla5[[#All],[name]:[id_1]],2,FALSE)</f>
        <v>77</v>
      </c>
      <c r="K53" s="9">
        <f>VLOOKUP($B$1,Tabla6[[#All],[name]:[id_2]],2)</f>
        <v>18</v>
      </c>
      <c r="L53" s="9">
        <f>VLOOKUP(Tabla410[[#This Row],[Sexo]],Tabla8[[#All],[name]:[gender_id]],2,FALSE)</f>
        <v>2</v>
      </c>
      <c r="M53" s="9" t="str">
        <f>IF(LEN(Tabla410[[#This Row],[centros]])&gt;0,VLOOKUP(Tabla410[[#This Row],[centros]],Tabla2[[#All],[Centros]:[ID]],2,FALSE),"NULL")</f>
        <v>NULL</v>
      </c>
      <c r="N53" s="9">
        <f>VLOOKUP(Tabla410[[#This Row],[Entidad]],Tabla3[[#All],[name]:[ID_2]],2,FALSE)</f>
        <v>19</v>
      </c>
      <c r="O53" s="9">
        <f>IFERROR(VLOOKUP(Tabla410[[#This Row],[CLAVE PI]], Tabla10[], 10, FALSE), 0)</f>
        <v>1580</v>
      </c>
      <c r="P53" s="36">
        <f>IFERROR(VLOOKUP(Tabla410[[#This Row],[CLAVE PS]], Tabla10[], 10, FALSE), 0)</f>
        <v>36</v>
      </c>
      <c r="Q53" s="42" t="str">
        <f t="shared" si="1"/>
        <v>INSERT INTO indicator_category_details (category_id, year_id, gender_id, center_id, state_id, PI, PS, status) VALUES (77, 18, 2, NULL, 19, 1580, 36, 1);</v>
      </c>
    </row>
    <row r="54" spans="1:17" ht="15.75" x14ac:dyDescent="0.25">
      <c r="A54" s="46"/>
      <c r="B54" s="53" t="s">
        <v>1046</v>
      </c>
      <c r="C54" s="53" t="s">
        <v>1050</v>
      </c>
      <c r="D54" s="32"/>
      <c r="E54" s="3" t="s">
        <v>1043</v>
      </c>
      <c r="F54" s="3" t="s">
        <v>716</v>
      </c>
      <c r="G54" s="4"/>
      <c r="H54" s="35" t="str">
        <f>Tabla410[[#This Row],[P1]] &amp; "|" &amp; $E$1 &amp; "|" &amp; Tabla410[[#This Row],[Sexo]] &amp; "|" &amp; Tabla410[[#This Row],[Entidad]]</f>
        <v>PI|Homicidio|Hombre|Oaxaca</v>
      </c>
      <c r="I54" s="21" t="str">
        <f>Tabla410[[#This Row],[P2]] &amp; "|" &amp; $E$1 &amp; "|" &amp; Tabla410[[#This Row],[Sexo]] &amp; "|" &amp; Tabla410[[#This Row],[Entidad]]</f>
        <v>PS|Homicidio|Hombre|Oaxaca</v>
      </c>
      <c r="J54" s="9">
        <f>VLOOKUP($E$1,Tabla5[[#All],[name]:[id_1]],2,FALSE)</f>
        <v>77</v>
      </c>
      <c r="K54" s="9">
        <f>VLOOKUP($B$1,Tabla6[[#All],[name]:[id_2]],2)</f>
        <v>18</v>
      </c>
      <c r="L54" s="9">
        <f>VLOOKUP(Tabla410[[#This Row],[Sexo]],Tabla8[[#All],[name]:[gender_id]],2,FALSE)</f>
        <v>2</v>
      </c>
      <c r="M54" s="9" t="str">
        <f>IF(LEN(Tabla410[[#This Row],[centros]])&gt;0,VLOOKUP(Tabla410[[#This Row],[centros]],Tabla2[[#All],[Centros]:[ID]],2,FALSE),"NULL")</f>
        <v>NULL</v>
      </c>
      <c r="N54" s="9">
        <f>VLOOKUP(Tabla410[[#This Row],[Entidad]],Tabla3[[#All],[name]:[ID_2]],2,FALSE)</f>
        <v>20</v>
      </c>
      <c r="O54" s="9">
        <f>IFERROR(VLOOKUP(Tabla410[[#This Row],[CLAVE PI]], Tabla10[], 10, FALSE), 0)</f>
        <v>1203</v>
      </c>
      <c r="P54" s="36">
        <f>IFERROR(VLOOKUP(Tabla410[[#This Row],[CLAVE PS]], Tabla10[], 10, FALSE), 0)</f>
        <v>15</v>
      </c>
      <c r="Q54" s="42" t="str">
        <f t="shared" si="1"/>
        <v>INSERT INTO indicator_category_details (category_id, year_id, gender_id, center_id, state_id, PI, PS, status) VALUES (77, 18, 2, NULL, 20, 1203, 15, 1);</v>
      </c>
    </row>
    <row r="55" spans="1:17" ht="15.75" x14ac:dyDescent="0.25">
      <c r="A55" s="46"/>
      <c r="B55" s="53" t="s">
        <v>1046</v>
      </c>
      <c r="C55" s="53" t="s">
        <v>1050</v>
      </c>
      <c r="D55" s="32"/>
      <c r="E55" s="3" t="s">
        <v>1043</v>
      </c>
      <c r="F55" s="3" t="s">
        <v>727</v>
      </c>
      <c r="G55" s="4"/>
      <c r="H55" s="35" t="str">
        <f>Tabla410[[#This Row],[P1]] &amp; "|" &amp; $E$1 &amp; "|" &amp; Tabla410[[#This Row],[Sexo]] &amp; "|" &amp; Tabla410[[#This Row],[Entidad]]</f>
        <v>PI|Homicidio|Hombre|Puebla</v>
      </c>
      <c r="I55" s="21" t="str">
        <f>Tabla410[[#This Row],[P2]] &amp; "|" &amp; $E$1 &amp; "|" &amp; Tabla410[[#This Row],[Sexo]] &amp; "|" &amp; Tabla410[[#This Row],[Entidad]]</f>
        <v>PS|Homicidio|Hombre|Puebla</v>
      </c>
      <c r="J55" s="9">
        <f>VLOOKUP($E$1,Tabla5[[#All],[name]:[id_1]],2,FALSE)</f>
        <v>77</v>
      </c>
      <c r="K55" s="9">
        <f>VLOOKUP($B$1,Tabla6[[#All],[name]:[id_2]],2)</f>
        <v>18</v>
      </c>
      <c r="L55" s="9">
        <f>VLOOKUP(Tabla410[[#This Row],[Sexo]],Tabla8[[#All],[name]:[gender_id]],2,FALSE)</f>
        <v>2</v>
      </c>
      <c r="M55" s="9" t="str">
        <f>IF(LEN(Tabla410[[#This Row],[centros]])&gt;0,VLOOKUP(Tabla410[[#This Row],[centros]],Tabla2[[#All],[Centros]:[ID]],2,FALSE),"NULL")</f>
        <v>NULL</v>
      </c>
      <c r="N55" s="9">
        <f>VLOOKUP(Tabla410[[#This Row],[Entidad]],Tabla3[[#All],[name]:[ID_2]],2,FALSE)</f>
        <v>21</v>
      </c>
      <c r="O55" s="9">
        <f>IFERROR(VLOOKUP(Tabla410[[#This Row],[CLAVE PI]], Tabla10[], 10, FALSE), 0)</f>
        <v>1077</v>
      </c>
      <c r="P55" s="36">
        <f>IFERROR(VLOOKUP(Tabla410[[#This Row],[CLAVE PS]], Tabla10[], 10, FALSE), 0)</f>
        <v>20</v>
      </c>
      <c r="Q55" s="42" t="str">
        <f t="shared" si="1"/>
        <v>INSERT INTO indicator_category_details (category_id, year_id, gender_id, center_id, state_id, PI, PS, status) VALUES (77, 18, 2, NULL, 21, 1077, 20, 1);</v>
      </c>
    </row>
    <row r="56" spans="1:17" ht="15.75" x14ac:dyDescent="0.25">
      <c r="A56" s="46"/>
      <c r="B56" s="53" t="s">
        <v>1046</v>
      </c>
      <c r="C56" s="53" t="s">
        <v>1050</v>
      </c>
      <c r="D56" s="32"/>
      <c r="E56" s="3" t="s">
        <v>1043</v>
      </c>
      <c r="F56" s="3" t="s">
        <v>731</v>
      </c>
      <c r="G56" s="4"/>
      <c r="H56" s="35" t="str">
        <f>Tabla410[[#This Row],[P1]] &amp; "|" &amp; $E$1 &amp; "|" &amp; Tabla410[[#This Row],[Sexo]] &amp; "|" &amp; Tabla410[[#This Row],[Entidad]]</f>
        <v>PI|Homicidio|Hombre|Querétaro</v>
      </c>
      <c r="I56" s="21" t="str">
        <f>Tabla410[[#This Row],[P2]] &amp; "|" &amp; $E$1 &amp; "|" &amp; Tabla410[[#This Row],[Sexo]] &amp; "|" &amp; Tabla410[[#This Row],[Entidad]]</f>
        <v>PS|Homicidio|Hombre|Querétaro</v>
      </c>
      <c r="J56" s="9">
        <f>VLOOKUP($E$1,Tabla5[[#All],[name]:[id_1]],2,FALSE)</f>
        <v>77</v>
      </c>
      <c r="K56" s="9">
        <f>VLOOKUP($B$1,Tabla6[[#All],[name]:[id_2]],2)</f>
        <v>18</v>
      </c>
      <c r="L56" s="9">
        <f>VLOOKUP(Tabla410[[#This Row],[Sexo]],Tabla8[[#All],[name]:[gender_id]],2,FALSE)</f>
        <v>2</v>
      </c>
      <c r="M56" s="9" t="str">
        <f>IF(LEN(Tabla410[[#This Row],[centros]])&gt;0,VLOOKUP(Tabla410[[#This Row],[centros]],Tabla2[[#All],[Centros]:[ID]],2,FALSE),"NULL")</f>
        <v>NULL</v>
      </c>
      <c r="N56" s="9">
        <f>VLOOKUP(Tabla410[[#This Row],[Entidad]],Tabla3[[#All],[name]:[ID_2]],2,FALSE)</f>
        <v>22</v>
      </c>
      <c r="O56" s="9">
        <f>IFERROR(VLOOKUP(Tabla410[[#This Row],[CLAVE PI]], Tabla10[], 10, FALSE), 0)</f>
        <v>711</v>
      </c>
      <c r="P56" s="36">
        <f>IFERROR(VLOOKUP(Tabla410[[#This Row],[CLAVE PS]], Tabla10[], 10, FALSE), 0)</f>
        <v>20</v>
      </c>
      <c r="Q56" s="42" t="str">
        <f t="shared" si="1"/>
        <v>INSERT INTO indicator_category_details (category_id, year_id, gender_id, center_id, state_id, PI, PS, status) VALUES (77, 18, 2, NULL, 22, 711, 20, 1);</v>
      </c>
    </row>
    <row r="57" spans="1:17" ht="15.75" x14ac:dyDescent="0.25">
      <c r="A57" s="46"/>
      <c r="B57" s="53" t="s">
        <v>1046</v>
      </c>
      <c r="C57" s="53" t="s">
        <v>1050</v>
      </c>
      <c r="D57" s="32"/>
      <c r="E57" s="3" t="s">
        <v>1043</v>
      </c>
      <c r="F57" s="3" t="s">
        <v>737</v>
      </c>
      <c r="G57" s="4"/>
      <c r="H57" s="35" t="str">
        <f>Tabla410[[#This Row],[P1]] &amp; "|" &amp; $E$1 &amp; "|" &amp; Tabla410[[#This Row],[Sexo]] &amp; "|" &amp; Tabla410[[#This Row],[Entidad]]</f>
        <v>PI|Homicidio|Hombre|Quintana Roo</v>
      </c>
      <c r="I57" s="21" t="str">
        <f>Tabla410[[#This Row],[P2]] &amp; "|" &amp; $E$1 &amp; "|" &amp; Tabla410[[#This Row],[Sexo]] &amp; "|" &amp; Tabla410[[#This Row],[Entidad]]</f>
        <v>PS|Homicidio|Hombre|Quintana Roo</v>
      </c>
      <c r="J57" s="9">
        <f>VLOOKUP($E$1,Tabla5[[#All],[name]:[id_1]],2,FALSE)</f>
        <v>77</v>
      </c>
      <c r="K57" s="9">
        <f>VLOOKUP($B$1,Tabla6[[#All],[name]:[id_2]],2)</f>
        <v>18</v>
      </c>
      <c r="L57" s="9">
        <f>VLOOKUP(Tabla410[[#This Row],[Sexo]],Tabla8[[#All],[name]:[gender_id]],2,FALSE)</f>
        <v>2</v>
      </c>
      <c r="M57" s="9" t="str">
        <f>IF(LEN(Tabla410[[#This Row],[centros]])&gt;0,VLOOKUP(Tabla410[[#This Row],[centros]],Tabla2[[#All],[Centros]:[ID]],2,FALSE),"NULL")</f>
        <v>NULL</v>
      </c>
      <c r="N57" s="9">
        <f>VLOOKUP(Tabla410[[#This Row],[Entidad]],Tabla3[[#All],[name]:[ID_2]],2,FALSE)</f>
        <v>23</v>
      </c>
      <c r="O57" s="9">
        <f>IFERROR(VLOOKUP(Tabla410[[#This Row],[CLAVE PI]], Tabla10[], 10, FALSE), 0)</f>
        <v>744</v>
      </c>
      <c r="P57" s="36">
        <f>IFERROR(VLOOKUP(Tabla410[[#This Row],[CLAVE PS]], Tabla10[], 10, FALSE), 0)</f>
        <v>4</v>
      </c>
      <c r="Q57" s="42" t="str">
        <f t="shared" si="1"/>
        <v>INSERT INTO indicator_category_details (category_id, year_id, gender_id, center_id, state_id, PI, PS, status) VALUES (77, 18, 2, NULL, 23, 744, 4, 1);</v>
      </c>
    </row>
    <row r="58" spans="1:17" ht="15.75" x14ac:dyDescent="0.25">
      <c r="A58" s="46"/>
      <c r="B58" s="53" t="s">
        <v>1046</v>
      </c>
      <c r="C58" s="53" t="s">
        <v>1050</v>
      </c>
      <c r="D58" s="32"/>
      <c r="E58" s="3" t="s">
        <v>1043</v>
      </c>
      <c r="F58" s="3" t="s">
        <v>741</v>
      </c>
      <c r="G58" s="4"/>
      <c r="H58" s="35" t="str">
        <f>Tabla410[[#This Row],[P1]] &amp; "|" &amp; $E$1 &amp; "|" &amp; Tabla410[[#This Row],[Sexo]] &amp; "|" &amp; Tabla410[[#This Row],[Entidad]]</f>
        <v>PI|Homicidio|Hombre|San Luis Potosí</v>
      </c>
      <c r="I58" s="21" t="str">
        <f>Tabla410[[#This Row],[P2]] &amp; "|" &amp; $E$1 &amp; "|" &amp; Tabla410[[#This Row],[Sexo]] &amp; "|" &amp; Tabla410[[#This Row],[Entidad]]</f>
        <v>PS|Homicidio|Hombre|San Luis Potosí</v>
      </c>
      <c r="J58" s="9">
        <f>VLOOKUP($E$1,Tabla5[[#All],[name]:[id_1]],2,FALSE)</f>
        <v>77</v>
      </c>
      <c r="K58" s="9">
        <f>VLOOKUP($B$1,Tabla6[[#All],[name]:[id_2]],2)</f>
        <v>18</v>
      </c>
      <c r="L58" s="9">
        <f>VLOOKUP(Tabla410[[#This Row],[Sexo]],Tabla8[[#All],[name]:[gender_id]],2,FALSE)</f>
        <v>2</v>
      </c>
      <c r="M58" s="9" t="str">
        <f>IF(LEN(Tabla410[[#This Row],[centros]])&gt;0,VLOOKUP(Tabla410[[#This Row],[centros]],Tabla2[[#All],[Centros]:[ID]],2,FALSE),"NULL")</f>
        <v>NULL</v>
      </c>
      <c r="N58" s="9">
        <f>VLOOKUP(Tabla410[[#This Row],[Entidad]],Tabla3[[#All],[name]:[ID_2]],2,FALSE)</f>
        <v>24</v>
      </c>
      <c r="O58" s="9">
        <f>IFERROR(VLOOKUP(Tabla410[[#This Row],[CLAVE PI]], Tabla10[], 10, FALSE), 0)</f>
        <v>896</v>
      </c>
      <c r="P58" s="36">
        <f>IFERROR(VLOOKUP(Tabla410[[#This Row],[CLAVE PS]], Tabla10[], 10, FALSE), 0)</f>
        <v>6</v>
      </c>
      <c r="Q58" s="42" t="str">
        <f t="shared" si="1"/>
        <v>INSERT INTO indicator_category_details (category_id, year_id, gender_id, center_id, state_id, PI, PS, status) VALUES (77, 18, 2, NULL, 24, 896, 6, 1);</v>
      </c>
    </row>
    <row r="59" spans="1:17" ht="15.75" x14ac:dyDescent="0.25">
      <c r="A59" s="46"/>
      <c r="B59" s="53" t="s">
        <v>1046</v>
      </c>
      <c r="C59" s="53" t="s">
        <v>1050</v>
      </c>
      <c r="D59" s="32"/>
      <c r="E59" s="3" t="s">
        <v>1043</v>
      </c>
      <c r="F59" s="3" t="s">
        <v>749</v>
      </c>
      <c r="G59" s="4"/>
      <c r="H59" s="35" t="str">
        <f>Tabla410[[#This Row],[P1]] &amp; "|" &amp; $E$1 &amp; "|" &amp; Tabla410[[#This Row],[Sexo]] &amp; "|" &amp; Tabla410[[#This Row],[Entidad]]</f>
        <v>PI|Homicidio|Hombre|Sinaloa</v>
      </c>
      <c r="I59" s="21" t="str">
        <f>Tabla410[[#This Row],[P2]] &amp; "|" &amp; $E$1 &amp; "|" &amp; Tabla410[[#This Row],[Sexo]] &amp; "|" &amp; Tabla410[[#This Row],[Entidad]]</f>
        <v>PS|Homicidio|Hombre|Sinaloa</v>
      </c>
      <c r="J59" s="9">
        <f>VLOOKUP($E$1,Tabla5[[#All],[name]:[id_1]],2,FALSE)</f>
        <v>77</v>
      </c>
      <c r="K59" s="9">
        <f>VLOOKUP($B$1,Tabla6[[#All],[name]:[id_2]],2)</f>
        <v>18</v>
      </c>
      <c r="L59" s="9">
        <f>VLOOKUP(Tabla410[[#This Row],[Sexo]],Tabla8[[#All],[name]:[gender_id]],2,FALSE)</f>
        <v>2</v>
      </c>
      <c r="M59" s="9" t="str">
        <f>IF(LEN(Tabla410[[#This Row],[centros]])&gt;0,VLOOKUP(Tabla410[[#This Row],[centros]],Tabla2[[#All],[Centros]:[ID]],2,FALSE),"NULL")</f>
        <v>NULL</v>
      </c>
      <c r="N59" s="9">
        <f>VLOOKUP(Tabla410[[#This Row],[Entidad]],Tabla3[[#All],[name]:[ID_2]],2,FALSE)</f>
        <v>25</v>
      </c>
      <c r="O59" s="9">
        <f>IFERROR(VLOOKUP(Tabla410[[#This Row],[CLAVE PI]], Tabla10[], 10, FALSE), 0)</f>
        <v>598</v>
      </c>
      <c r="P59" s="36">
        <f>IFERROR(VLOOKUP(Tabla410[[#This Row],[CLAVE PS]], Tabla10[], 10, FALSE), 0)</f>
        <v>3</v>
      </c>
      <c r="Q59" s="42" t="str">
        <f t="shared" si="1"/>
        <v>INSERT INTO indicator_category_details (category_id, year_id, gender_id, center_id, state_id, PI, PS, status) VALUES (77, 18, 2, NULL, 25, 598, 3, 1);</v>
      </c>
    </row>
    <row r="60" spans="1:17" ht="15.75" x14ac:dyDescent="0.25">
      <c r="A60" s="46"/>
      <c r="B60" s="53" t="s">
        <v>1046</v>
      </c>
      <c r="C60" s="53" t="s">
        <v>1050</v>
      </c>
      <c r="D60" s="32"/>
      <c r="E60" s="3" t="s">
        <v>1043</v>
      </c>
      <c r="F60" s="3" t="s">
        <v>755</v>
      </c>
      <c r="G60" s="4"/>
      <c r="H60" s="35" t="str">
        <f>Tabla410[[#This Row],[P1]] &amp; "|" &amp; $E$1 &amp; "|" &amp; Tabla410[[#This Row],[Sexo]] &amp; "|" &amp; Tabla410[[#This Row],[Entidad]]</f>
        <v>PI|Homicidio|Hombre|Sonora</v>
      </c>
      <c r="I60" s="21" t="str">
        <f>Tabla410[[#This Row],[P2]] &amp; "|" &amp; $E$1 &amp; "|" &amp; Tabla410[[#This Row],[Sexo]] &amp; "|" &amp; Tabla410[[#This Row],[Entidad]]</f>
        <v>PS|Homicidio|Hombre|Sonora</v>
      </c>
      <c r="J60" s="9">
        <f>VLOOKUP($E$1,Tabla5[[#All],[name]:[id_1]],2,FALSE)</f>
        <v>77</v>
      </c>
      <c r="K60" s="9">
        <f>VLOOKUP($B$1,Tabla6[[#All],[name]:[id_2]],2)</f>
        <v>18</v>
      </c>
      <c r="L60" s="9">
        <f>VLOOKUP(Tabla410[[#This Row],[Sexo]],Tabla8[[#All],[name]:[gender_id]],2,FALSE)</f>
        <v>2</v>
      </c>
      <c r="M60" s="9" t="str">
        <f>IF(LEN(Tabla410[[#This Row],[centros]])&gt;0,VLOOKUP(Tabla410[[#This Row],[centros]],Tabla2[[#All],[Centros]:[ID]],2,FALSE),"NULL")</f>
        <v>NULL</v>
      </c>
      <c r="N60" s="9">
        <f>VLOOKUP(Tabla410[[#This Row],[Entidad]],Tabla3[[#All],[name]:[ID_2]],2,FALSE)</f>
        <v>26</v>
      </c>
      <c r="O60" s="9">
        <f>IFERROR(VLOOKUP(Tabla410[[#This Row],[CLAVE PI]], Tabla10[], 10, FALSE), 0)</f>
        <v>1658</v>
      </c>
      <c r="P60" s="36">
        <f>IFERROR(VLOOKUP(Tabla410[[#This Row],[CLAVE PS]], Tabla10[], 10, FALSE), 0)</f>
        <v>51</v>
      </c>
      <c r="Q60" s="42" t="str">
        <f t="shared" si="1"/>
        <v>INSERT INTO indicator_category_details (category_id, year_id, gender_id, center_id, state_id, PI, PS, status) VALUES (77, 18, 2, NULL, 26, 1658, 51, 1);</v>
      </c>
    </row>
    <row r="61" spans="1:17" ht="15.75" x14ac:dyDescent="0.25">
      <c r="A61" s="46"/>
      <c r="B61" s="53" t="s">
        <v>1046</v>
      </c>
      <c r="C61" s="53" t="s">
        <v>1050</v>
      </c>
      <c r="D61" s="32"/>
      <c r="E61" s="3" t="s">
        <v>1043</v>
      </c>
      <c r="F61" s="3" t="s">
        <v>775</v>
      </c>
      <c r="G61" s="4"/>
      <c r="H61" s="35" t="str">
        <f>Tabla410[[#This Row],[P1]] &amp; "|" &amp; $E$1 &amp; "|" &amp; Tabla410[[#This Row],[Sexo]] &amp; "|" &amp; Tabla410[[#This Row],[Entidad]]</f>
        <v>PI|Homicidio|Hombre|Tabasco</v>
      </c>
      <c r="I61" s="21" t="str">
        <f>Tabla410[[#This Row],[P2]] &amp; "|" &amp; $E$1 &amp; "|" &amp; Tabla410[[#This Row],[Sexo]] &amp; "|" &amp; Tabla410[[#This Row],[Entidad]]</f>
        <v>PS|Homicidio|Hombre|Tabasco</v>
      </c>
      <c r="J61" s="9">
        <f>VLOOKUP($E$1,Tabla5[[#All],[name]:[id_1]],2,FALSE)</f>
        <v>77</v>
      </c>
      <c r="K61" s="9">
        <f>VLOOKUP($B$1,Tabla6[[#All],[name]:[id_2]],2)</f>
        <v>18</v>
      </c>
      <c r="L61" s="9">
        <f>VLOOKUP(Tabla410[[#This Row],[Sexo]],Tabla8[[#All],[name]:[gender_id]],2,FALSE)</f>
        <v>2</v>
      </c>
      <c r="M61" s="9" t="str">
        <f>IF(LEN(Tabla410[[#This Row],[centros]])&gt;0,VLOOKUP(Tabla410[[#This Row],[centros]],Tabla2[[#All],[Centros]:[ID]],2,FALSE),"NULL")</f>
        <v>NULL</v>
      </c>
      <c r="N61" s="9">
        <f>VLOOKUP(Tabla410[[#This Row],[Entidad]],Tabla3[[#All],[name]:[ID_2]],2,FALSE)</f>
        <v>27</v>
      </c>
      <c r="O61" s="9">
        <f>IFERROR(VLOOKUP(Tabla410[[#This Row],[CLAVE PI]], Tabla10[], 10, FALSE), 0)</f>
        <v>644</v>
      </c>
      <c r="P61" s="36">
        <f>IFERROR(VLOOKUP(Tabla410[[#This Row],[CLAVE PS]], Tabla10[], 10, FALSE), 0)</f>
        <v>1</v>
      </c>
      <c r="Q61" s="42" t="str">
        <f t="shared" si="1"/>
        <v>INSERT INTO indicator_category_details (category_id, year_id, gender_id, center_id, state_id, PI, PS, status) VALUES (77, 18, 2, NULL, 27, 644, 1, 1);</v>
      </c>
    </row>
    <row r="62" spans="1:17" ht="15.75" x14ac:dyDescent="0.25">
      <c r="A62" s="46"/>
      <c r="B62" s="53" t="s">
        <v>1046</v>
      </c>
      <c r="C62" s="53" t="s">
        <v>1050</v>
      </c>
      <c r="D62" s="32"/>
      <c r="E62" s="3" t="s">
        <v>1043</v>
      </c>
      <c r="F62" s="3" t="s">
        <v>785</v>
      </c>
      <c r="G62" s="4"/>
      <c r="H62" s="35" t="str">
        <f>Tabla410[[#This Row],[P1]] &amp; "|" &amp; $E$1 &amp; "|" &amp; Tabla410[[#This Row],[Sexo]] &amp; "|" &amp; Tabla410[[#This Row],[Entidad]]</f>
        <v>PI|Homicidio|Hombre|Tamaulipas</v>
      </c>
      <c r="I62" s="21" t="str">
        <f>Tabla410[[#This Row],[P2]] &amp; "|" &amp; $E$1 &amp; "|" &amp; Tabla410[[#This Row],[Sexo]] &amp; "|" &amp; Tabla410[[#This Row],[Entidad]]</f>
        <v>PS|Homicidio|Hombre|Tamaulipas</v>
      </c>
      <c r="J62" s="9">
        <f>VLOOKUP($E$1,Tabla5[[#All],[name]:[id_1]],2,FALSE)</f>
        <v>77</v>
      </c>
      <c r="K62" s="9">
        <f>VLOOKUP($B$1,Tabla6[[#All],[name]:[id_2]],2)</f>
        <v>18</v>
      </c>
      <c r="L62" s="9">
        <f>VLOOKUP(Tabla410[[#This Row],[Sexo]],Tabla8[[#All],[name]:[gender_id]],2,FALSE)</f>
        <v>2</v>
      </c>
      <c r="M62" s="9" t="str">
        <f>IF(LEN(Tabla410[[#This Row],[centros]])&gt;0,VLOOKUP(Tabla410[[#This Row],[centros]],Tabla2[[#All],[Centros]:[ID]],2,FALSE),"NULL")</f>
        <v>NULL</v>
      </c>
      <c r="N62" s="9">
        <f>VLOOKUP(Tabla410[[#This Row],[Entidad]],Tabla3[[#All],[name]:[ID_2]],2,FALSE)</f>
        <v>28</v>
      </c>
      <c r="O62" s="9">
        <f>IFERROR(VLOOKUP(Tabla410[[#This Row],[CLAVE PI]], Tabla10[], 10, FALSE), 0)</f>
        <v>842</v>
      </c>
      <c r="P62" s="36">
        <f>IFERROR(VLOOKUP(Tabla410[[#This Row],[CLAVE PS]], Tabla10[], 10, FALSE), 0)</f>
        <v>6</v>
      </c>
      <c r="Q62" s="42" t="str">
        <f t="shared" si="1"/>
        <v>INSERT INTO indicator_category_details (category_id, year_id, gender_id, center_id, state_id, PI, PS, status) VALUES (77, 18, 2, NULL, 28, 842, 6, 1);</v>
      </c>
    </row>
    <row r="63" spans="1:17" ht="15.75" x14ac:dyDescent="0.25">
      <c r="A63" s="46"/>
      <c r="B63" s="53" t="s">
        <v>1046</v>
      </c>
      <c r="C63" s="53" t="s">
        <v>1050</v>
      </c>
      <c r="D63" s="32"/>
      <c r="E63" s="3" t="s">
        <v>1043</v>
      </c>
      <c r="F63" s="3" t="s">
        <v>797</v>
      </c>
      <c r="G63" s="4"/>
      <c r="H63" s="35" t="str">
        <f>Tabla410[[#This Row],[P1]] &amp; "|" &amp; $E$1 &amp; "|" &amp; Tabla410[[#This Row],[Sexo]] &amp; "|" &amp; Tabla410[[#This Row],[Entidad]]</f>
        <v>PI|Homicidio|Hombre|Tlaxcala</v>
      </c>
      <c r="I63" s="21" t="str">
        <f>Tabla410[[#This Row],[P2]] &amp; "|" &amp; $E$1 &amp; "|" &amp; Tabla410[[#This Row],[Sexo]] &amp; "|" &amp; Tabla410[[#This Row],[Entidad]]</f>
        <v>PS|Homicidio|Hombre|Tlaxcala</v>
      </c>
      <c r="J63" s="9">
        <f>VLOOKUP($E$1,Tabla5[[#All],[name]:[id_1]],2,FALSE)</f>
        <v>77</v>
      </c>
      <c r="K63" s="9">
        <f>VLOOKUP($B$1,Tabla6[[#All],[name]:[id_2]],2)</f>
        <v>18</v>
      </c>
      <c r="L63" s="9">
        <f>VLOOKUP(Tabla410[[#This Row],[Sexo]],Tabla8[[#All],[name]:[gender_id]],2,FALSE)</f>
        <v>2</v>
      </c>
      <c r="M63" s="9" t="str">
        <f>IF(LEN(Tabla410[[#This Row],[centros]])&gt;0,VLOOKUP(Tabla410[[#This Row],[centros]],Tabla2[[#All],[Centros]:[ID]],2,FALSE),"NULL")</f>
        <v>NULL</v>
      </c>
      <c r="N63" s="9">
        <f>VLOOKUP(Tabla410[[#This Row],[Entidad]],Tabla3[[#All],[name]:[ID_2]],2,FALSE)</f>
        <v>29</v>
      </c>
      <c r="O63" s="9">
        <f>IFERROR(VLOOKUP(Tabla410[[#This Row],[CLAVE PI]], Tabla10[], 10, FALSE), 0)</f>
        <v>158</v>
      </c>
      <c r="P63" s="36">
        <f>IFERROR(VLOOKUP(Tabla410[[#This Row],[CLAVE PS]], Tabla10[], 10, FALSE), 0)</f>
        <v>4</v>
      </c>
      <c r="Q63" s="42" t="str">
        <f t="shared" si="1"/>
        <v>INSERT INTO indicator_category_details (category_id, year_id, gender_id, center_id, state_id, PI, PS, status) VALUES (77, 18, 2, NULL, 29, 158, 4, 1);</v>
      </c>
    </row>
    <row r="64" spans="1:17" ht="15.75" x14ac:dyDescent="0.25">
      <c r="A64" s="46"/>
      <c r="B64" s="53" t="s">
        <v>1046</v>
      </c>
      <c r="C64" s="53" t="s">
        <v>1050</v>
      </c>
      <c r="D64" s="32"/>
      <c r="E64" s="3" t="s">
        <v>1043</v>
      </c>
      <c r="F64" s="3" t="s">
        <v>802</v>
      </c>
      <c r="G64" s="4"/>
      <c r="H64" s="35" t="str">
        <f>Tabla410[[#This Row],[P1]] &amp; "|" &amp; $E$1 &amp; "|" &amp; Tabla410[[#This Row],[Sexo]] &amp; "|" &amp; Tabla410[[#This Row],[Entidad]]</f>
        <v>PI|Homicidio|Hombre|Veracruz de Ignacio de la Llave</v>
      </c>
      <c r="I64" s="21" t="str">
        <f>Tabla410[[#This Row],[P2]] &amp; "|" &amp; $E$1 &amp; "|" &amp; Tabla410[[#This Row],[Sexo]] &amp; "|" &amp; Tabla410[[#This Row],[Entidad]]</f>
        <v>PS|Homicidio|Hombre|Veracruz de Ignacio de la Llave</v>
      </c>
      <c r="J64" s="9">
        <f>VLOOKUP($E$1,Tabla5[[#All],[name]:[id_1]],2,FALSE)</f>
        <v>77</v>
      </c>
      <c r="K64" s="9">
        <f>VLOOKUP($B$1,Tabla6[[#All],[name]:[id_2]],2)</f>
        <v>18</v>
      </c>
      <c r="L64" s="9">
        <f>VLOOKUP(Tabla410[[#This Row],[Sexo]],Tabla8[[#All],[name]:[gender_id]],2,FALSE)</f>
        <v>2</v>
      </c>
      <c r="M64" s="9" t="str">
        <f>IF(LEN(Tabla410[[#This Row],[centros]])&gt;0,VLOOKUP(Tabla410[[#This Row],[centros]],Tabla2[[#All],[Centros]:[ID]],2,FALSE),"NULL")</f>
        <v>NULL</v>
      </c>
      <c r="N64" s="9">
        <f>VLOOKUP(Tabla410[[#This Row],[Entidad]],Tabla3[[#All],[name]:[ID_2]],2,FALSE)</f>
        <v>30</v>
      </c>
      <c r="O64" s="9">
        <f>IFERROR(VLOOKUP(Tabla410[[#This Row],[CLAVE PI]], Tabla10[], 10, FALSE), 0)</f>
        <v>1989</v>
      </c>
      <c r="P64" s="36">
        <f>IFERROR(VLOOKUP(Tabla410[[#This Row],[CLAVE PS]], Tabla10[], 10, FALSE), 0)</f>
        <v>12</v>
      </c>
      <c r="Q64" s="42" t="str">
        <f t="shared" si="1"/>
        <v>INSERT INTO indicator_category_details (category_id, year_id, gender_id, center_id, state_id, PI, PS, status) VALUES (77, 18, 2, NULL, 30, 1989, 12, 1);</v>
      </c>
    </row>
    <row r="65" spans="1:17" ht="15.75" x14ac:dyDescent="0.25">
      <c r="A65" s="46"/>
      <c r="B65" s="53" t="s">
        <v>1046</v>
      </c>
      <c r="C65" s="53" t="s">
        <v>1050</v>
      </c>
      <c r="D65" s="32"/>
      <c r="E65" s="3" t="s">
        <v>1043</v>
      </c>
      <c r="F65" s="3" t="s">
        <v>822</v>
      </c>
      <c r="G65" s="4"/>
      <c r="H65" s="35" t="str">
        <f>Tabla410[[#This Row],[P1]] &amp; "|" &amp; $E$1 &amp; "|" &amp; Tabla410[[#This Row],[Sexo]] &amp; "|" &amp; Tabla410[[#This Row],[Entidad]]</f>
        <v>PI|Homicidio|Hombre|Yucatán</v>
      </c>
      <c r="I65" s="21" t="str">
        <f>Tabla410[[#This Row],[P2]] &amp; "|" &amp; $E$1 &amp; "|" &amp; Tabla410[[#This Row],[Sexo]] &amp; "|" &amp; Tabla410[[#This Row],[Entidad]]</f>
        <v>PS|Homicidio|Hombre|Yucatán</v>
      </c>
      <c r="J65" s="9">
        <f>VLOOKUP($E$1,Tabla5[[#All],[name]:[id_1]],2,FALSE)</f>
        <v>77</v>
      </c>
      <c r="K65" s="9">
        <f>VLOOKUP($B$1,Tabla6[[#All],[name]:[id_2]],2)</f>
        <v>18</v>
      </c>
      <c r="L65" s="9">
        <f>VLOOKUP(Tabla410[[#This Row],[Sexo]],Tabla8[[#All],[name]:[gender_id]],2,FALSE)</f>
        <v>2</v>
      </c>
      <c r="M65" s="9" t="str">
        <f>IF(LEN(Tabla410[[#This Row],[centros]])&gt;0,VLOOKUP(Tabla410[[#This Row],[centros]],Tabla2[[#All],[Centros]:[ID]],2,FALSE),"NULL")</f>
        <v>NULL</v>
      </c>
      <c r="N65" s="9">
        <f>VLOOKUP(Tabla410[[#This Row],[Entidad]],Tabla3[[#All],[name]:[ID_2]],2,FALSE)</f>
        <v>31</v>
      </c>
      <c r="O65" s="9">
        <f>IFERROR(VLOOKUP(Tabla410[[#This Row],[CLAVE PI]], Tabla10[], 10, FALSE), 0)</f>
        <v>413</v>
      </c>
      <c r="P65" s="36">
        <f>IFERROR(VLOOKUP(Tabla410[[#This Row],[CLAVE PS]], Tabla10[], 10, FALSE), 0)</f>
        <v>5</v>
      </c>
      <c r="Q65" s="42" t="str">
        <f t="shared" si="1"/>
        <v>INSERT INTO indicator_category_details (category_id, year_id, gender_id, center_id, state_id, PI, PS, status) VALUES (77, 18, 2, NULL, 31, 413, 5, 1);</v>
      </c>
    </row>
    <row r="66" spans="1:17" ht="15.75" x14ac:dyDescent="0.25">
      <c r="A66" s="46"/>
      <c r="B66" s="55" t="s">
        <v>1046</v>
      </c>
      <c r="C66" s="55" t="s">
        <v>1050</v>
      </c>
      <c r="D66" s="32"/>
      <c r="E66" s="3" t="s">
        <v>1043</v>
      </c>
      <c r="F66" s="11" t="s">
        <v>827</v>
      </c>
      <c r="G66" s="12"/>
      <c r="H66" s="37" t="str">
        <f>Tabla410[[#This Row],[P1]] &amp; "|" &amp; $E$1 &amp; "|" &amp; Tabla410[[#This Row],[Sexo]] &amp; "|" &amp; Tabla410[[#This Row],[Entidad]]</f>
        <v>PI|Homicidio|Hombre|Zacatecas</v>
      </c>
      <c r="I66" s="22" t="str">
        <f>Tabla410[[#This Row],[P2]] &amp; "|" &amp; $E$1 &amp; "|" &amp; Tabla410[[#This Row],[Sexo]] &amp; "|" &amp; Tabla410[[#This Row],[Entidad]]</f>
        <v>PS|Homicidio|Hombre|Zacatecas</v>
      </c>
      <c r="J66" s="13">
        <f>VLOOKUP($E$1,Tabla5[[#All],[name]:[id_1]],2,FALSE)</f>
        <v>77</v>
      </c>
      <c r="K66" s="13">
        <f>VLOOKUP($B$1,Tabla6[[#All],[name]:[id_2]],2)</f>
        <v>18</v>
      </c>
      <c r="L66" s="13">
        <f>VLOOKUP(Tabla410[[#This Row],[Sexo]],Tabla8[[#All],[name]:[gender_id]],2,FALSE)</f>
        <v>2</v>
      </c>
      <c r="M66" s="13" t="str">
        <f>IF(LEN(Tabla410[[#This Row],[centros]])&gt;0,VLOOKUP(Tabla410[[#This Row],[centros]],Tabla2[[#All],[Centros]:[ID]],2,FALSE),"NULL")</f>
        <v>NULL</v>
      </c>
      <c r="N66" s="13">
        <f>VLOOKUP(Tabla410[[#This Row],[Entidad]],Tabla3[[#All],[name]:[ID_2]],2,FALSE)</f>
        <v>32</v>
      </c>
      <c r="O66" s="13">
        <f>IFERROR(VLOOKUP(Tabla410[[#This Row],[CLAVE PI]], Tabla10[], 10, FALSE), 0)</f>
        <v>271</v>
      </c>
      <c r="P66" s="56">
        <f>IFERROR(VLOOKUP(Tabla410[[#This Row],[CLAVE PS]], Tabla10[], 10, FALSE), 0)</f>
        <v>20</v>
      </c>
      <c r="Q66" s="43" t="str">
        <f t="shared" si="1"/>
        <v>INSERT INTO indicator_category_details (category_id, year_id, gender_id, center_id, state_id, PI, PS, status) VALUES (77, 18, 2, NULL, 32, 271, 20, 1);</v>
      </c>
    </row>
  </sheetData>
  <mergeCells count="3">
    <mergeCell ref="O1:P1"/>
    <mergeCell ref="B1:C1"/>
    <mergeCell ref="E1:F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2026-02-26T19:00:25Z</dcterms:modified>
</cp:coreProperties>
</file>
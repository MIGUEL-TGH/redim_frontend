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5E66F2F1-E5B7-4B4F-929D-CF3FDC5FD7C6}" xr6:coauthVersionLast="47" xr6:coauthVersionMax="47" xr10:uidLastSave="{00000000-0000-0000-0000-000000000000}"/>
  <bookViews>
    <workbookView xWindow="28680" yWindow="-120" windowWidth="29040" windowHeight="16440" activeTab="9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<sst xmlns="http://schemas.openxmlformats.org/spreadsheetml/2006/main" count="4405" uniqueCount="1057">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</sst>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Font="1" applyBorder="1" applyAlignment="1">
      <alignment horizontal="center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VLOOKUP($E$1,Tabla5[[#All],[name]:[id_1]],2,FALSE)</calculatedColumnFormula>
    </tableColumn>
    <tableColumn id="17" xr3:uid="{4E0CDD5E-747E-42EB-82D7-D375E8508F69}" name="year_id" dataDxfId="6">
      <calculatedColumnFormula>VLOOKUP($B$1,Tabla6[[#All],[name]:[id_2]],2)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C19" sqref="C19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3" sqref="C3"/>
    </sheetView>
  </sheetViews>
  <sheetFormatPr baseColWidth="10" defaultRowHeight="15" x14ac:dyDescent="0.25"/>
  <cols>
    <col min="2" max="2" width="13.7109375" customWidth="1"/>
    <col min="3" max="3" width="56.855468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33">
        <v>1</v>
      </c>
      <c r="C2" s="33" t="s">
        <v>14</v>
      </c>
      <c r="D2">
        <v>1</v>
      </c>
      <c r="G2">
        <v>384</v>
      </c>
    </row>
    <row r="3" spans="1:7" x14ac:dyDescent="0.25">
      <c r="A3" s="33">
        <v>2</v>
      </c>
      <c r="C3" s="33" t="s">
        <v>16</v>
      </c>
      <c r="D3">
        <v>2</v>
      </c>
      <c r="G3">
        <v>378</v>
      </c>
    </row>
    <row r="4" spans="1:7" x14ac:dyDescent="0.25">
      <c r="A4" s="33">
        <v>3</v>
      </c>
      <c r="C4" s="33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33" t="s">
        <v>17</v>
      </c>
      <c r="D6">
        <v>5</v>
      </c>
      <c r="G6">
        <v>320</v>
      </c>
    </row>
    <row r="7" spans="1:7" x14ac:dyDescent="0.25">
      <c r="A7">
        <v>6</v>
      </c>
      <c r="C7" s="33" t="s">
        <v>20</v>
      </c>
      <c r="D7">
        <v>6</v>
      </c>
    </row>
    <row r="8" spans="1:7" x14ac:dyDescent="0.25">
      <c r="A8">
        <v>10</v>
      </c>
      <c r="C8" s="33" t="s">
        <v>123</v>
      </c>
      <c r="D8">
        <v>10</v>
      </c>
    </row>
    <row r="9" spans="1:7" x14ac:dyDescent="0.25">
      <c r="A9">
        <v>27</v>
      </c>
      <c r="C9" s="33" t="s">
        <v>264</v>
      </c>
      <c r="D9">
        <v>27</v>
      </c>
    </row>
    <row r="10" spans="1:7" x14ac:dyDescent="0.25">
      <c r="A10">
        <v>28</v>
      </c>
      <c r="C10" s="33" t="s">
        <v>143</v>
      </c>
      <c r="D10">
        <v>28</v>
      </c>
    </row>
    <row r="11" spans="1:7" x14ac:dyDescent="0.25">
      <c r="A11">
        <v>29</v>
      </c>
      <c r="C11" s="33" t="s">
        <v>142</v>
      </c>
      <c r="D11">
        <v>29</v>
      </c>
    </row>
    <row r="12" spans="1:7" x14ac:dyDescent="0.25">
      <c r="A12">
        <v>30</v>
      </c>
      <c r="C12" s="33" t="s">
        <v>263</v>
      </c>
      <c r="D12">
        <v>30</v>
      </c>
    </row>
    <row r="13" spans="1:7" x14ac:dyDescent="0.25">
      <c r="A13">
        <v>43</v>
      </c>
      <c r="C13" t="s">
        <v>23</v>
      </c>
      <c r="D13">
        <v>43</v>
      </c>
    </row>
    <row r="14" spans="1:7" x14ac:dyDescent="0.25">
      <c r="A14">
        <v>44</v>
      </c>
      <c r="C14" t="s">
        <v>313</v>
      </c>
      <c r="D14">
        <v>44</v>
      </c>
    </row>
    <row r="15" spans="1:7" x14ac:dyDescent="0.25">
      <c r="A15">
        <v>46</v>
      </c>
      <c r="C15" t="s">
        <v>69</v>
      </c>
      <c r="D15">
        <v>46</v>
      </c>
    </row>
    <row r="16" spans="1:7" x14ac:dyDescent="0.25">
      <c r="A16">
        <v>47</v>
      </c>
      <c r="C16" t="s">
        <v>204</v>
      </c>
      <c r="D16">
        <v>47</v>
      </c>
    </row>
    <row r="17" spans="1:4" x14ac:dyDescent="0.25">
      <c r="A17">
        <v>48</v>
      </c>
      <c r="C17" t="s">
        <v>72</v>
      </c>
      <c r="D17">
        <v>48</v>
      </c>
    </row>
    <row r="18" spans="1:4" x14ac:dyDescent="0.25">
      <c r="A18">
        <v>49</v>
      </c>
      <c r="C18" t="s">
        <v>71</v>
      </c>
      <c r="D18">
        <v>49</v>
      </c>
    </row>
    <row r="19" spans="1:4" x14ac:dyDescent="0.25">
      <c r="A19">
        <v>50</v>
      </c>
      <c r="C19" t="s">
        <v>68</v>
      </c>
      <c r="D19">
        <v>50</v>
      </c>
    </row>
    <row r="20" spans="1:4" x14ac:dyDescent="0.25">
      <c r="A20">
        <v>51</v>
      </c>
      <c r="C20" t="s">
        <v>234</v>
      </c>
      <c r="D20">
        <v>51</v>
      </c>
    </row>
    <row r="21" spans="1:4" x14ac:dyDescent="0.25">
      <c r="A21">
        <v>52</v>
      </c>
      <c r="C21" t="s">
        <v>381</v>
      </c>
      <c r="D21">
        <v>52</v>
      </c>
    </row>
    <row r="22" spans="1:4" x14ac:dyDescent="0.25">
      <c r="A22">
        <v>53</v>
      </c>
      <c r="C22" t="s">
        <v>232</v>
      </c>
      <c r="D22">
        <v>53</v>
      </c>
    </row>
    <row r="23" spans="1:4" x14ac:dyDescent="0.25">
      <c r="A23">
        <v>63</v>
      </c>
      <c r="C23" s="33" t="s">
        <v>178</v>
      </c>
      <c r="D23">
        <v>63</v>
      </c>
    </row>
    <row r="24" spans="1:4" x14ac:dyDescent="0.25">
      <c r="A24">
        <v>75</v>
      </c>
      <c r="C24" s="33" t="s">
        <v>26</v>
      </c>
      <c r="D24">
        <v>75</v>
      </c>
    </row>
    <row r="25" spans="1:4" x14ac:dyDescent="0.25">
      <c r="A25">
        <v>77</v>
      </c>
      <c r="C25" s="70" t="s">
        <v>25</v>
      </c>
      <c r="D25">
        <v>77</v>
      </c>
    </row>
    <row r="26" spans="1:4" x14ac:dyDescent="0.25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workbookViewId="0">
      <pane ySplit="2" topLeftCell="A3" activePane="bottomLeft" state="frozen"/>
      <selection pane="bottomLeft" activeCell="C3" sqref="C3"/>
    </sheetView>
  </sheetViews>
  <sheetFormatPr baseColWidth="10" defaultRowHeight="15" x14ac:dyDescent="0.25"/>
  <cols>
    <col min="1" max="1" width="26.5703125" customWidth="1"/>
    <col min="2" max="3" width="9.85546875" customWidth="1"/>
    <col min="4" max="4" width="44.42578125" customWidth="1"/>
    <col min="5" max="5" width="66.5703125" customWidth="1"/>
    <col min="6" max="6" width="12.140625" customWidth="1"/>
    <col min="7" max="7" width="29.85546875" customWidth="1"/>
    <col min="8" max="12" width="11.7109375" customWidth="1"/>
  </cols>
  <sheetData>
    <row r="1" spans="1:12" ht="16.5" thickBot="1" x14ac:dyDescent="0.3">
      <c r="C1" s="33" t="s">
        <v>1056</v>
      </c>
      <c r="D1" s="33"/>
      <c r="E1" s="33" t="s">
        <v>1055</v>
      </c>
      <c r="J1" s="51">
        <f>SUM(Tabla10[Cantidad])</f>
        <v>0</v>
      </c>
    </row>
    <row r="2" spans="1:12" ht="15.75" thickBot="1" x14ac:dyDescent="0.3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25">
      <c r="A3" s="42" t="str">
        <f>Tabla10[[#This Row],[TIPO_P]] &amp; "|" &amp;Tabla10[[#This Row],[Agrupación]] &amp; "|" &amp; Tabla10[[#This Row],[Sexo]] &amp; "|" &amp; Tabla10[[#This Row],[Entidad]]</f>
        <v>PS|||</v>
      </c>
      <c r="B3" s="43" t="s">
        <v>1050</v>
      </c>
      <c r="C3" s="71"/>
      <c r="D3" s="25"/>
      <c r="E3" s="25"/>
      <c r="F3" s="25"/>
      <c r="G3" s="25"/>
      <c r="H3" s="25"/>
      <c r="I3" s="25"/>
      <c r="J3" s="25"/>
      <c r="K3" s="25"/>
      <c r="L3" s="20"/>
    </row>
    <row r="4" spans="1:12" x14ac:dyDescent="0.25">
      <c r="A4" s="44" t="str">
        <f>Tabla10[[#This Row],[TIPO_P]] &amp; "|" &amp;Tabla10[[#This Row],[Agrupación]] &amp; "|" &amp; Tabla10[[#This Row],[Sexo]] &amp; "|" &amp; Tabla10[[#This Row],[Entidad]]</f>
        <v>PS|||</v>
      </c>
      <c r="B4" s="45" t="s">
        <v>1050</v>
      </c>
      <c r="C4" s="16"/>
      <c r="L4" s="26"/>
    </row>
    <row r="5" spans="1:12" x14ac:dyDescent="0.25">
      <c r="A5" s="44" t="str">
        <f>Tabla10[[#This Row],[TIPO_P]] &amp; "|" &amp;Tabla10[[#This Row],[Agrupación]] &amp; "|" &amp; Tabla10[[#This Row],[Sexo]] &amp; "|" &amp; Tabla10[[#This Row],[Entidad]]</f>
        <v>PS|||</v>
      </c>
      <c r="B5" s="45" t="s">
        <v>1050</v>
      </c>
      <c r="C5" s="16"/>
      <c r="L5" s="26"/>
    </row>
    <row r="6" spans="1:12" x14ac:dyDescent="0.25">
      <c r="A6" s="44" t="str">
        <f>Tabla10[[#This Row],[TIPO_P]] &amp; "|" &amp;Tabla10[[#This Row],[Agrupación]] &amp; "|" &amp; Tabla10[[#This Row],[Sexo]] &amp; "|" &amp; Tabla10[[#This Row],[Entidad]]</f>
        <v>PS|||</v>
      </c>
      <c r="B6" s="45" t="s">
        <v>1050</v>
      </c>
      <c r="C6" s="16"/>
      <c r="L6" s="26"/>
    </row>
    <row r="7" spans="1:12" x14ac:dyDescent="0.25">
      <c r="A7" s="44" t="str">
        <f>Tabla10[[#This Row],[TIPO_P]] &amp; "|" &amp;Tabla10[[#This Row],[Agrupación]] &amp; "|" &amp; Tabla10[[#This Row],[Sexo]] &amp; "|" &amp; Tabla10[[#This Row],[Entidad]]</f>
        <v>PS|||</v>
      </c>
      <c r="B7" s="45" t="s">
        <v>1050</v>
      </c>
      <c r="C7" s="16"/>
      <c r="L7" s="26"/>
    </row>
    <row r="8" spans="1:12" x14ac:dyDescent="0.25">
      <c r="A8" s="44" t="str">
        <f>Tabla10[[#This Row],[TIPO_P]] &amp; "|" &amp;Tabla10[[#This Row],[Agrupación]] &amp; "|" &amp; Tabla10[[#This Row],[Sexo]] &amp; "|" &amp; Tabla10[[#This Row],[Entidad]]</f>
        <v>PS|||</v>
      </c>
      <c r="B8" s="45" t="s">
        <v>1050</v>
      </c>
      <c r="C8" s="16"/>
      <c r="L8" s="26"/>
    </row>
    <row r="9" spans="1:12" x14ac:dyDescent="0.25">
      <c r="A9" s="44" t="str">
        <f>Tabla10[[#This Row],[TIPO_P]] &amp; "|" &amp;Tabla10[[#This Row],[Agrupación]] &amp; "|" &amp; Tabla10[[#This Row],[Sexo]] &amp; "|" &amp; Tabla10[[#This Row],[Entidad]]</f>
        <v>PS|||</v>
      </c>
      <c r="B9" s="45" t="s">
        <v>1050</v>
      </c>
      <c r="C9" s="16"/>
      <c r="L9" s="26"/>
    </row>
    <row r="10" spans="1:12" x14ac:dyDescent="0.25">
      <c r="A10" s="44" t="str">
        <f>Tabla10[[#This Row],[TIPO_P]] &amp; "|" &amp;Tabla10[[#This Row],[Agrupación]] &amp; "|" &amp; Tabla10[[#This Row],[Sexo]] &amp; "|" &amp; Tabla10[[#This Row],[Entidad]]</f>
        <v>PS|||</v>
      </c>
      <c r="B10" s="45" t="s">
        <v>1050</v>
      </c>
      <c r="C10" s="16"/>
      <c r="L10" s="26"/>
    </row>
    <row r="11" spans="1:12" x14ac:dyDescent="0.25">
      <c r="A11" s="44" t="str">
        <f>Tabla10[[#This Row],[TIPO_P]] &amp; "|" &amp;Tabla10[[#This Row],[Agrupación]] &amp; "|" &amp; Tabla10[[#This Row],[Sexo]] &amp; "|" &amp; Tabla10[[#This Row],[Entidad]]</f>
        <v>PS|||</v>
      </c>
      <c r="B11" s="45" t="s">
        <v>1050</v>
      </c>
      <c r="C11" s="16"/>
      <c r="L11" s="26"/>
    </row>
    <row r="12" spans="1:12" x14ac:dyDescent="0.25">
      <c r="A12" s="44" t="str">
        <f>Tabla10[[#This Row],[TIPO_P]] &amp; "|" &amp;Tabla10[[#This Row],[Agrupación]] &amp; "|" &amp; Tabla10[[#This Row],[Sexo]] &amp; "|" &amp; Tabla10[[#This Row],[Entidad]]</f>
        <v>PS|||</v>
      </c>
      <c r="B12" s="45" t="s">
        <v>1050</v>
      </c>
      <c r="C12" s="16"/>
      <c r="L12" s="26"/>
    </row>
    <row r="13" spans="1:12" x14ac:dyDescent="0.25">
      <c r="A13" s="44" t="str">
        <f>Tabla10[[#This Row],[TIPO_P]] &amp; "|" &amp;Tabla10[[#This Row],[Agrupación]] &amp; "|" &amp; Tabla10[[#This Row],[Sexo]] &amp; "|" &amp; Tabla10[[#This Row],[Entidad]]</f>
        <v>PS|||</v>
      </c>
      <c r="B13" s="45" t="s">
        <v>1050</v>
      </c>
      <c r="C13" s="16"/>
      <c r="L13" s="26"/>
    </row>
    <row r="14" spans="1:12" x14ac:dyDescent="0.25">
      <c r="A14" s="44" t="str">
        <f>Tabla10[[#This Row],[TIPO_P]] &amp; "|" &amp;Tabla10[[#This Row],[Agrupación]] &amp; "|" &amp; Tabla10[[#This Row],[Sexo]] &amp; "|" &amp; Tabla10[[#This Row],[Entidad]]</f>
        <v>PS|||</v>
      </c>
      <c r="B14" s="45" t="s">
        <v>1050</v>
      </c>
      <c r="C14" s="16"/>
      <c r="L14" s="26"/>
    </row>
    <row r="15" spans="1:12" x14ac:dyDescent="0.25">
      <c r="A15" s="44" t="str">
        <f>Tabla10[[#This Row],[TIPO_P]] &amp; "|" &amp;Tabla10[[#This Row],[Agrupación]] &amp; "|" &amp; Tabla10[[#This Row],[Sexo]] &amp; "|" &amp; Tabla10[[#This Row],[Entidad]]</f>
        <v>PS|||</v>
      </c>
      <c r="B15" s="45" t="s">
        <v>1050</v>
      </c>
      <c r="C15" s="16"/>
      <c r="L15" s="26"/>
    </row>
    <row r="16" spans="1:12" x14ac:dyDescent="0.25">
      <c r="A16" s="44" t="str">
        <f>Tabla10[[#This Row],[TIPO_P]] &amp; "|" &amp;Tabla10[[#This Row],[Agrupación]] &amp; "|" &amp; Tabla10[[#This Row],[Sexo]] &amp; "|" &amp; Tabla10[[#This Row],[Entidad]]</f>
        <v>PS|||</v>
      </c>
      <c r="B16" s="45" t="s">
        <v>1050</v>
      </c>
      <c r="C16" s="16"/>
      <c r="L16" s="26"/>
    </row>
    <row r="17" spans="1:12" x14ac:dyDescent="0.25">
      <c r="A17" s="44" t="str">
        <f>Tabla10[[#This Row],[TIPO_P]] &amp; "|" &amp;Tabla10[[#This Row],[Agrupación]] &amp; "|" &amp; Tabla10[[#This Row],[Sexo]] &amp; "|" &amp; Tabla10[[#This Row],[Entidad]]</f>
        <v>PS|||</v>
      </c>
      <c r="B17" s="45" t="s">
        <v>1050</v>
      </c>
      <c r="C17" s="16"/>
      <c r="L17" s="26"/>
    </row>
    <row r="18" spans="1:12" x14ac:dyDescent="0.25">
      <c r="A18" s="44" t="str">
        <f>Tabla10[[#This Row],[TIPO_P]] &amp; "|" &amp;Tabla10[[#This Row],[Agrupación]] &amp; "|" &amp; Tabla10[[#This Row],[Sexo]] &amp; "|" &amp; Tabla10[[#This Row],[Entidad]]</f>
        <v>PS|||</v>
      </c>
      <c r="B18" s="45" t="s">
        <v>1050</v>
      </c>
      <c r="C18" s="16"/>
      <c r="L18" s="26"/>
    </row>
    <row r="19" spans="1:12" x14ac:dyDescent="0.25">
      <c r="A19" s="44" t="str">
        <f>Tabla10[[#This Row],[TIPO_P]] &amp; "|" &amp;Tabla10[[#This Row],[Agrupación]] &amp; "|" &amp; Tabla10[[#This Row],[Sexo]] &amp; "|" &amp; Tabla10[[#This Row],[Entidad]]</f>
        <v>PS|||</v>
      </c>
      <c r="B19" s="45" t="s">
        <v>1050</v>
      </c>
      <c r="C19" s="16"/>
      <c r="L19" s="26"/>
    </row>
    <row r="20" spans="1:12" x14ac:dyDescent="0.25">
      <c r="A20" s="44" t="str">
        <f>Tabla10[[#This Row],[TIPO_P]] &amp; "|" &amp;Tabla10[[#This Row],[Agrupación]] &amp; "|" &amp; Tabla10[[#This Row],[Sexo]] &amp; "|" &amp; Tabla10[[#This Row],[Entidad]]</f>
        <v>PS|||</v>
      </c>
      <c r="B20" s="45" t="s">
        <v>1050</v>
      </c>
      <c r="C20" s="16"/>
      <c r="L20" s="26"/>
    </row>
    <row r="21" spans="1:12" x14ac:dyDescent="0.25">
      <c r="A21" s="44" t="str">
        <f>Tabla10[[#This Row],[TIPO_P]] &amp; "|" &amp;Tabla10[[#This Row],[Agrupación]] &amp; "|" &amp; Tabla10[[#This Row],[Sexo]] &amp; "|" &amp; Tabla10[[#This Row],[Entidad]]</f>
        <v>PS|||</v>
      </c>
      <c r="B21" s="45" t="s">
        <v>1050</v>
      </c>
      <c r="C21" s="16"/>
      <c r="L21" s="26"/>
    </row>
    <row r="22" spans="1:12" x14ac:dyDescent="0.25">
      <c r="A22" s="44" t="str">
        <f>Tabla10[[#This Row],[TIPO_P]] &amp; "|" &amp;Tabla10[[#This Row],[Agrupación]] &amp; "|" &amp; Tabla10[[#This Row],[Sexo]] &amp; "|" &amp; Tabla10[[#This Row],[Entidad]]</f>
        <v>PS|||</v>
      </c>
      <c r="B22" s="45" t="s">
        <v>1050</v>
      </c>
      <c r="C22" s="16"/>
      <c r="L22" s="26"/>
    </row>
    <row r="23" spans="1:12" x14ac:dyDescent="0.25">
      <c r="A23" s="44" t="str">
        <f>Tabla10[[#This Row],[TIPO_P]] &amp; "|" &amp;Tabla10[[#This Row],[Agrupación]] &amp; "|" &amp; Tabla10[[#This Row],[Sexo]] &amp; "|" &amp; Tabla10[[#This Row],[Entidad]]</f>
        <v>PS|||</v>
      </c>
      <c r="B23" s="45" t="s">
        <v>1050</v>
      </c>
      <c r="C23" s="16"/>
      <c r="L23" s="26"/>
    </row>
    <row r="24" spans="1:12" x14ac:dyDescent="0.25">
      <c r="A24" s="44" t="str">
        <f>Tabla10[[#This Row],[TIPO_P]] &amp; "|" &amp;Tabla10[[#This Row],[Agrupación]] &amp; "|" &amp; Tabla10[[#This Row],[Sexo]] &amp; "|" &amp; Tabla10[[#This Row],[Entidad]]</f>
        <v>PS|||</v>
      </c>
      <c r="B24" s="45" t="s">
        <v>1050</v>
      </c>
      <c r="C24" s="16"/>
      <c r="L24" s="26"/>
    </row>
    <row r="25" spans="1:12" x14ac:dyDescent="0.25">
      <c r="A25" s="44" t="str">
        <f>Tabla10[[#This Row],[TIPO_P]] &amp; "|" &amp;Tabla10[[#This Row],[Agrupación]] &amp; "|" &amp; Tabla10[[#This Row],[Sexo]] &amp; "|" &amp; Tabla10[[#This Row],[Entidad]]</f>
        <v>PS|||</v>
      </c>
      <c r="B25" s="45" t="s">
        <v>1050</v>
      </c>
      <c r="C25" s="16"/>
      <c r="L25" s="26"/>
    </row>
    <row r="26" spans="1:12" x14ac:dyDescent="0.25">
      <c r="A26" s="44" t="str">
        <f>Tabla10[[#This Row],[TIPO_P]] &amp; "|" &amp;Tabla10[[#This Row],[Agrupación]] &amp; "|" &amp; Tabla10[[#This Row],[Sexo]] &amp; "|" &amp; Tabla10[[#This Row],[Entidad]]</f>
        <v>PS|||</v>
      </c>
      <c r="B26" s="45" t="s">
        <v>1050</v>
      </c>
      <c r="C26" s="16"/>
      <c r="L26" s="26"/>
    </row>
    <row r="27" spans="1:12" x14ac:dyDescent="0.25">
      <c r="A27" s="44" t="str">
        <f>Tabla10[[#This Row],[TIPO_P]] &amp; "|" &amp;Tabla10[[#This Row],[Agrupación]] &amp; "|" &amp; Tabla10[[#This Row],[Sexo]] &amp; "|" &amp; Tabla10[[#This Row],[Entidad]]</f>
        <v>PS|||</v>
      </c>
      <c r="B27" s="45" t="s">
        <v>1050</v>
      </c>
      <c r="C27" s="16"/>
      <c r="L27" s="26"/>
    </row>
    <row r="28" spans="1:12" x14ac:dyDescent="0.25">
      <c r="A28" s="44" t="str">
        <f>Tabla10[[#This Row],[TIPO_P]] &amp; "|" &amp;Tabla10[[#This Row],[Agrupación]] &amp; "|" &amp; Tabla10[[#This Row],[Sexo]] &amp; "|" &amp; Tabla10[[#This Row],[Entidad]]</f>
        <v>PS|||</v>
      </c>
      <c r="B28" s="45" t="s">
        <v>1050</v>
      </c>
      <c r="C28" s="16"/>
      <c r="L28" s="26"/>
    </row>
    <row r="29" spans="1:12" x14ac:dyDescent="0.25">
      <c r="A29" s="44" t="str">
        <f>Tabla10[[#This Row],[TIPO_P]] &amp; "|" &amp;Tabla10[[#This Row],[Agrupación]] &amp; "|" &amp; Tabla10[[#This Row],[Sexo]] &amp; "|" &amp; Tabla10[[#This Row],[Entidad]]</f>
        <v>PS|||</v>
      </c>
      <c r="B29" s="45" t="s">
        <v>1050</v>
      </c>
      <c r="C29" s="16"/>
      <c r="L29" s="26"/>
    </row>
    <row r="30" spans="1:12" x14ac:dyDescent="0.25">
      <c r="A30" s="44" t="str">
        <f>Tabla10[[#This Row],[TIPO_P]] &amp; "|" &amp;Tabla10[[#This Row],[Agrupación]] &amp; "|" &amp; Tabla10[[#This Row],[Sexo]] &amp; "|" &amp; Tabla10[[#This Row],[Entidad]]</f>
        <v>PS|||</v>
      </c>
      <c r="B30" s="45" t="s">
        <v>1050</v>
      </c>
      <c r="C30" s="16"/>
      <c r="L30" s="26"/>
    </row>
    <row r="31" spans="1:12" x14ac:dyDescent="0.25">
      <c r="A31" s="44" t="str">
        <f>Tabla10[[#This Row],[TIPO_P]] &amp; "|" &amp;Tabla10[[#This Row],[Agrupación]] &amp; "|" &amp; Tabla10[[#This Row],[Sexo]] &amp; "|" &amp; Tabla10[[#This Row],[Entidad]]</f>
        <v>PS|||</v>
      </c>
      <c r="B31" s="45" t="s">
        <v>1050</v>
      </c>
      <c r="C31" s="16"/>
      <c r="L31" s="26"/>
    </row>
    <row r="32" spans="1:12" x14ac:dyDescent="0.25">
      <c r="A32" s="44" t="str">
        <f>Tabla10[[#This Row],[TIPO_P]] &amp; "|" &amp;Tabla10[[#This Row],[Agrupación]] &amp; "|" &amp; Tabla10[[#This Row],[Sexo]] &amp; "|" &amp; Tabla10[[#This Row],[Entidad]]</f>
        <v>PS|||</v>
      </c>
      <c r="B32" s="45" t="s">
        <v>1050</v>
      </c>
      <c r="C32" s="16"/>
      <c r="L32" s="26"/>
    </row>
    <row r="33" spans="1:12" x14ac:dyDescent="0.25">
      <c r="A33" s="44" t="str">
        <f>Tabla10[[#This Row],[TIPO_P]] &amp; "|" &amp;Tabla10[[#This Row],[Agrupación]] &amp; "|" &amp; Tabla10[[#This Row],[Sexo]] &amp; "|" &amp; Tabla10[[#This Row],[Entidad]]</f>
        <v>PS|||</v>
      </c>
      <c r="B33" s="45" t="s">
        <v>1050</v>
      </c>
      <c r="C33" s="16"/>
      <c r="L33" s="26"/>
    </row>
    <row r="34" spans="1:12" x14ac:dyDescent="0.25">
      <c r="A34" s="44" t="str">
        <f>Tabla10[[#This Row],[TIPO_P]] &amp; "|" &amp;Tabla10[[#This Row],[Agrupación]] &amp; "|" &amp; Tabla10[[#This Row],[Sexo]] &amp; "|" &amp; Tabla10[[#This Row],[Entidad]]</f>
        <v>PS|||</v>
      </c>
      <c r="B34" s="45" t="s">
        <v>1050</v>
      </c>
      <c r="C34" s="16"/>
      <c r="L34" s="26"/>
    </row>
    <row r="35" spans="1:12" x14ac:dyDescent="0.25">
      <c r="A35" s="44" t="str">
        <f>Tabla10[[#This Row],[TIPO_P]] &amp; "|" &amp;Tabla10[[#This Row],[Agrupación]] &amp; "|" &amp; Tabla10[[#This Row],[Sexo]] &amp; "|" &amp; Tabla10[[#This Row],[Entidad]]</f>
        <v>PS|||</v>
      </c>
      <c r="B35" s="45" t="s">
        <v>1050</v>
      </c>
      <c r="C35" s="16"/>
      <c r="L35" s="26"/>
    </row>
    <row r="36" spans="1:12" x14ac:dyDescent="0.25">
      <c r="A36" s="44" t="str">
        <f>Tabla10[[#This Row],[TIPO_P]] &amp; "|" &amp;Tabla10[[#This Row],[Agrupación]] &amp; "|" &amp; Tabla10[[#This Row],[Sexo]] &amp; "|" &amp; Tabla10[[#This Row],[Entidad]]</f>
        <v>PS|||</v>
      </c>
      <c r="B36" s="45" t="s">
        <v>1050</v>
      </c>
      <c r="C36" s="16"/>
      <c r="L36" s="26"/>
    </row>
    <row r="37" spans="1:12" x14ac:dyDescent="0.25">
      <c r="A37" s="44" t="str">
        <f>Tabla10[[#This Row],[TIPO_P]] &amp; "|" &amp;Tabla10[[#This Row],[Agrupación]] &amp; "|" &amp; Tabla10[[#This Row],[Sexo]] &amp; "|" &amp; Tabla10[[#This Row],[Entidad]]</f>
        <v>PS|||</v>
      </c>
      <c r="B37" s="45" t="s">
        <v>1050</v>
      </c>
      <c r="C37" s="16"/>
      <c r="L37" s="26"/>
    </row>
    <row r="38" spans="1:12" x14ac:dyDescent="0.25">
      <c r="A38" s="44" t="str">
        <f>Tabla10[[#This Row],[TIPO_P]] &amp; "|" &amp;Tabla10[[#This Row],[Agrupación]] &amp; "|" &amp; Tabla10[[#This Row],[Sexo]] &amp; "|" &amp; Tabla10[[#This Row],[Entidad]]</f>
        <v>PS|||</v>
      </c>
      <c r="B38" s="45" t="s">
        <v>1050</v>
      </c>
      <c r="C38" s="16"/>
      <c r="L38" s="26"/>
    </row>
    <row r="39" spans="1:12" x14ac:dyDescent="0.25">
      <c r="A39" s="44" t="str">
        <f>Tabla10[[#This Row],[TIPO_P]] &amp; "|" &amp;Tabla10[[#This Row],[Agrupación]] &amp; "|" &amp; Tabla10[[#This Row],[Sexo]] &amp; "|" &amp; Tabla10[[#This Row],[Entidad]]</f>
        <v>PS|||</v>
      </c>
      <c r="B39" s="45" t="s">
        <v>1050</v>
      </c>
      <c r="C39" s="16"/>
      <c r="L39" s="26"/>
    </row>
    <row r="40" spans="1:12" x14ac:dyDescent="0.25">
      <c r="A40" s="44" t="str">
        <f>Tabla10[[#This Row],[TIPO_P]] &amp; "|" &amp;Tabla10[[#This Row],[Agrupación]] &amp; "|" &amp; Tabla10[[#This Row],[Sexo]] &amp; "|" &amp; Tabla10[[#This Row],[Entidad]]</f>
        <v>PS|||</v>
      </c>
      <c r="B40" s="45" t="s">
        <v>1050</v>
      </c>
      <c r="C40" s="16"/>
      <c r="L40" s="26"/>
    </row>
    <row r="41" spans="1:12" x14ac:dyDescent="0.25">
      <c r="A41" s="44" t="str">
        <f>Tabla10[[#This Row],[TIPO_P]] &amp; "|" &amp;Tabla10[[#This Row],[Agrupación]] &amp; "|" &amp; Tabla10[[#This Row],[Sexo]] &amp; "|" &amp; Tabla10[[#This Row],[Entidad]]</f>
        <v>PS|||</v>
      </c>
      <c r="B41" s="45" t="s">
        <v>1050</v>
      </c>
      <c r="C41" s="16"/>
      <c r="L41" s="26"/>
    </row>
    <row r="42" spans="1:12" x14ac:dyDescent="0.25">
      <c r="A42" s="44" t="str">
        <f>Tabla10[[#This Row],[TIPO_P]] &amp; "|" &amp;Tabla10[[#This Row],[Agrupación]] &amp; "|" &amp; Tabla10[[#This Row],[Sexo]] &amp; "|" &amp; Tabla10[[#This Row],[Entidad]]</f>
        <v>PS|||</v>
      </c>
      <c r="B42" s="45" t="s">
        <v>1050</v>
      </c>
      <c r="C42" s="16"/>
      <c r="L42" s="26"/>
    </row>
    <row r="43" spans="1:12" x14ac:dyDescent="0.25">
      <c r="A43" s="44" t="str">
        <f>Tabla10[[#This Row],[TIPO_P]] &amp; "|" &amp;Tabla10[[#This Row],[Agrupación]] &amp; "|" &amp; Tabla10[[#This Row],[Sexo]] &amp; "|" &amp; Tabla10[[#This Row],[Entidad]]</f>
        <v>PS|||</v>
      </c>
      <c r="B43" s="45" t="s">
        <v>1050</v>
      </c>
      <c r="C43" s="16"/>
      <c r="L43" s="26"/>
    </row>
    <row r="44" spans="1:12" x14ac:dyDescent="0.25">
      <c r="A44" s="44" t="str">
        <f>Tabla10[[#This Row],[TIPO_P]] &amp; "|" &amp;Tabla10[[#This Row],[Agrupación]] &amp; "|" &amp; Tabla10[[#This Row],[Sexo]] &amp; "|" &amp; Tabla10[[#This Row],[Entidad]]</f>
        <v>PS|||</v>
      </c>
      <c r="B44" s="45" t="s">
        <v>1050</v>
      </c>
      <c r="C44" s="16"/>
      <c r="L44" s="26"/>
    </row>
    <row r="45" spans="1:12" x14ac:dyDescent="0.25">
      <c r="A45" s="44" t="str">
        <f>Tabla10[[#This Row],[TIPO_P]] &amp; "|" &amp;Tabla10[[#This Row],[Agrupación]] &amp; "|" &amp; Tabla10[[#This Row],[Sexo]] &amp; "|" &amp; Tabla10[[#This Row],[Entidad]]</f>
        <v>PS|||</v>
      </c>
      <c r="B45" s="45" t="s">
        <v>1050</v>
      </c>
      <c r="C45" s="16"/>
      <c r="L45" s="26"/>
    </row>
    <row r="46" spans="1:12" x14ac:dyDescent="0.25">
      <c r="A46" s="44" t="str">
        <f>Tabla10[[#This Row],[TIPO_P]] &amp; "|" &amp;Tabla10[[#This Row],[Agrupación]] &amp; "|" &amp; Tabla10[[#This Row],[Sexo]] &amp; "|" &amp; Tabla10[[#This Row],[Entidad]]</f>
        <v>PS|||</v>
      </c>
      <c r="B46" s="45" t="s">
        <v>1050</v>
      </c>
      <c r="C46" s="16"/>
      <c r="L46" s="26"/>
    </row>
    <row r="47" spans="1:12" x14ac:dyDescent="0.25">
      <c r="A47" s="44" t="str">
        <f>Tabla10[[#This Row],[TIPO_P]] &amp; "|" &amp;Tabla10[[#This Row],[Agrupación]] &amp; "|" &amp; Tabla10[[#This Row],[Sexo]] &amp; "|" &amp; Tabla10[[#This Row],[Entidad]]</f>
        <v>PS|||</v>
      </c>
      <c r="B47" s="45" t="s">
        <v>1050</v>
      </c>
      <c r="C47" s="16"/>
      <c r="L47" s="26"/>
    </row>
    <row r="48" spans="1:12" x14ac:dyDescent="0.25">
      <c r="A48" s="44" t="str">
        <f>Tabla10[[#This Row],[TIPO_P]] &amp; "|" &amp;Tabla10[[#This Row],[Agrupación]] &amp; "|" &amp; Tabla10[[#This Row],[Sexo]] &amp; "|" &amp; Tabla10[[#This Row],[Entidad]]</f>
        <v>PS|||</v>
      </c>
      <c r="B48" s="45" t="s">
        <v>1050</v>
      </c>
      <c r="C48" s="16"/>
      <c r="L48" s="26"/>
    </row>
    <row r="49" spans="1:12" x14ac:dyDescent="0.25">
      <c r="A49" s="44" t="str">
        <f>Tabla10[[#This Row],[TIPO_P]] &amp; "|" &amp;Tabla10[[#This Row],[Agrupación]] &amp; "|" &amp; Tabla10[[#This Row],[Sexo]] &amp; "|" &amp; Tabla10[[#This Row],[Entidad]]</f>
        <v>PS|||</v>
      </c>
      <c r="B49" s="45" t="s">
        <v>1050</v>
      </c>
      <c r="C49" s="16"/>
      <c r="L49" s="26"/>
    </row>
    <row r="50" spans="1:12" x14ac:dyDescent="0.25">
      <c r="A50" s="44" t="str">
        <f>Tabla10[[#This Row],[TIPO_P]] &amp; "|" &amp;Tabla10[[#This Row],[Agrupación]] &amp; "|" &amp; Tabla10[[#This Row],[Sexo]] &amp; "|" &amp; Tabla10[[#This Row],[Entidad]]</f>
        <v>PS|||</v>
      </c>
      <c r="B50" s="45" t="s">
        <v>1050</v>
      </c>
      <c r="C50" s="16"/>
      <c r="L50" s="26"/>
    </row>
    <row r="51" spans="1:12" x14ac:dyDescent="0.25">
      <c r="A51" s="44" t="str">
        <f>Tabla10[[#This Row],[TIPO_P]] &amp; "|" &amp;Tabla10[[#This Row],[Agrupación]] &amp; "|" &amp; Tabla10[[#This Row],[Sexo]] &amp; "|" &amp; Tabla10[[#This Row],[Entidad]]</f>
        <v>PS|||</v>
      </c>
      <c r="B51" s="45" t="s">
        <v>1050</v>
      </c>
      <c r="C51" s="16"/>
      <c r="L51" s="26"/>
    </row>
    <row r="52" spans="1:12" x14ac:dyDescent="0.25">
      <c r="A52" s="44" t="str">
        <f>Tabla10[[#This Row],[TIPO_P]] &amp; "|" &amp;Tabla10[[#This Row],[Agrupación]] &amp; "|" &amp; Tabla10[[#This Row],[Sexo]] &amp; "|" &amp; Tabla10[[#This Row],[Entidad]]</f>
        <v>PS|||</v>
      </c>
      <c r="B52" s="45" t="s">
        <v>1050</v>
      </c>
      <c r="C52" s="16"/>
      <c r="L52" s="26"/>
    </row>
    <row r="53" spans="1:12" x14ac:dyDescent="0.25">
      <c r="A53" s="44" t="str">
        <f>Tabla10[[#This Row],[TIPO_P]] &amp; "|" &amp;Tabla10[[#This Row],[Agrupación]] &amp; "|" &amp; Tabla10[[#This Row],[Sexo]] &amp; "|" &amp; Tabla10[[#This Row],[Entidad]]</f>
        <v>PS|||</v>
      </c>
      <c r="B53" s="45" t="s">
        <v>1050</v>
      </c>
      <c r="C53" s="16"/>
      <c r="L53" s="26"/>
    </row>
    <row r="54" spans="1:12" x14ac:dyDescent="0.25">
      <c r="A54" s="44" t="str">
        <f>Tabla10[[#This Row],[TIPO_P]] &amp; "|" &amp;Tabla10[[#This Row],[Agrupación]] &amp; "|" &amp; Tabla10[[#This Row],[Sexo]] &amp; "|" &amp; Tabla10[[#This Row],[Entidad]]</f>
        <v>PS|||</v>
      </c>
      <c r="B54" s="45" t="s">
        <v>1050</v>
      </c>
      <c r="C54" s="16"/>
      <c r="L54" s="26"/>
    </row>
    <row r="55" spans="1:12" x14ac:dyDescent="0.25">
      <c r="A55" s="44" t="str">
        <f>Tabla10[[#This Row],[TIPO_P]] &amp; "|" &amp;Tabla10[[#This Row],[Agrupación]] &amp; "|" &amp; Tabla10[[#This Row],[Sexo]] &amp; "|" &amp; Tabla10[[#This Row],[Entidad]]</f>
        <v>PS|||</v>
      </c>
      <c r="B55" s="45" t="s">
        <v>1050</v>
      </c>
      <c r="C55" s="16"/>
      <c r="L55" s="26"/>
    </row>
    <row r="56" spans="1:12" x14ac:dyDescent="0.25">
      <c r="A56" s="44" t="str">
        <f>Tabla10[[#This Row],[TIPO_P]] &amp; "|" &amp;Tabla10[[#This Row],[Agrupación]] &amp; "|" &amp; Tabla10[[#This Row],[Sexo]] &amp; "|" &amp; Tabla10[[#This Row],[Entidad]]</f>
        <v>PS|||</v>
      </c>
      <c r="B56" s="45" t="s">
        <v>1050</v>
      </c>
      <c r="C56" s="16"/>
      <c r="L56" s="26"/>
    </row>
    <row r="57" spans="1:12" x14ac:dyDescent="0.25">
      <c r="A57" s="44" t="str">
        <f>Tabla10[[#This Row],[TIPO_P]] &amp; "|" &amp;Tabla10[[#This Row],[Agrupación]] &amp; "|" &amp; Tabla10[[#This Row],[Sexo]] &amp; "|" &amp; Tabla10[[#This Row],[Entidad]]</f>
        <v>PS|||</v>
      </c>
      <c r="B57" s="45" t="s">
        <v>1050</v>
      </c>
      <c r="C57" s="16"/>
      <c r="L57" s="26"/>
    </row>
    <row r="58" spans="1:12" x14ac:dyDescent="0.25">
      <c r="A58" s="44" t="str">
        <f>Tabla10[[#This Row],[TIPO_P]] &amp; "|" &amp;Tabla10[[#This Row],[Agrupación]] &amp; "|" &amp; Tabla10[[#This Row],[Sexo]] &amp; "|" &amp; Tabla10[[#This Row],[Entidad]]</f>
        <v>PS|||</v>
      </c>
      <c r="B58" s="45" t="s">
        <v>1050</v>
      </c>
      <c r="C58" s="16"/>
      <c r="L58" s="26"/>
    </row>
    <row r="59" spans="1:12" x14ac:dyDescent="0.25">
      <c r="A59" s="44" t="str">
        <f>Tabla10[[#This Row],[TIPO_P]] &amp; "|" &amp;Tabla10[[#This Row],[Agrupación]] &amp; "|" &amp; Tabla10[[#This Row],[Sexo]] &amp; "|" &amp; Tabla10[[#This Row],[Entidad]]</f>
        <v>PS|||</v>
      </c>
      <c r="B59" s="45" t="s">
        <v>1050</v>
      </c>
      <c r="C59" s="16"/>
      <c r="L59" s="26"/>
    </row>
    <row r="60" spans="1:12" x14ac:dyDescent="0.25">
      <c r="A60" s="44" t="str">
        <f>Tabla10[[#This Row],[TIPO_P]] &amp; "|" &amp;Tabla10[[#This Row],[Agrupación]] &amp; "|" &amp; Tabla10[[#This Row],[Sexo]] &amp; "|" &amp; Tabla10[[#This Row],[Entidad]]</f>
        <v>PS|||</v>
      </c>
      <c r="B60" s="45" t="s">
        <v>1050</v>
      </c>
      <c r="C60" s="16"/>
      <c r="L60" s="26"/>
    </row>
    <row r="61" spans="1:12" x14ac:dyDescent="0.25">
      <c r="A61" s="44" t="str">
        <f>Tabla10[[#This Row],[TIPO_P]] &amp; "|" &amp;Tabla10[[#This Row],[Agrupación]] &amp; "|" &amp; Tabla10[[#This Row],[Sexo]] &amp; "|" &amp; Tabla10[[#This Row],[Entidad]]</f>
        <v>PS|||</v>
      </c>
      <c r="B61" s="45" t="s">
        <v>1050</v>
      </c>
      <c r="C61" s="16"/>
      <c r="L61" s="26"/>
    </row>
    <row r="62" spans="1:12" x14ac:dyDescent="0.25">
      <c r="A62" s="44" t="str">
        <f>Tabla10[[#This Row],[TIPO_P]] &amp; "|" &amp;Tabla10[[#This Row],[Agrupación]] &amp; "|" &amp; Tabla10[[#This Row],[Sexo]] &amp; "|" &amp; Tabla10[[#This Row],[Entidad]]</f>
        <v>PS|||</v>
      </c>
      <c r="B62" s="45" t="s">
        <v>1050</v>
      </c>
      <c r="C62" s="16"/>
      <c r="L62" s="26"/>
    </row>
    <row r="63" spans="1:12" x14ac:dyDescent="0.25">
      <c r="A63" s="44" t="str">
        <f>Tabla10[[#This Row],[TIPO_P]] &amp; "|" &amp;Tabla10[[#This Row],[Agrupación]] &amp; "|" &amp; Tabla10[[#This Row],[Sexo]] &amp; "|" &amp; Tabla10[[#This Row],[Entidad]]</f>
        <v>PS|||</v>
      </c>
      <c r="B63" s="45" t="s">
        <v>1050</v>
      </c>
      <c r="C63" s="16"/>
      <c r="L63" s="26"/>
    </row>
    <row r="64" spans="1:12" x14ac:dyDescent="0.25">
      <c r="A64" s="44" t="str">
        <f>Tabla10[[#This Row],[TIPO_P]] &amp; "|" &amp;Tabla10[[#This Row],[Agrupación]] &amp; "|" &amp; Tabla10[[#This Row],[Sexo]] &amp; "|" &amp; Tabla10[[#This Row],[Entidad]]</f>
        <v>PS|||</v>
      </c>
      <c r="B64" s="45" t="s">
        <v>1050</v>
      </c>
      <c r="C64" s="16"/>
      <c r="L64" s="26"/>
    </row>
    <row r="65" spans="1:12" x14ac:dyDescent="0.25">
      <c r="A65" s="44" t="str">
        <f>Tabla10[[#This Row],[TIPO_P]] &amp; "|" &amp;Tabla10[[#This Row],[Agrupación]] &amp; "|" &amp; Tabla10[[#This Row],[Sexo]] &amp; "|" &amp; Tabla10[[#This Row],[Entidad]]</f>
        <v>PS|||</v>
      </c>
      <c r="B65" s="45" t="s">
        <v>1050</v>
      </c>
      <c r="C65" s="16"/>
      <c r="L65" s="26"/>
    </row>
    <row r="66" spans="1:12" ht="15.75" thickBot="1" x14ac:dyDescent="0.3">
      <c r="A66" s="46" t="str">
        <f>Tabla10[[#This Row],[TIPO_P]] &amp; "|" &amp;Tabla10[[#This Row],[Agrupación]] &amp; "|" &amp; Tabla10[[#This Row],[Sexo]] &amp; "|" &amp; Tabla10[[#This Row],[Entidad]]</f>
        <v>PS|||</v>
      </c>
      <c r="B66" s="47" t="s">
        <v>1050</v>
      </c>
      <c r="C66" s="16"/>
      <c r="L66" s="26"/>
    </row>
    <row r="67" spans="1:12" x14ac:dyDescent="0.25">
      <c r="A67" s="44" t="str">
        <f>Tabla10[[#This Row],[TIPO_P]] &amp; "|" &amp;Tabla10[[#This Row],[Agrupación]] &amp; "|" &amp; Tabla10[[#This Row],[Sexo]] &amp; "|" &amp; Tabla10[[#This Row],[Entidad]]</f>
        <v>PI|||</v>
      </c>
      <c r="B67" s="45" t="s">
        <v>1046</v>
      </c>
      <c r="C67" s="48"/>
      <c r="D67" s="25"/>
      <c r="E67" s="25"/>
      <c r="F67" s="25"/>
      <c r="G67" s="25"/>
      <c r="H67" s="25"/>
      <c r="I67" s="25"/>
      <c r="J67" s="25"/>
      <c r="K67" s="25"/>
      <c r="L67" s="20"/>
    </row>
    <row r="68" spans="1:12" x14ac:dyDescent="0.25">
      <c r="A68" s="44" t="str">
        <f>Tabla10[[#This Row],[TIPO_P]] &amp; "|" &amp;Tabla10[[#This Row],[Agrupación]] &amp; "|" &amp; Tabla10[[#This Row],[Sexo]] &amp; "|" &amp; Tabla10[[#This Row],[Entidad]]</f>
        <v>PI|||</v>
      </c>
      <c r="B68" s="45" t="s">
        <v>1046</v>
      </c>
      <c r="C68" s="49"/>
      <c r="L68" s="26"/>
    </row>
    <row r="69" spans="1:12" x14ac:dyDescent="0.25">
      <c r="A69" s="44" t="str">
        <f>Tabla10[[#This Row],[TIPO_P]] &amp; "|" &amp;Tabla10[[#This Row],[Agrupación]] &amp; "|" &amp; Tabla10[[#This Row],[Sexo]] &amp; "|" &amp; Tabla10[[#This Row],[Entidad]]</f>
        <v>PI|||</v>
      </c>
      <c r="B69" s="45" t="s">
        <v>1046</v>
      </c>
      <c r="C69" s="49"/>
      <c r="L69" s="26"/>
    </row>
    <row r="70" spans="1:12" x14ac:dyDescent="0.25">
      <c r="A70" s="44" t="str">
        <f>Tabla10[[#This Row],[TIPO_P]] &amp; "|" &amp;Tabla10[[#This Row],[Agrupación]] &amp; "|" &amp; Tabla10[[#This Row],[Sexo]] &amp; "|" &amp; Tabla10[[#This Row],[Entidad]]</f>
        <v>PI|||</v>
      </c>
      <c r="B70" s="45" t="s">
        <v>1046</v>
      </c>
      <c r="C70" s="49"/>
      <c r="L70" s="26"/>
    </row>
    <row r="71" spans="1:12" x14ac:dyDescent="0.25">
      <c r="A71" s="44" t="str">
        <f>Tabla10[[#This Row],[TIPO_P]] &amp; "|" &amp;Tabla10[[#This Row],[Agrupación]] &amp; "|" &amp; Tabla10[[#This Row],[Sexo]] &amp; "|" &amp; Tabla10[[#This Row],[Entidad]]</f>
        <v>PI|||</v>
      </c>
      <c r="B71" s="45" t="s">
        <v>1046</v>
      </c>
      <c r="C71" s="49"/>
      <c r="L71" s="26"/>
    </row>
    <row r="72" spans="1:12" x14ac:dyDescent="0.25">
      <c r="A72" s="44" t="str">
        <f>Tabla10[[#This Row],[TIPO_P]] &amp; "|" &amp;Tabla10[[#This Row],[Agrupación]] &amp; "|" &amp; Tabla10[[#This Row],[Sexo]] &amp; "|" &amp; Tabla10[[#This Row],[Entidad]]</f>
        <v>PI|||</v>
      </c>
      <c r="B72" s="45" t="s">
        <v>1046</v>
      </c>
      <c r="C72" s="49"/>
      <c r="L72" s="26"/>
    </row>
    <row r="73" spans="1:12" x14ac:dyDescent="0.25">
      <c r="A73" s="44" t="str">
        <f>Tabla10[[#This Row],[TIPO_P]] &amp; "|" &amp;Tabla10[[#This Row],[Agrupación]] &amp; "|" &amp; Tabla10[[#This Row],[Sexo]] &amp; "|" &amp; Tabla10[[#This Row],[Entidad]]</f>
        <v>PI|||</v>
      </c>
      <c r="B73" s="45" t="s">
        <v>1046</v>
      </c>
      <c r="C73" s="49"/>
      <c r="L73" s="26"/>
    </row>
    <row r="74" spans="1:12" x14ac:dyDescent="0.25">
      <c r="A74" s="44" t="str">
        <f>Tabla10[[#This Row],[TIPO_P]] &amp; "|" &amp;Tabla10[[#This Row],[Agrupación]] &amp; "|" &amp; Tabla10[[#This Row],[Sexo]] &amp; "|" &amp; Tabla10[[#This Row],[Entidad]]</f>
        <v>PI|||</v>
      </c>
      <c r="B74" s="45" t="s">
        <v>1046</v>
      </c>
      <c r="C74" s="49"/>
      <c r="L74" s="26"/>
    </row>
    <row r="75" spans="1:12" x14ac:dyDescent="0.25">
      <c r="A75" s="44" t="str">
        <f>Tabla10[[#This Row],[TIPO_P]] &amp; "|" &amp;Tabla10[[#This Row],[Agrupación]] &amp; "|" &amp; Tabla10[[#This Row],[Sexo]] &amp; "|" &amp; Tabla10[[#This Row],[Entidad]]</f>
        <v>PI|||</v>
      </c>
      <c r="B75" s="45" t="s">
        <v>1046</v>
      </c>
      <c r="C75" s="49"/>
      <c r="L75" s="26"/>
    </row>
    <row r="76" spans="1:12" x14ac:dyDescent="0.25">
      <c r="A76" s="44" t="str">
        <f>Tabla10[[#This Row],[TIPO_P]] &amp; "|" &amp;Tabla10[[#This Row],[Agrupación]] &amp; "|" &amp; Tabla10[[#This Row],[Sexo]] &amp; "|" &amp; Tabla10[[#This Row],[Entidad]]</f>
        <v>PI|||</v>
      </c>
      <c r="B76" s="45" t="s">
        <v>1046</v>
      </c>
      <c r="C76" s="49"/>
      <c r="L76" s="26"/>
    </row>
    <row r="77" spans="1:12" x14ac:dyDescent="0.25">
      <c r="A77" s="44" t="str">
        <f>Tabla10[[#This Row],[TIPO_P]] &amp; "|" &amp;Tabla10[[#This Row],[Agrupación]] &amp; "|" &amp; Tabla10[[#This Row],[Sexo]] &amp; "|" &amp; Tabla10[[#This Row],[Entidad]]</f>
        <v>PI|||</v>
      </c>
      <c r="B77" s="45" t="s">
        <v>1046</v>
      </c>
      <c r="C77" s="49"/>
      <c r="L77" s="26"/>
    </row>
    <row r="78" spans="1:12" x14ac:dyDescent="0.25">
      <c r="A78" s="44" t="str">
        <f>Tabla10[[#This Row],[TIPO_P]] &amp; "|" &amp;Tabla10[[#This Row],[Agrupación]] &amp; "|" &amp; Tabla10[[#This Row],[Sexo]] &amp; "|" &amp; Tabla10[[#This Row],[Entidad]]</f>
        <v>PI|||</v>
      </c>
      <c r="B78" s="45" t="s">
        <v>1046</v>
      </c>
      <c r="C78" s="49"/>
      <c r="L78" s="26"/>
    </row>
    <row r="79" spans="1:12" x14ac:dyDescent="0.25">
      <c r="A79" s="44" t="str">
        <f>Tabla10[[#This Row],[TIPO_P]] &amp; "|" &amp;Tabla10[[#This Row],[Agrupación]] &amp; "|" &amp; Tabla10[[#This Row],[Sexo]] &amp; "|" &amp; Tabla10[[#This Row],[Entidad]]</f>
        <v>PI|||</v>
      </c>
      <c r="B79" s="45" t="s">
        <v>1046</v>
      </c>
      <c r="C79" s="49"/>
      <c r="L79" s="26"/>
    </row>
    <row r="80" spans="1:12" x14ac:dyDescent="0.25">
      <c r="A80" s="44" t="str">
        <f>Tabla10[[#This Row],[TIPO_P]] &amp; "|" &amp;Tabla10[[#This Row],[Agrupación]] &amp; "|" &amp; Tabla10[[#This Row],[Sexo]] &amp; "|" &amp; Tabla10[[#This Row],[Entidad]]</f>
        <v>PI|||</v>
      </c>
      <c r="B80" s="45" t="s">
        <v>1046</v>
      </c>
      <c r="C80" s="49"/>
      <c r="L80" s="26"/>
    </row>
    <row r="81" spans="1:12" x14ac:dyDescent="0.25">
      <c r="A81" s="44" t="str">
        <f>Tabla10[[#This Row],[TIPO_P]] &amp; "|" &amp;Tabla10[[#This Row],[Agrupación]] &amp; "|" &amp; Tabla10[[#This Row],[Sexo]] &amp; "|" &amp; Tabla10[[#This Row],[Entidad]]</f>
        <v>PI|||</v>
      </c>
      <c r="B81" s="45" t="s">
        <v>1046</v>
      </c>
      <c r="C81" s="49"/>
      <c r="L81" s="26"/>
    </row>
    <row r="82" spans="1:12" x14ac:dyDescent="0.25">
      <c r="A82" s="44" t="str">
        <f>Tabla10[[#This Row],[TIPO_P]] &amp; "|" &amp;Tabla10[[#This Row],[Agrupación]] &amp; "|" &amp; Tabla10[[#This Row],[Sexo]] &amp; "|" &amp; Tabla10[[#This Row],[Entidad]]</f>
        <v>PI|||</v>
      </c>
      <c r="B82" s="45" t="s">
        <v>1046</v>
      </c>
      <c r="C82" s="49"/>
      <c r="L82" s="26"/>
    </row>
    <row r="83" spans="1:12" x14ac:dyDescent="0.25">
      <c r="A83" s="44" t="str">
        <f>Tabla10[[#This Row],[TIPO_P]] &amp; "|" &amp;Tabla10[[#This Row],[Agrupación]] &amp; "|" &amp; Tabla10[[#This Row],[Sexo]] &amp; "|" &amp; Tabla10[[#This Row],[Entidad]]</f>
        <v>PI|||</v>
      </c>
      <c r="B83" s="45" t="s">
        <v>1046</v>
      </c>
      <c r="C83" s="49"/>
      <c r="L83" s="26"/>
    </row>
    <row r="84" spans="1:12" x14ac:dyDescent="0.25">
      <c r="A84" s="44" t="str">
        <f>Tabla10[[#This Row],[TIPO_P]] &amp; "|" &amp;Tabla10[[#This Row],[Agrupación]] &amp; "|" &amp; Tabla10[[#This Row],[Sexo]] &amp; "|" &amp; Tabla10[[#This Row],[Entidad]]</f>
        <v>PI|||</v>
      </c>
      <c r="B84" s="45" t="s">
        <v>1046</v>
      </c>
      <c r="C84" s="49"/>
      <c r="L84" s="26"/>
    </row>
    <row r="85" spans="1:12" x14ac:dyDescent="0.25">
      <c r="A85" s="44" t="str">
        <f>Tabla10[[#This Row],[TIPO_P]] &amp; "|" &amp;Tabla10[[#This Row],[Agrupación]] &amp; "|" &amp; Tabla10[[#This Row],[Sexo]] &amp; "|" &amp; Tabla10[[#This Row],[Entidad]]</f>
        <v>PI|||</v>
      </c>
      <c r="B85" s="45" t="s">
        <v>1046</v>
      </c>
      <c r="C85" s="49"/>
      <c r="L85" s="26"/>
    </row>
    <row r="86" spans="1:12" x14ac:dyDescent="0.25">
      <c r="A86" s="44" t="str">
        <f>Tabla10[[#This Row],[TIPO_P]] &amp; "|" &amp;Tabla10[[#This Row],[Agrupación]] &amp; "|" &amp; Tabla10[[#This Row],[Sexo]] &amp; "|" &amp; Tabla10[[#This Row],[Entidad]]</f>
        <v>PI|||</v>
      </c>
      <c r="B86" s="45" t="s">
        <v>1046</v>
      </c>
      <c r="C86" s="49"/>
      <c r="L86" s="26"/>
    </row>
    <row r="87" spans="1:12" x14ac:dyDescent="0.25">
      <c r="A87" s="44" t="str">
        <f>Tabla10[[#This Row],[TIPO_P]] &amp; "|" &amp;Tabla10[[#This Row],[Agrupación]] &amp; "|" &amp; Tabla10[[#This Row],[Sexo]] &amp; "|" &amp; Tabla10[[#This Row],[Entidad]]</f>
        <v>PI|||</v>
      </c>
      <c r="B87" s="45" t="s">
        <v>1046</v>
      </c>
      <c r="C87" s="49"/>
      <c r="L87" s="26"/>
    </row>
    <row r="88" spans="1:12" x14ac:dyDescent="0.25">
      <c r="A88" s="44" t="str">
        <f>Tabla10[[#This Row],[TIPO_P]] &amp; "|" &amp;Tabla10[[#This Row],[Agrupación]] &amp; "|" &amp; Tabla10[[#This Row],[Sexo]] &amp; "|" &amp; Tabla10[[#This Row],[Entidad]]</f>
        <v>PI|||</v>
      </c>
      <c r="B88" s="45" t="s">
        <v>1046</v>
      </c>
      <c r="C88" s="49"/>
      <c r="L88" s="26"/>
    </row>
    <row r="89" spans="1:12" x14ac:dyDescent="0.25">
      <c r="A89" s="44" t="str">
        <f>Tabla10[[#This Row],[TIPO_P]] &amp; "|" &amp;Tabla10[[#This Row],[Agrupación]] &amp; "|" &amp; Tabla10[[#This Row],[Sexo]] &amp; "|" &amp; Tabla10[[#This Row],[Entidad]]</f>
        <v>PI|||</v>
      </c>
      <c r="B89" s="45" t="s">
        <v>1046</v>
      </c>
      <c r="C89" s="49"/>
      <c r="L89" s="26"/>
    </row>
    <row r="90" spans="1:12" x14ac:dyDescent="0.25">
      <c r="A90" s="44" t="str">
        <f>Tabla10[[#This Row],[TIPO_P]] &amp; "|" &amp;Tabla10[[#This Row],[Agrupación]] &amp; "|" &amp; Tabla10[[#This Row],[Sexo]] &amp; "|" &amp; Tabla10[[#This Row],[Entidad]]</f>
        <v>PI|||</v>
      </c>
      <c r="B90" s="45" t="s">
        <v>1046</v>
      </c>
      <c r="C90" s="49"/>
      <c r="L90" s="26"/>
    </row>
    <row r="91" spans="1:12" x14ac:dyDescent="0.25">
      <c r="A91" s="44" t="str">
        <f>Tabla10[[#This Row],[TIPO_P]] &amp; "|" &amp;Tabla10[[#This Row],[Agrupación]] &amp; "|" &amp; Tabla10[[#This Row],[Sexo]] &amp; "|" &amp; Tabla10[[#This Row],[Entidad]]</f>
        <v>PI|||</v>
      </c>
      <c r="B91" s="45" t="s">
        <v>1046</v>
      </c>
      <c r="C91" s="49"/>
      <c r="L91" s="26"/>
    </row>
    <row r="92" spans="1:12" x14ac:dyDescent="0.25">
      <c r="A92" s="44" t="str">
        <f>Tabla10[[#This Row],[TIPO_P]] &amp; "|" &amp;Tabla10[[#This Row],[Agrupación]] &amp; "|" &amp; Tabla10[[#This Row],[Sexo]] &amp; "|" &amp; Tabla10[[#This Row],[Entidad]]</f>
        <v>PI|||</v>
      </c>
      <c r="B92" s="45" t="s">
        <v>1046</v>
      </c>
      <c r="C92" s="49"/>
      <c r="L92" s="26"/>
    </row>
    <row r="93" spans="1:12" x14ac:dyDescent="0.25">
      <c r="A93" s="44" t="str">
        <f>Tabla10[[#This Row],[TIPO_P]] &amp; "|" &amp;Tabla10[[#This Row],[Agrupación]] &amp; "|" &amp; Tabla10[[#This Row],[Sexo]] &amp; "|" &amp; Tabla10[[#This Row],[Entidad]]</f>
        <v>PI|||</v>
      </c>
      <c r="B93" s="45" t="s">
        <v>1046</v>
      </c>
      <c r="C93" s="49"/>
      <c r="L93" s="26"/>
    </row>
    <row r="94" spans="1:12" x14ac:dyDescent="0.25">
      <c r="A94" s="44" t="str">
        <f>Tabla10[[#This Row],[TIPO_P]] &amp; "|" &amp;Tabla10[[#This Row],[Agrupación]] &amp; "|" &amp; Tabla10[[#This Row],[Sexo]] &amp; "|" &amp; Tabla10[[#This Row],[Entidad]]</f>
        <v>PI|||</v>
      </c>
      <c r="B94" s="45" t="s">
        <v>1046</v>
      </c>
      <c r="C94" s="49"/>
      <c r="L94" s="26"/>
    </row>
    <row r="95" spans="1:12" x14ac:dyDescent="0.25">
      <c r="A95" s="44" t="str">
        <f>Tabla10[[#This Row],[TIPO_P]] &amp; "|" &amp;Tabla10[[#This Row],[Agrupación]] &amp; "|" &amp; Tabla10[[#This Row],[Sexo]] &amp; "|" &amp; Tabla10[[#This Row],[Entidad]]</f>
        <v>PI|||</v>
      </c>
      <c r="B95" s="45" t="s">
        <v>1046</v>
      </c>
      <c r="C95" s="49"/>
      <c r="L95" s="26"/>
    </row>
    <row r="96" spans="1:12" x14ac:dyDescent="0.25">
      <c r="A96" s="44" t="str">
        <f>Tabla10[[#This Row],[TIPO_P]] &amp; "|" &amp;Tabla10[[#This Row],[Agrupación]] &amp; "|" &amp; Tabla10[[#This Row],[Sexo]] &amp; "|" &amp; Tabla10[[#This Row],[Entidad]]</f>
        <v>PI|||</v>
      </c>
      <c r="B96" s="45" t="s">
        <v>1046</v>
      </c>
      <c r="C96" s="49"/>
      <c r="L96" s="26"/>
    </row>
    <row r="97" spans="1:12" x14ac:dyDescent="0.25">
      <c r="A97" s="44" t="str">
        <f>Tabla10[[#This Row],[TIPO_P]] &amp; "|" &amp;Tabla10[[#This Row],[Agrupación]] &amp; "|" &amp; Tabla10[[#This Row],[Sexo]] &amp; "|" &amp; Tabla10[[#This Row],[Entidad]]</f>
        <v>PI|||</v>
      </c>
      <c r="B97" s="45" t="s">
        <v>1046</v>
      </c>
      <c r="C97" s="49"/>
      <c r="L97" s="26"/>
    </row>
    <row r="98" spans="1:12" x14ac:dyDescent="0.25">
      <c r="A98" s="44" t="str">
        <f>Tabla10[[#This Row],[TIPO_P]] &amp; "|" &amp;Tabla10[[#This Row],[Agrupación]] &amp; "|" &amp; Tabla10[[#This Row],[Sexo]] &amp; "|" &amp; Tabla10[[#This Row],[Entidad]]</f>
        <v>PI|||</v>
      </c>
      <c r="B98" s="45" t="s">
        <v>1046</v>
      </c>
      <c r="C98" s="49"/>
      <c r="L98" s="26"/>
    </row>
    <row r="99" spans="1:12" x14ac:dyDescent="0.25">
      <c r="A99" s="44" t="str">
        <f>Tabla10[[#This Row],[TIPO_P]] &amp; "|" &amp;Tabla10[[#This Row],[Agrupación]] &amp; "|" &amp; Tabla10[[#This Row],[Sexo]] &amp; "|" &amp; Tabla10[[#This Row],[Entidad]]</f>
        <v>PI|||</v>
      </c>
      <c r="B99" s="45" t="s">
        <v>1046</v>
      </c>
      <c r="C99" s="49"/>
      <c r="L99" s="26"/>
    </row>
    <row r="100" spans="1:12" x14ac:dyDescent="0.25">
      <c r="A100" s="44" t="str">
        <f>Tabla10[[#This Row],[TIPO_P]] &amp; "|" &amp;Tabla10[[#This Row],[Agrupación]] &amp; "|" &amp; Tabla10[[#This Row],[Sexo]] &amp; "|" &amp; Tabla10[[#This Row],[Entidad]]</f>
        <v>PI|||</v>
      </c>
      <c r="B100" s="45" t="s">
        <v>1046</v>
      </c>
      <c r="C100" s="49"/>
      <c r="L100" s="26"/>
    </row>
    <row r="101" spans="1:12" x14ac:dyDescent="0.25">
      <c r="A101" s="44" t="str">
        <f>Tabla10[[#This Row],[TIPO_P]] &amp; "|" &amp;Tabla10[[#This Row],[Agrupación]] &amp; "|" &amp; Tabla10[[#This Row],[Sexo]] &amp; "|" &amp; Tabla10[[#This Row],[Entidad]]</f>
        <v>PI|||</v>
      </c>
      <c r="B101" s="45" t="s">
        <v>1046</v>
      </c>
      <c r="C101" s="49"/>
      <c r="L101" s="26"/>
    </row>
    <row r="102" spans="1:12" x14ac:dyDescent="0.25">
      <c r="A102" s="44" t="str">
        <f>Tabla10[[#This Row],[TIPO_P]] &amp; "|" &amp;Tabla10[[#This Row],[Agrupación]] &amp; "|" &amp; Tabla10[[#This Row],[Sexo]] &amp; "|" &amp; Tabla10[[#This Row],[Entidad]]</f>
        <v>PI|||</v>
      </c>
      <c r="B102" s="45" t="s">
        <v>1046</v>
      </c>
      <c r="C102" s="49"/>
      <c r="L102" s="26"/>
    </row>
    <row r="103" spans="1:12" x14ac:dyDescent="0.25">
      <c r="A103" s="44" t="str">
        <f>Tabla10[[#This Row],[TIPO_P]] &amp; "|" &amp;Tabla10[[#This Row],[Agrupación]] &amp; "|" &amp; Tabla10[[#This Row],[Sexo]] &amp; "|" &amp; Tabla10[[#This Row],[Entidad]]</f>
        <v>PI|||</v>
      </c>
      <c r="B103" s="45" t="s">
        <v>1046</v>
      </c>
      <c r="C103" s="49"/>
      <c r="L103" s="26"/>
    </row>
    <row r="104" spans="1:12" x14ac:dyDescent="0.25">
      <c r="A104" s="44" t="str">
        <f>Tabla10[[#This Row],[TIPO_P]] &amp; "|" &amp;Tabla10[[#This Row],[Agrupación]] &amp; "|" &amp; Tabla10[[#This Row],[Sexo]] &amp; "|" &amp; Tabla10[[#This Row],[Entidad]]</f>
        <v>PI|||</v>
      </c>
      <c r="B104" s="45" t="s">
        <v>1046</v>
      </c>
      <c r="C104" s="49"/>
      <c r="L104" s="26"/>
    </row>
    <row r="105" spans="1:12" x14ac:dyDescent="0.25">
      <c r="A105" s="44" t="str">
        <f>Tabla10[[#This Row],[TIPO_P]] &amp; "|" &amp;Tabla10[[#This Row],[Agrupación]] &amp; "|" &amp; Tabla10[[#This Row],[Sexo]] &amp; "|" &amp; Tabla10[[#This Row],[Entidad]]</f>
        <v>PI|||</v>
      </c>
      <c r="B105" s="45" t="s">
        <v>1046</v>
      </c>
      <c r="C105" s="49"/>
      <c r="L105" s="26"/>
    </row>
    <row r="106" spans="1:12" x14ac:dyDescent="0.25">
      <c r="A106" s="44" t="str">
        <f>Tabla10[[#This Row],[TIPO_P]] &amp; "|" &amp;Tabla10[[#This Row],[Agrupación]] &amp; "|" &amp; Tabla10[[#This Row],[Sexo]] &amp; "|" &amp; Tabla10[[#This Row],[Entidad]]</f>
        <v>PI|||</v>
      </c>
      <c r="B106" s="45" t="s">
        <v>1046</v>
      </c>
      <c r="C106" s="49"/>
      <c r="L106" s="26"/>
    </row>
    <row r="107" spans="1:12" x14ac:dyDescent="0.25">
      <c r="A107" s="44" t="str">
        <f>Tabla10[[#This Row],[TIPO_P]] &amp; "|" &amp;Tabla10[[#This Row],[Agrupación]] &amp; "|" &amp; Tabla10[[#This Row],[Sexo]] &amp; "|" &amp; Tabla10[[#This Row],[Entidad]]</f>
        <v>PI|||</v>
      </c>
      <c r="B107" s="45" t="s">
        <v>1046</v>
      </c>
      <c r="C107" s="49"/>
      <c r="L107" s="26"/>
    </row>
    <row r="108" spans="1:12" x14ac:dyDescent="0.25">
      <c r="A108" s="44" t="str">
        <f>Tabla10[[#This Row],[TIPO_P]] &amp; "|" &amp;Tabla10[[#This Row],[Agrupación]] &amp; "|" &amp; Tabla10[[#This Row],[Sexo]] &amp; "|" &amp; Tabla10[[#This Row],[Entidad]]</f>
        <v>PI|||</v>
      </c>
      <c r="B108" s="45" t="s">
        <v>1046</v>
      </c>
      <c r="C108" s="49"/>
      <c r="L108" s="26"/>
    </row>
    <row r="109" spans="1:12" x14ac:dyDescent="0.25">
      <c r="A109" s="44" t="str">
        <f>Tabla10[[#This Row],[TIPO_P]] &amp; "|" &amp;Tabla10[[#This Row],[Agrupación]] &amp; "|" &amp; Tabla10[[#This Row],[Sexo]] &amp; "|" &amp; Tabla10[[#This Row],[Entidad]]</f>
        <v>PI|||</v>
      </c>
      <c r="B109" s="45" t="s">
        <v>1046</v>
      </c>
      <c r="C109" s="49"/>
      <c r="L109" s="26"/>
    </row>
    <row r="110" spans="1:12" x14ac:dyDescent="0.25">
      <c r="A110" s="44" t="str">
        <f>Tabla10[[#This Row],[TIPO_P]] &amp; "|" &amp;Tabla10[[#This Row],[Agrupación]] &amp; "|" &amp; Tabla10[[#This Row],[Sexo]] &amp; "|" &amp; Tabla10[[#This Row],[Entidad]]</f>
        <v>PI|||</v>
      </c>
      <c r="B110" s="45" t="s">
        <v>1046</v>
      </c>
      <c r="C110" s="49"/>
      <c r="L110" s="26"/>
    </row>
    <row r="111" spans="1:12" x14ac:dyDescent="0.25">
      <c r="A111" s="44" t="str">
        <f>Tabla10[[#This Row],[TIPO_P]] &amp; "|" &amp;Tabla10[[#This Row],[Agrupación]] &amp; "|" &amp; Tabla10[[#This Row],[Sexo]] &amp; "|" &amp; Tabla10[[#This Row],[Entidad]]</f>
        <v>PI|||</v>
      </c>
      <c r="B111" s="45" t="s">
        <v>1046</v>
      </c>
      <c r="C111" s="49"/>
      <c r="L111" s="26"/>
    </row>
    <row r="112" spans="1:12" x14ac:dyDescent="0.25">
      <c r="A112" s="44" t="str">
        <f>Tabla10[[#This Row],[TIPO_P]] &amp; "|" &amp;Tabla10[[#This Row],[Agrupación]] &amp; "|" &amp; Tabla10[[#This Row],[Sexo]] &amp; "|" &amp; Tabla10[[#This Row],[Entidad]]</f>
        <v>PI|||</v>
      </c>
      <c r="B112" s="45" t="s">
        <v>1046</v>
      </c>
      <c r="C112" s="49"/>
      <c r="L112" s="26"/>
    </row>
    <row r="113" spans="1:12" x14ac:dyDescent="0.25">
      <c r="A113" s="44" t="str">
        <f>Tabla10[[#This Row],[TIPO_P]] &amp; "|" &amp;Tabla10[[#This Row],[Agrupación]] &amp; "|" &amp; Tabla10[[#This Row],[Sexo]] &amp; "|" &amp; Tabla10[[#This Row],[Entidad]]</f>
        <v>PI|||</v>
      </c>
      <c r="B113" s="45" t="s">
        <v>1046</v>
      </c>
      <c r="C113" s="49"/>
      <c r="L113" s="26"/>
    </row>
    <row r="114" spans="1:12" x14ac:dyDescent="0.25">
      <c r="A114" s="44" t="str">
        <f>Tabla10[[#This Row],[TIPO_P]] &amp; "|" &amp;Tabla10[[#This Row],[Agrupación]] &amp; "|" &amp; Tabla10[[#This Row],[Sexo]] &amp; "|" &amp; Tabla10[[#This Row],[Entidad]]</f>
        <v>PI|||</v>
      </c>
      <c r="B114" s="45" t="s">
        <v>1046</v>
      </c>
      <c r="C114" s="49"/>
      <c r="L114" s="26"/>
    </row>
    <row r="115" spans="1:12" x14ac:dyDescent="0.25">
      <c r="A115" s="44" t="str">
        <f>Tabla10[[#This Row],[TIPO_P]] &amp; "|" &amp;Tabla10[[#This Row],[Agrupación]] &amp; "|" &amp; Tabla10[[#This Row],[Sexo]] &amp; "|" &amp; Tabla10[[#This Row],[Entidad]]</f>
        <v>PI|||</v>
      </c>
      <c r="B115" s="45" t="s">
        <v>1046</v>
      </c>
      <c r="C115" s="49"/>
      <c r="L115" s="26"/>
    </row>
    <row r="116" spans="1:12" x14ac:dyDescent="0.25">
      <c r="A116" s="44" t="str">
        <f>Tabla10[[#This Row],[TIPO_P]] &amp; "|" &amp;Tabla10[[#This Row],[Agrupación]] &amp; "|" &amp; Tabla10[[#This Row],[Sexo]] &amp; "|" &amp; Tabla10[[#This Row],[Entidad]]</f>
        <v>PI|||</v>
      </c>
      <c r="B116" s="45" t="s">
        <v>1046</v>
      </c>
      <c r="C116" s="49"/>
      <c r="L116" s="26"/>
    </row>
    <row r="117" spans="1:12" x14ac:dyDescent="0.25">
      <c r="A117" s="44" t="str">
        <f>Tabla10[[#This Row],[TIPO_P]] &amp; "|" &amp;Tabla10[[#This Row],[Agrupación]] &amp; "|" &amp; Tabla10[[#This Row],[Sexo]] &amp; "|" &amp; Tabla10[[#This Row],[Entidad]]</f>
        <v>PI|||</v>
      </c>
      <c r="B117" s="45" t="s">
        <v>1046</v>
      </c>
      <c r="C117" s="49"/>
      <c r="L117" s="26"/>
    </row>
    <row r="118" spans="1:12" x14ac:dyDescent="0.25">
      <c r="A118" s="44" t="str">
        <f>Tabla10[[#This Row],[TIPO_P]] &amp; "|" &amp;Tabla10[[#This Row],[Agrupación]] &amp; "|" &amp; Tabla10[[#This Row],[Sexo]] &amp; "|" &amp; Tabla10[[#This Row],[Entidad]]</f>
        <v>PI|||</v>
      </c>
      <c r="B118" s="45" t="s">
        <v>1046</v>
      </c>
      <c r="C118" s="49"/>
      <c r="L118" s="26"/>
    </row>
    <row r="119" spans="1:12" x14ac:dyDescent="0.25">
      <c r="A119" s="44" t="str">
        <f>Tabla10[[#This Row],[TIPO_P]] &amp; "|" &amp;Tabla10[[#This Row],[Agrupación]] &amp; "|" &amp; Tabla10[[#This Row],[Sexo]] &amp; "|" &amp; Tabla10[[#This Row],[Entidad]]</f>
        <v>PI|||</v>
      </c>
      <c r="B119" s="45" t="s">
        <v>1046</v>
      </c>
      <c r="C119" s="49"/>
      <c r="L119" s="26"/>
    </row>
    <row r="120" spans="1:12" x14ac:dyDescent="0.25">
      <c r="A120" s="44" t="str">
        <f>Tabla10[[#This Row],[TIPO_P]] &amp; "|" &amp;Tabla10[[#This Row],[Agrupación]] &amp; "|" &amp; Tabla10[[#This Row],[Sexo]] &amp; "|" &amp; Tabla10[[#This Row],[Entidad]]</f>
        <v>PI|||</v>
      </c>
      <c r="B120" s="45" t="s">
        <v>1046</v>
      </c>
      <c r="C120" s="49"/>
      <c r="L120" s="26"/>
    </row>
    <row r="121" spans="1:12" x14ac:dyDescent="0.25">
      <c r="A121" s="44" t="str">
        <f>Tabla10[[#This Row],[TIPO_P]] &amp; "|" &amp;Tabla10[[#This Row],[Agrupación]] &amp; "|" &amp; Tabla10[[#This Row],[Sexo]] &amp; "|" &amp; Tabla10[[#This Row],[Entidad]]</f>
        <v>PI|||</v>
      </c>
      <c r="B121" s="45" t="s">
        <v>1046</v>
      </c>
      <c r="C121" s="49"/>
      <c r="L121" s="26"/>
    </row>
    <row r="122" spans="1:12" x14ac:dyDescent="0.25">
      <c r="A122" s="44" t="str">
        <f>Tabla10[[#This Row],[TIPO_P]] &amp; "|" &amp;Tabla10[[#This Row],[Agrupación]] &amp; "|" &amp; Tabla10[[#This Row],[Sexo]] &amp; "|" &amp; Tabla10[[#This Row],[Entidad]]</f>
        <v>PI|||</v>
      </c>
      <c r="B122" s="45" t="s">
        <v>1046</v>
      </c>
      <c r="C122" s="49"/>
      <c r="L122" s="26"/>
    </row>
    <row r="123" spans="1:12" x14ac:dyDescent="0.25">
      <c r="A123" s="44" t="str">
        <f>Tabla10[[#This Row],[TIPO_P]] &amp; "|" &amp;Tabla10[[#This Row],[Agrupación]] &amp; "|" &amp; Tabla10[[#This Row],[Sexo]] &amp; "|" &amp; Tabla10[[#This Row],[Entidad]]</f>
        <v>PI|||</v>
      </c>
      <c r="B123" s="45" t="s">
        <v>1046</v>
      </c>
      <c r="C123" s="49"/>
      <c r="L123" s="26"/>
    </row>
    <row r="124" spans="1:12" x14ac:dyDescent="0.25">
      <c r="A124" s="44" t="str">
        <f>Tabla10[[#This Row],[TIPO_P]] &amp; "|" &amp;Tabla10[[#This Row],[Agrupación]] &amp; "|" &amp; Tabla10[[#This Row],[Sexo]] &amp; "|" &amp; Tabla10[[#This Row],[Entidad]]</f>
        <v>PI|||</v>
      </c>
      <c r="B124" s="45" t="s">
        <v>1046</v>
      </c>
      <c r="C124" s="49"/>
      <c r="L124" s="26"/>
    </row>
    <row r="125" spans="1:12" x14ac:dyDescent="0.25">
      <c r="A125" s="44" t="str">
        <f>Tabla10[[#This Row],[TIPO_P]] &amp; "|" &amp;Tabla10[[#This Row],[Agrupación]] &amp; "|" &amp; Tabla10[[#This Row],[Sexo]] &amp; "|" &amp; Tabla10[[#This Row],[Entidad]]</f>
        <v>PI|||</v>
      </c>
      <c r="B125" s="45" t="s">
        <v>1046</v>
      </c>
      <c r="C125" s="49"/>
      <c r="L125" s="26"/>
    </row>
    <row r="126" spans="1:12" x14ac:dyDescent="0.25">
      <c r="A126" s="44" t="str">
        <f>Tabla10[[#This Row],[TIPO_P]] &amp; "|" &amp;Tabla10[[#This Row],[Agrupación]] &amp; "|" &amp; Tabla10[[#This Row],[Sexo]] &amp; "|" &amp; Tabla10[[#This Row],[Entidad]]</f>
        <v>PI|||</v>
      </c>
      <c r="B126" s="45" t="s">
        <v>1046</v>
      </c>
      <c r="C126" s="49"/>
      <c r="L126" s="26"/>
    </row>
    <row r="127" spans="1:12" x14ac:dyDescent="0.25">
      <c r="A127" s="44" t="str">
        <f>Tabla10[[#This Row],[TIPO_P]] &amp; "|" &amp;Tabla10[[#This Row],[Agrupación]] &amp; "|" &amp; Tabla10[[#This Row],[Sexo]] &amp; "|" &amp; Tabla10[[#This Row],[Entidad]]</f>
        <v>PI|||</v>
      </c>
      <c r="B127" s="45" t="s">
        <v>1046</v>
      </c>
      <c r="C127" s="49"/>
      <c r="L127" s="26"/>
    </row>
    <row r="128" spans="1:12" x14ac:dyDescent="0.25">
      <c r="A128" s="44" t="str">
        <f>Tabla10[[#This Row],[TIPO_P]] &amp; "|" &amp;Tabla10[[#This Row],[Agrupación]] &amp; "|" &amp; Tabla10[[#This Row],[Sexo]] &amp; "|" &amp; Tabla10[[#This Row],[Entidad]]</f>
        <v>PI|||</v>
      </c>
      <c r="B128" s="45" t="s">
        <v>1046</v>
      </c>
      <c r="C128" s="49"/>
      <c r="L128" s="26"/>
    </row>
    <row r="129" spans="1:12" x14ac:dyDescent="0.25">
      <c r="A129" s="44" t="str">
        <f>Tabla10[[#This Row],[TIPO_P]] &amp; "|" &amp;Tabla10[[#This Row],[Agrupación]] &amp; "|" &amp; Tabla10[[#This Row],[Sexo]] &amp; "|" &amp; Tabla10[[#This Row],[Entidad]]</f>
        <v>PI|||</v>
      </c>
      <c r="B129" s="45" t="s">
        <v>1046</v>
      </c>
      <c r="C129" s="49"/>
      <c r="L129" s="26"/>
    </row>
    <row r="130" spans="1:12" ht="15.75" thickBot="1" x14ac:dyDescent="0.3">
      <c r="A130" s="46" t="str">
        <f>Tabla10[[#This Row],[TIPO_P]] &amp; "|" &amp;Tabla10[[#This Row],[Agrupación]] &amp; "|" &amp; Tabla10[[#This Row],[Sexo]] &amp; "|" &amp; Tabla10[[#This Row],[Entidad]]</f>
        <v>PI|||</v>
      </c>
      <c r="B130" s="47" t="s">
        <v>1046</v>
      </c>
      <c r="C130" s="50"/>
      <c r="D130" s="27"/>
      <c r="E130" s="27"/>
      <c r="F130" s="27"/>
      <c r="G130" s="27"/>
      <c r="H130" s="27"/>
      <c r="I130" s="27"/>
      <c r="J130" s="27"/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abSelected="1" topLeftCell="B1" workbookViewId="0">
      <pane ySplit="1" topLeftCell="A2" activePane="bottomLeft" state="frozen"/>
      <selection activeCell="B1" sqref="B1"/>
      <selection pane="bottomLeft" activeCell="B1" sqref="B1:C1"/>
    </sheetView>
  </sheetViews>
  <sheetFormatPr baseColWidth="10" defaultRowHeight="15" x14ac:dyDescent="0.25"/>
  <cols>
    <col min="1" max="1" width="8.7109375" hidden="1" customWidth="1"/>
    <col min="2" max="3" width="8.7109375" customWidth="1"/>
    <col min="4" max="4" width="19.7109375" hidden="1" customWidth="1"/>
    <col min="5" max="5" width="9.14062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92" customWidth="1"/>
  </cols>
  <sheetData>
    <row r="1" spans="1:17" ht="19.899999999999999" customHeight="1" x14ac:dyDescent="0.3">
      <c r="A1" s="52"/>
      <c r="B1" s="89">
        <v>2024</v>
      </c>
      <c r="C1" s="89"/>
      <c r="D1" s="53"/>
      <c r="E1" s="90" t="s">
        <v>16</v>
      </c>
      <c r="F1" s="90"/>
      <c r="O1" s="88">
        <f>SUM(Tabla410[[PI]:[PS]])</f>
        <v>0</v>
      </c>
      <c r="P1" s="88"/>
    </row>
    <row r="2" spans="1:17" ht="27.75" customHeight="1" thickBot="1" x14ac:dyDescent="0.3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25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2" t="str">
        <f>Tabla410[[#This Row],[P1]] &amp; "|" &amp; $E$1 &amp; "|" &amp; Tabla410[[#This Row],[Sexo]] &amp; "|" &amp; Tabla410[[#This Row],[Entidad]]</f>
        <v>PI|Abuso de confianza|Mujer|Aguascalientes</v>
      </c>
      <c r="I3" s="73" t="str">
        <f>Tabla410[[#This Row],[P2]] &amp; "|" &amp; $E$1 &amp; "|" &amp; Tabla410[[#This Row],[Sexo]] &amp; "|" &amp; Tabla410[[#This Row],[Entidad]]</f>
        <v>PS|Abuso de confianza|Mujer|Aguascalientes</v>
      </c>
      <c r="J3" s="74">
        <f>VLOOKUP($E$1,Tabla5[[#All],[name]:[id_1]],2,FALSE)</f>
        <v>2</v>
      </c>
      <c r="K3" s="74">
        <f>VLOOKUP($B$1,Tabla6[[#All],[name]:[id_2]],2)</f>
        <v>25</v>
      </c>
      <c r="L3" s="74">
        <f>VLOOKUP(Tabla410[[#This Row],[Sexo]],Tabla8[[#All],[name]:[gender_id]],2,FALSE)</f>
        <v>1</v>
      </c>
      <c r="M3" s="74" t="str">
        <f>IF(LEN(Tabla410[[#This Row],[centros]])&gt;0,VLOOKUP(Tabla410[[#This Row],[centros]],Tabla2[[#All],[Centros]:[ID]],2,FALSE),"NULL")</f>
        <v>NULL</v>
      </c>
      <c r="N3" s="74">
        <f>VLOOKUP(Tabla410[[#This Row],[Entidad]],Tabla3[[#All],[name]:[ID_2]],2,FALSE)</f>
        <v>1</v>
      </c>
      <c r="O3" s="74">
        <f>IFERROR(VLOOKUP(Tabla410[[#This Row],[CLAVE PI]], Tabla10[], 10, FALSE), 0)</f>
        <v>0</v>
      </c>
      <c r="P3" s="75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(2, 25, 1, NULL, 1, 0, 0, 1);</v>
      </c>
    </row>
    <row r="4" spans="1:17" ht="15" customHeight="1" x14ac:dyDescent="0.25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6" t="str">
        <f>Tabla410[[#This Row],[P1]] &amp; "|" &amp; $E$1 &amp; "|" &amp; Tabla410[[#This Row],[Sexo]] &amp; "|" &amp; Tabla410[[#This Row],[Entidad]]</f>
        <v>PI|Abuso de confianza|Mujer|Baja California</v>
      </c>
      <c r="I4" s="77" t="str">
        <f>Tabla410[[#This Row],[P2]] &amp; "|" &amp; $E$1 &amp; "|" &amp; Tabla410[[#This Row],[Sexo]] &amp; "|" &amp; Tabla410[[#This Row],[Entidad]]</f>
        <v>PS|Abuso de confianza|Mujer|Baja California</v>
      </c>
      <c r="J4" s="78">
        <f>VLOOKUP($E$1,Tabla5[[#All],[name]:[id_1]],2,FALSE)</f>
        <v>2</v>
      </c>
      <c r="K4" s="78">
        <f>VLOOKUP($B$1,Tabla6[[#All],[name]:[id_2]],2)</f>
        <v>25</v>
      </c>
      <c r="L4" s="78">
        <f>VLOOKUP(Tabla410[[#This Row],[Sexo]],Tabla8[[#All],[name]:[gender_id]],2,FALSE)</f>
        <v>1</v>
      </c>
      <c r="M4" s="78" t="str">
        <f>IF(LEN(Tabla410[[#This Row],[centros]])&gt;0,VLOOKUP(Tabla410[[#This Row],[centros]],Tabla2[[#All],[Centros]:[ID]],2,FALSE),"NULL")</f>
        <v>NULL</v>
      </c>
      <c r="N4" s="78">
        <f>VLOOKUP(Tabla410[[#This Row],[Entidad]],Tabla3[[#All],[name]:[ID_2]],2,FALSE)</f>
        <v>2</v>
      </c>
      <c r="O4" s="78">
        <f>IFERROR(VLOOKUP(Tabla410[[#This Row],[CLAVE PI]], Tabla10[], 10, FALSE), 0)</f>
        <v>0</v>
      </c>
      <c r="P4" s="79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(2, 25, 1, NULL, 2, 0, 0, 1);</v>
      </c>
    </row>
    <row r="5" spans="1:17" ht="15" customHeight="1" x14ac:dyDescent="0.25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6" t="str">
        <f>Tabla410[[#This Row],[P1]] &amp; "|" &amp; $E$1 &amp; "|" &amp; Tabla410[[#This Row],[Sexo]] &amp; "|" &amp; Tabla410[[#This Row],[Entidad]]</f>
        <v>PI|Abuso de confianza|Mujer|Baja California Sur</v>
      </c>
      <c r="I5" s="77" t="str">
        <f>Tabla410[[#This Row],[P2]] &amp; "|" &amp; $E$1 &amp; "|" &amp; Tabla410[[#This Row],[Sexo]] &amp; "|" &amp; Tabla410[[#This Row],[Entidad]]</f>
        <v>PS|Abuso de confianza|Mujer|Baja California Sur</v>
      </c>
      <c r="J5" s="78">
        <f>VLOOKUP($E$1,Tabla5[[#All],[name]:[id_1]],2,FALSE)</f>
        <v>2</v>
      </c>
      <c r="K5" s="78">
        <f>VLOOKUP($B$1,Tabla6[[#All],[name]:[id_2]],2)</f>
        <v>25</v>
      </c>
      <c r="L5" s="78">
        <f>VLOOKUP(Tabla410[[#This Row],[Sexo]],Tabla8[[#All],[name]:[gender_id]],2,FALSE)</f>
        <v>1</v>
      </c>
      <c r="M5" s="78" t="str">
        <f>IF(LEN(Tabla410[[#This Row],[centros]])&gt;0,VLOOKUP(Tabla410[[#This Row],[centros]],Tabla2[[#All],[Centros]:[ID]],2,FALSE),"NULL")</f>
        <v>NULL</v>
      </c>
      <c r="N5" s="78">
        <f>VLOOKUP(Tabla410[[#This Row],[Entidad]],Tabla3[[#All],[name]:[ID_2]],2,FALSE)</f>
        <v>3</v>
      </c>
      <c r="O5" s="78">
        <f>IFERROR(VLOOKUP(Tabla410[[#This Row],[CLAVE PI]], Tabla10[], 10, FALSE), 0)</f>
        <v>0</v>
      </c>
      <c r="P5" s="79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(2, 25, 1, NULL, 3, 0, 0, 1);</v>
      </c>
    </row>
    <row r="6" spans="1:17" ht="15" customHeight="1" x14ac:dyDescent="0.25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6" t="str">
        <f>Tabla410[[#This Row],[P1]] &amp; "|" &amp; $E$1 &amp; "|" &amp; Tabla410[[#This Row],[Sexo]] &amp; "|" &amp; Tabla410[[#This Row],[Entidad]]</f>
        <v>PI|Abuso de confianza|Mujer|Campeche</v>
      </c>
      <c r="I6" s="77" t="str">
        <f>Tabla410[[#This Row],[P2]] &amp; "|" &amp; $E$1 &amp; "|" &amp; Tabla410[[#This Row],[Sexo]] &amp; "|" &amp; Tabla410[[#This Row],[Entidad]]</f>
        <v>PS|Abuso de confianza|Mujer|Campeche</v>
      </c>
      <c r="J6" s="78">
        <f>VLOOKUP($E$1,Tabla5[[#All],[name]:[id_1]],2,FALSE)</f>
        <v>2</v>
      </c>
      <c r="K6" s="78">
        <f>VLOOKUP($B$1,Tabla6[[#All],[name]:[id_2]],2)</f>
        <v>25</v>
      </c>
      <c r="L6" s="78">
        <f>VLOOKUP(Tabla410[[#This Row],[Sexo]],Tabla8[[#All],[name]:[gender_id]],2,FALSE)</f>
        <v>1</v>
      </c>
      <c r="M6" s="78" t="str">
        <f>IF(LEN(Tabla410[[#This Row],[centros]])&gt;0,VLOOKUP(Tabla410[[#This Row],[centros]],Tabla2[[#All],[Centros]:[ID]],2,FALSE),"NULL")</f>
        <v>NULL</v>
      </c>
      <c r="N6" s="78">
        <f>VLOOKUP(Tabla410[[#This Row],[Entidad]],Tabla3[[#All],[name]:[ID_2]],2,FALSE)</f>
        <v>4</v>
      </c>
      <c r="O6" s="78">
        <f>IFERROR(VLOOKUP(Tabla410[[#This Row],[CLAVE PI]], Tabla10[], 10, FALSE), 0)</f>
        <v>0</v>
      </c>
      <c r="P6" s="79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(2, 25, 1, NULL, 4, 0, 0, 1);</v>
      </c>
    </row>
    <row r="7" spans="1:17" ht="15" customHeight="1" x14ac:dyDescent="0.25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6" t="str">
        <f>Tabla410[[#This Row],[P1]] &amp; "|" &amp; $E$1 &amp; "|" &amp; Tabla410[[#This Row],[Sexo]] &amp; "|" &amp; Tabla410[[#This Row],[Entidad]]</f>
        <v>PI|Abuso de confianza|Mujer|Chiapas</v>
      </c>
      <c r="I7" s="77" t="str">
        <f>Tabla410[[#This Row],[P2]] &amp; "|" &amp; $E$1 &amp; "|" &amp; Tabla410[[#This Row],[Sexo]] &amp; "|" &amp; Tabla410[[#This Row],[Entidad]]</f>
        <v>PS|Abuso de confianza|Mujer|Chiapas</v>
      </c>
      <c r="J7" s="78">
        <f>VLOOKUP($E$1,Tabla5[[#All],[name]:[id_1]],2,FALSE)</f>
        <v>2</v>
      </c>
      <c r="K7" s="78">
        <f>VLOOKUP($B$1,Tabla6[[#All],[name]:[id_2]],2)</f>
        <v>25</v>
      </c>
      <c r="L7" s="78">
        <f>VLOOKUP(Tabla410[[#This Row],[Sexo]],Tabla8[[#All],[name]:[gender_id]],2,FALSE)</f>
        <v>1</v>
      </c>
      <c r="M7" s="78" t="str">
        <f>IF(LEN(Tabla410[[#This Row],[centros]])&gt;0,VLOOKUP(Tabla410[[#This Row],[centros]],Tabla2[[#All],[Centros]:[ID]],2,FALSE),"NULL")</f>
        <v>NULL</v>
      </c>
      <c r="N7" s="78">
        <f>VLOOKUP(Tabla410[[#This Row],[Entidad]],Tabla3[[#All],[name]:[ID_2]],2,FALSE)</f>
        <v>5</v>
      </c>
      <c r="O7" s="78">
        <f>IFERROR(VLOOKUP(Tabla410[[#This Row],[CLAVE PI]], Tabla10[], 10, FALSE), 0)</f>
        <v>0</v>
      </c>
      <c r="P7" s="79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(2, 25, 1, NULL, 5, 0, 0, 1);</v>
      </c>
    </row>
    <row r="8" spans="1:17" ht="15" customHeight="1" x14ac:dyDescent="0.25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6" t="str">
        <f>Tabla410[[#This Row],[P1]] &amp; "|" &amp; $E$1 &amp; "|" &amp; Tabla410[[#This Row],[Sexo]] &amp; "|" &amp; Tabla410[[#This Row],[Entidad]]</f>
        <v>PI|Abuso de confianza|Mujer|Chihuahua</v>
      </c>
      <c r="I8" s="77" t="str">
        <f>Tabla410[[#This Row],[P2]] &amp; "|" &amp; $E$1 &amp; "|" &amp; Tabla410[[#This Row],[Sexo]] &amp; "|" &amp; Tabla410[[#This Row],[Entidad]]</f>
        <v>PS|Abuso de confianza|Mujer|Chihuahua</v>
      </c>
      <c r="J8" s="78">
        <f>VLOOKUP($E$1,Tabla5[[#All],[name]:[id_1]],2,FALSE)</f>
        <v>2</v>
      </c>
      <c r="K8" s="78">
        <f>VLOOKUP($B$1,Tabla6[[#All],[name]:[id_2]],2)</f>
        <v>25</v>
      </c>
      <c r="L8" s="78">
        <f>VLOOKUP(Tabla410[[#This Row],[Sexo]],Tabla8[[#All],[name]:[gender_id]],2,FALSE)</f>
        <v>1</v>
      </c>
      <c r="M8" s="78" t="str">
        <f>IF(LEN(Tabla410[[#This Row],[centros]])&gt;0,VLOOKUP(Tabla410[[#This Row],[centros]],Tabla2[[#All],[Centros]:[ID]],2,FALSE),"NULL")</f>
        <v>NULL</v>
      </c>
      <c r="N8" s="78">
        <f>VLOOKUP(Tabla410[[#This Row],[Entidad]],Tabla3[[#All],[name]:[ID_2]],2,FALSE)</f>
        <v>6</v>
      </c>
      <c r="O8" s="78">
        <f>IFERROR(VLOOKUP(Tabla410[[#This Row],[CLAVE PI]], Tabla10[], 10, FALSE), 0)</f>
        <v>0</v>
      </c>
      <c r="P8" s="79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(2, 25, 1, NULL, 6, 0, 0, 1);</v>
      </c>
    </row>
    <row r="9" spans="1:17" ht="15" customHeight="1" x14ac:dyDescent="0.25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6" t="str">
        <f>Tabla410[[#This Row],[P1]] &amp; "|" &amp; $E$1 &amp; "|" &amp; Tabla410[[#This Row],[Sexo]] &amp; "|" &amp; Tabla410[[#This Row],[Entidad]]</f>
        <v>PI|Abuso de confianza|Mujer|Ciudad de México</v>
      </c>
      <c r="I9" s="77" t="str">
        <f>Tabla410[[#This Row],[P2]] &amp; "|" &amp; $E$1 &amp; "|" &amp; Tabla410[[#This Row],[Sexo]] &amp; "|" &amp; Tabla410[[#This Row],[Entidad]]</f>
        <v>PS|Abuso de confianza|Mujer|Ciudad de México</v>
      </c>
      <c r="J9" s="78">
        <f>VLOOKUP($E$1,Tabla5[[#All],[name]:[id_1]],2,FALSE)</f>
        <v>2</v>
      </c>
      <c r="K9" s="78">
        <f>VLOOKUP($B$1,Tabla6[[#All],[name]:[id_2]],2)</f>
        <v>25</v>
      </c>
      <c r="L9" s="78">
        <f>VLOOKUP(Tabla410[[#This Row],[Sexo]],Tabla8[[#All],[name]:[gender_id]],2,FALSE)</f>
        <v>1</v>
      </c>
      <c r="M9" s="78" t="str">
        <f>IF(LEN(Tabla410[[#This Row],[centros]])&gt;0,VLOOKUP(Tabla410[[#This Row],[centros]],Tabla2[[#All],[Centros]:[ID]],2,FALSE),"NULL")</f>
        <v>NULL</v>
      </c>
      <c r="N9" s="78">
        <f>VLOOKUP(Tabla410[[#This Row],[Entidad]],Tabla3[[#All],[name]:[ID_2]],2,FALSE)</f>
        <v>7</v>
      </c>
      <c r="O9" s="78">
        <f>IFERROR(VLOOKUP(Tabla410[[#This Row],[CLAVE PI]], Tabla10[], 10, FALSE), 0)</f>
        <v>0</v>
      </c>
      <c r="P9" s="79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(2, 25, 1, NULL, 7, 0, 0, 1);</v>
      </c>
    </row>
    <row r="10" spans="1:17" ht="15" customHeight="1" x14ac:dyDescent="0.25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6" t="str">
        <f>Tabla410[[#This Row],[P1]] &amp; "|" &amp; $E$1 &amp; "|" &amp; Tabla410[[#This Row],[Sexo]] &amp; "|" &amp; Tabla410[[#This Row],[Entidad]]</f>
        <v>PI|Abuso de confianza|Mujer|Coahuila de Zaragoza</v>
      </c>
      <c r="I10" s="77" t="str">
        <f>Tabla410[[#This Row],[P2]] &amp; "|" &amp; $E$1 &amp; "|" &amp; Tabla410[[#This Row],[Sexo]] &amp; "|" &amp; Tabla410[[#This Row],[Entidad]]</f>
        <v>PS|Abuso de confianza|Mujer|Coahuila de Zaragoza</v>
      </c>
      <c r="J10" s="78">
        <f>VLOOKUP($E$1,Tabla5[[#All],[name]:[id_1]],2,FALSE)</f>
        <v>2</v>
      </c>
      <c r="K10" s="78">
        <f>VLOOKUP($B$1,Tabla6[[#All],[name]:[id_2]],2)</f>
        <v>25</v>
      </c>
      <c r="L10" s="78">
        <f>VLOOKUP(Tabla410[[#This Row],[Sexo]],Tabla8[[#All],[name]:[gender_id]],2,FALSE)</f>
        <v>1</v>
      </c>
      <c r="M10" s="78" t="str">
        <f>IF(LEN(Tabla410[[#This Row],[centros]])&gt;0,VLOOKUP(Tabla410[[#This Row],[centros]],Tabla2[[#All],[Centros]:[ID]],2,FALSE),"NULL")</f>
        <v>NULL</v>
      </c>
      <c r="N10" s="78">
        <f>VLOOKUP(Tabla410[[#This Row],[Entidad]],Tabla3[[#All],[name]:[ID_2]],2,FALSE)</f>
        <v>8</v>
      </c>
      <c r="O10" s="78">
        <f>IFERROR(VLOOKUP(Tabla410[[#This Row],[CLAVE PI]], Tabla10[], 10, FALSE), 0)</f>
        <v>0</v>
      </c>
      <c r="P10" s="79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(2, 25, 1, NULL, 8, 0, 0, 1);</v>
      </c>
    </row>
    <row r="11" spans="1:17" ht="15" customHeight="1" x14ac:dyDescent="0.25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6" t="str">
        <f>Tabla410[[#This Row],[P1]] &amp; "|" &amp; $E$1 &amp; "|" &amp; Tabla410[[#This Row],[Sexo]] &amp; "|" &amp; Tabla410[[#This Row],[Entidad]]</f>
        <v>PI|Abuso de confianza|Mujer|Colima</v>
      </c>
      <c r="I11" s="77" t="str">
        <f>Tabla410[[#This Row],[P2]] &amp; "|" &amp; $E$1 &amp; "|" &amp; Tabla410[[#This Row],[Sexo]] &amp; "|" &amp; Tabla410[[#This Row],[Entidad]]</f>
        <v>PS|Abuso de confianza|Mujer|Colima</v>
      </c>
      <c r="J11" s="78">
        <f>VLOOKUP($E$1,Tabla5[[#All],[name]:[id_1]],2,FALSE)</f>
        <v>2</v>
      </c>
      <c r="K11" s="78">
        <f>VLOOKUP($B$1,Tabla6[[#All],[name]:[id_2]],2)</f>
        <v>25</v>
      </c>
      <c r="L11" s="78">
        <f>VLOOKUP(Tabla410[[#This Row],[Sexo]],Tabla8[[#All],[name]:[gender_id]],2,FALSE)</f>
        <v>1</v>
      </c>
      <c r="M11" s="78" t="str">
        <f>IF(LEN(Tabla410[[#This Row],[centros]])&gt;0,VLOOKUP(Tabla410[[#This Row],[centros]],Tabla2[[#All],[Centros]:[ID]],2,FALSE),"NULL")</f>
        <v>NULL</v>
      </c>
      <c r="N11" s="78">
        <f>VLOOKUP(Tabla410[[#This Row],[Entidad]],Tabla3[[#All],[name]:[ID_2]],2,FALSE)</f>
        <v>9</v>
      </c>
      <c r="O11" s="78">
        <f>IFERROR(VLOOKUP(Tabla410[[#This Row],[CLAVE PI]], Tabla10[], 10, FALSE), 0)</f>
        <v>0</v>
      </c>
      <c r="P11" s="79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(2, 25, 1, NULL, 9, 0, 0, 1);</v>
      </c>
    </row>
    <row r="12" spans="1:17" ht="15" customHeight="1" x14ac:dyDescent="0.25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6" t="str">
        <f>Tabla410[[#This Row],[P1]] &amp; "|" &amp; $E$1 &amp; "|" &amp; Tabla410[[#This Row],[Sexo]] &amp; "|" &amp; Tabla410[[#This Row],[Entidad]]</f>
        <v>PI|Abuso de confianza|Mujer|Durango</v>
      </c>
      <c r="I12" s="77" t="str">
        <f>Tabla410[[#This Row],[P2]] &amp; "|" &amp; $E$1 &amp; "|" &amp; Tabla410[[#This Row],[Sexo]] &amp; "|" &amp; Tabla410[[#This Row],[Entidad]]</f>
        <v>PS|Abuso de confianza|Mujer|Durango</v>
      </c>
      <c r="J12" s="78">
        <f>VLOOKUP($E$1,Tabla5[[#All],[name]:[id_1]],2,FALSE)</f>
        <v>2</v>
      </c>
      <c r="K12" s="78">
        <f>VLOOKUP($B$1,Tabla6[[#All],[name]:[id_2]],2)</f>
        <v>25</v>
      </c>
      <c r="L12" s="78">
        <f>VLOOKUP(Tabla410[[#This Row],[Sexo]],Tabla8[[#All],[name]:[gender_id]],2,FALSE)</f>
        <v>1</v>
      </c>
      <c r="M12" s="78" t="str">
        <f>IF(LEN(Tabla410[[#This Row],[centros]])&gt;0,VLOOKUP(Tabla410[[#This Row],[centros]],Tabla2[[#All],[Centros]:[ID]],2,FALSE),"NULL")</f>
        <v>NULL</v>
      </c>
      <c r="N12" s="78">
        <f>VLOOKUP(Tabla410[[#This Row],[Entidad]],Tabla3[[#All],[name]:[ID_2]],2,FALSE)</f>
        <v>10</v>
      </c>
      <c r="O12" s="78">
        <f>IFERROR(VLOOKUP(Tabla410[[#This Row],[CLAVE PI]], Tabla10[], 10, FALSE), 0)</f>
        <v>0</v>
      </c>
      <c r="P12" s="79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(2, 25, 1, NULL, 10, 0, 0, 1);</v>
      </c>
    </row>
    <row r="13" spans="1:17" ht="15" customHeight="1" x14ac:dyDescent="0.25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6" t="str">
        <f>Tabla410[[#This Row],[P1]] &amp; "|" &amp; $E$1 &amp; "|" &amp; Tabla410[[#This Row],[Sexo]] &amp; "|" &amp; Tabla410[[#This Row],[Entidad]]</f>
        <v>PI|Abuso de confianza|Mujer|Guanajuato</v>
      </c>
      <c r="I13" s="77" t="str">
        <f>Tabla410[[#This Row],[P2]] &amp; "|" &amp; $E$1 &amp; "|" &amp; Tabla410[[#This Row],[Sexo]] &amp; "|" &amp; Tabla410[[#This Row],[Entidad]]</f>
        <v>PS|Abuso de confianza|Mujer|Guanajuato</v>
      </c>
      <c r="J13" s="78">
        <f>VLOOKUP($E$1,Tabla5[[#All],[name]:[id_1]],2,FALSE)</f>
        <v>2</v>
      </c>
      <c r="K13" s="78">
        <f>VLOOKUP($B$1,Tabla6[[#All],[name]:[id_2]],2)</f>
        <v>25</v>
      </c>
      <c r="L13" s="78">
        <f>VLOOKUP(Tabla410[[#This Row],[Sexo]],Tabla8[[#All],[name]:[gender_id]],2,FALSE)</f>
        <v>1</v>
      </c>
      <c r="M13" s="78" t="str">
        <f>IF(LEN(Tabla410[[#This Row],[centros]])&gt;0,VLOOKUP(Tabla410[[#This Row],[centros]],Tabla2[[#All],[Centros]:[ID]],2,FALSE),"NULL")</f>
        <v>NULL</v>
      </c>
      <c r="N13" s="78">
        <f>VLOOKUP(Tabla410[[#This Row],[Entidad]],Tabla3[[#All],[name]:[ID_2]],2,FALSE)</f>
        <v>11</v>
      </c>
      <c r="O13" s="78">
        <f>IFERROR(VLOOKUP(Tabla410[[#This Row],[CLAVE PI]], Tabla10[], 10, FALSE), 0)</f>
        <v>0</v>
      </c>
      <c r="P13" s="79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(2, 25, 1, NULL, 11, 0, 0, 1);</v>
      </c>
    </row>
    <row r="14" spans="1:17" ht="15" customHeight="1" x14ac:dyDescent="0.25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6" t="str">
        <f>Tabla410[[#This Row],[P1]] &amp; "|" &amp; $E$1 &amp; "|" &amp; Tabla410[[#This Row],[Sexo]] &amp; "|" &amp; Tabla410[[#This Row],[Entidad]]</f>
        <v>PI|Abuso de confianza|Mujer|Guerrero</v>
      </c>
      <c r="I14" s="77" t="str">
        <f>Tabla410[[#This Row],[P2]] &amp; "|" &amp; $E$1 &amp; "|" &amp; Tabla410[[#This Row],[Sexo]] &amp; "|" &amp; Tabla410[[#This Row],[Entidad]]</f>
        <v>PS|Abuso de confianza|Mujer|Guerrero</v>
      </c>
      <c r="J14" s="78">
        <f>VLOOKUP($E$1,Tabla5[[#All],[name]:[id_1]],2,FALSE)</f>
        <v>2</v>
      </c>
      <c r="K14" s="78">
        <f>VLOOKUP($B$1,Tabla6[[#All],[name]:[id_2]],2)</f>
        <v>25</v>
      </c>
      <c r="L14" s="78">
        <f>VLOOKUP(Tabla410[[#This Row],[Sexo]],Tabla8[[#All],[name]:[gender_id]],2,FALSE)</f>
        <v>1</v>
      </c>
      <c r="M14" s="78" t="str">
        <f>IF(LEN(Tabla410[[#This Row],[centros]])&gt;0,VLOOKUP(Tabla410[[#This Row],[centros]],Tabla2[[#All],[Centros]:[ID]],2,FALSE),"NULL")</f>
        <v>NULL</v>
      </c>
      <c r="N14" s="78">
        <f>VLOOKUP(Tabla410[[#This Row],[Entidad]],Tabla3[[#All],[name]:[ID_2]],2,FALSE)</f>
        <v>12</v>
      </c>
      <c r="O14" s="78">
        <f>IFERROR(VLOOKUP(Tabla410[[#This Row],[CLAVE PI]], Tabla10[], 10, FALSE), 0)</f>
        <v>0</v>
      </c>
      <c r="P14" s="79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(2, 25, 1, NULL, 12, 0, 0, 1);</v>
      </c>
    </row>
    <row r="15" spans="1:17" ht="15" customHeight="1" x14ac:dyDescent="0.25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6" t="str">
        <f>Tabla410[[#This Row],[P1]] &amp; "|" &amp; $E$1 &amp; "|" &amp; Tabla410[[#This Row],[Sexo]] &amp; "|" &amp; Tabla410[[#This Row],[Entidad]]</f>
        <v>PI|Abuso de confianza|Mujer|Hidalgo</v>
      </c>
      <c r="I15" s="77" t="str">
        <f>Tabla410[[#This Row],[P2]] &amp; "|" &amp; $E$1 &amp; "|" &amp; Tabla410[[#This Row],[Sexo]] &amp; "|" &amp; Tabla410[[#This Row],[Entidad]]</f>
        <v>PS|Abuso de confianza|Mujer|Hidalgo</v>
      </c>
      <c r="J15" s="78">
        <f>VLOOKUP($E$1,Tabla5[[#All],[name]:[id_1]],2,FALSE)</f>
        <v>2</v>
      </c>
      <c r="K15" s="78">
        <f>VLOOKUP($B$1,Tabla6[[#All],[name]:[id_2]],2)</f>
        <v>25</v>
      </c>
      <c r="L15" s="78">
        <f>VLOOKUP(Tabla410[[#This Row],[Sexo]],Tabla8[[#All],[name]:[gender_id]],2,FALSE)</f>
        <v>1</v>
      </c>
      <c r="M15" s="78" t="str">
        <f>IF(LEN(Tabla410[[#This Row],[centros]])&gt;0,VLOOKUP(Tabla410[[#This Row],[centros]],Tabla2[[#All],[Centros]:[ID]],2,FALSE),"NULL")</f>
        <v>NULL</v>
      </c>
      <c r="N15" s="78">
        <f>VLOOKUP(Tabla410[[#This Row],[Entidad]],Tabla3[[#All],[name]:[ID_2]],2,FALSE)</f>
        <v>13</v>
      </c>
      <c r="O15" s="78">
        <f>IFERROR(VLOOKUP(Tabla410[[#This Row],[CLAVE PI]], Tabla10[], 10, FALSE), 0)</f>
        <v>0</v>
      </c>
      <c r="P15" s="79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(2, 25, 1, NULL, 13, 0, 0, 1);</v>
      </c>
    </row>
    <row r="16" spans="1:17" ht="15" customHeight="1" x14ac:dyDescent="0.25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6" t="str">
        <f>Tabla410[[#This Row],[P1]] &amp; "|" &amp; $E$1 &amp; "|" &amp; Tabla410[[#This Row],[Sexo]] &amp; "|" &amp; Tabla410[[#This Row],[Entidad]]</f>
        <v>PI|Abuso de confianza|Mujer|Jalisco</v>
      </c>
      <c r="I16" s="77" t="str">
        <f>Tabla410[[#This Row],[P2]] &amp; "|" &amp; $E$1 &amp; "|" &amp; Tabla410[[#This Row],[Sexo]] &amp; "|" &amp; Tabla410[[#This Row],[Entidad]]</f>
        <v>PS|Abuso de confianza|Mujer|Jalisco</v>
      </c>
      <c r="J16" s="78">
        <f>VLOOKUP($E$1,Tabla5[[#All],[name]:[id_1]],2,FALSE)</f>
        <v>2</v>
      </c>
      <c r="K16" s="78">
        <f>VLOOKUP($B$1,Tabla6[[#All],[name]:[id_2]],2)</f>
        <v>25</v>
      </c>
      <c r="L16" s="78">
        <f>VLOOKUP(Tabla410[[#This Row],[Sexo]],Tabla8[[#All],[name]:[gender_id]],2,FALSE)</f>
        <v>1</v>
      </c>
      <c r="M16" s="78" t="str">
        <f>IF(LEN(Tabla410[[#This Row],[centros]])&gt;0,VLOOKUP(Tabla410[[#This Row],[centros]],Tabla2[[#All],[Centros]:[ID]],2,FALSE),"NULL")</f>
        <v>NULL</v>
      </c>
      <c r="N16" s="78">
        <f>VLOOKUP(Tabla410[[#This Row],[Entidad]],Tabla3[[#All],[name]:[ID_2]],2,FALSE)</f>
        <v>14</v>
      </c>
      <c r="O16" s="78">
        <f>IFERROR(VLOOKUP(Tabla410[[#This Row],[CLAVE PI]], Tabla10[], 10, FALSE), 0)</f>
        <v>0</v>
      </c>
      <c r="P16" s="79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(2, 25, 1, NULL, 14, 0, 0, 1);</v>
      </c>
    </row>
    <row r="17" spans="1:17" ht="15" customHeight="1" x14ac:dyDescent="0.25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6" t="str">
        <f>Tabla410[[#This Row],[P1]] &amp; "|" &amp; $E$1 &amp; "|" &amp; Tabla410[[#This Row],[Sexo]] &amp; "|" &amp; Tabla410[[#This Row],[Entidad]]</f>
        <v>PI|Abuso de confianza|Mujer|México</v>
      </c>
      <c r="I17" s="77" t="str">
        <f>Tabla410[[#This Row],[P2]] &amp; "|" &amp; $E$1 &amp; "|" &amp; Tabla410[[#This Row],[Sexo]] &amp; "|" &amp; Tabla410[[#This Row],[Entidad]]</f>
        <v>PS|Abuso de confianza|Mujer|México</v>
      </c>
      <c r="J17" s="78">
        <f>VLOOKUP($E$1,Tabla5[[#All],[name]:[id_1]],2,FALSE)</f>
        <v>2</v>
      </c>
      <c r="K17" s="78">
        <f>VLOOKUP($B$1,Tabla6[[#All],[name]:[id_2]],2)</f>
        <v>25</v>
      </c>
      <c r="L17" s="78">
        <f>VLOOKUP(Tabla410[[#This Row],[Sexo]],Tabla8[[#All],[name]:[gender_id]],2,FALSE)</f>
        <v>1</v>
      </c>
      <c r="M17" s="78" t="str">
        <f>IF(LEN(Tabla410[[#This Row],[centros]])&gt;0,VLOOKUP(Tabla410[[#This Row],[centros]],Tabla2[[#All],[Centros]:[ID]],2,FALSE),"NULL")</f>
        <v>NULL</v>
      </c>
      <c r="N17" s="78">
        <f>VLOOKUP(Tabla410[[#This Row],[Entidad]],Tabla3[[#All],[name]:[ID_2]],2,FALSE)</f>
        <v>15</v>
      </c>
      <c r="O17" s="78">
        <f>IFERROR(VLOOKUP(Tabla410[[#This Row],[CLAVE PI]], Tabla10[], 10, FALSE), 0)</f>
        <v>0</v>
      </c>
      <c r="P17" s="79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(2, 25, 1, NULL, 15, 0, 0, 1);</v>
      </c>
    </row>
    <row r="18" spans="1:17" ht="15" customHeight="1" x14ac:dyDescent="0.25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6" t="str">
        <f>Tabla410[[#This Row],[P1]] &amp; "|" &amp; $E$1 &amp; "|" &amp; Tabla410[[#This Row],[Sexo]] &amp; "|" &amp; Tabla410[[#This Row],[Entidad]]</f>
        <v>PI|Abuso de confianza|Mujer|Michoacán de Ocampo</v>
      </c>
      <c r="I18" s="77" t="str">
        <f>Tabla410[[#This Row],[P2]] &amp; "|" &amp; $E$1 &amp; "|" &amp; Tabla410[[#This Row],[Sexo]] &amp; "|" &amp; Tabla410[[#This Row],[Entidad]]</f>
        <v>PS|Abuso de confianza|Mujer|Michoacán de Ocampo</v>
      </c>
      <c r="J18" s="78">
        <f>VLOOKUP($E$1,Tabla5[[#All],[name]:[id_1]],2,FALSE)</f>
        <v>2</v>
      </c>
      <c r="K18" s="78">
        <f>VLOOKUP($B$1,Tabla6[[#All],[name]:[id_2]],2)</f>
        <v>25</v>
      </c>
      <c r="L18" s="78">
        <f>VLOOKUP(Tabla410[[#This Row],[Sexo]],Tabla8[[#All],[name]:[gender_id]],2,FALSE)</f>
        <v>1</v>
      </c>
      <c r="M18" s="78" t="str">
        <f>IF(LEN(Tabla410[[#This Row],[centros]])&gt;0,VLOOKUP(Tabla410[[#This Row],[centros]],Tabla2[[#All],[Centros]:[ID]],2,FALSE),"NULL")</f>
        <v>NULL</v>
      </c>
      <c r="N18" s="78">
        <f>VLOOKUP(Tabla410[[#This Row],[Entidad]],Tabla3[[#All],[name]:[ID_2]],2,FALSE)</f>
        <v>16</v>
      </c>
      <c r="O18" s="78">
        <f>IFERROR(VLOOKUP(Tabla410[[#This Row],[CLAVE PI]], Tabla10[], 10, FALSE), 0)</f>
        <v>0</v>
      </c>
      <c r="P18" s="79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(2, 25, 1, NULL, 16, 0, 0, 1);</v>
      </c>
    </row>
    <row r="19" spans="1:17" ht="15" customHeight="1" x14ac:dyDescent="0.25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6" t="str">
        <f>Tabla410[[#This Row],[P1]] &amp; "|" &amp; $E$1 &amp; "|" &amp; Tabla410[[#This Row],[Sexo]] &amp; "|" &amp; Tabla410[[#This Row],[Entidad]]</f>
        <v>PI|Abuso de confianza|Mujer|Morelos</v>
      </c>
      <c r="I19" s="77" t="str">
        <f>Tabla410[[#This Row],[P2]] &amp; "|" &amp; $E$1 &amp; "|" &amp; Tabla410[[#This Row],[Sexo]] &amp; "|" &amp; Tabla410[[#This Row],[Entidad]]</f>
        <v>PS|Abuso de confianza|Mujer|Morelos</v>
      </c>
      <c r="J19" s="78">
        <f>VLOOKUP($E$1,Tabla5[[#All],[name]:[id_1]],2,FALSE)</f>
        <v>2</v>
      </c>
      <c r="K19" s="78">
        <f>VLOOKUP($B$1,Tabla6[[#All],[name]:[id_2]],2)</f>
        <v>25</v>
      </c>
      <c r="L19" s="78">
        <f>VLOOKUP(Tabla410[[#This Row],[Sexo]],Tabla8[[#All],[name]:[gender_id]],2,FALSE)</f>
        <v>1</v>
      </c>
      <c r="M19" s="78" t="str">
        <f>IF(LEN(Tabla410[[#This Row],[centros]])&gt;0,VLOOKUP(Tabla410[[#This Row],[centros]],Tabla2[[#All],[Centros]:[ID]],2,FALSE),"NULL")</f>
        <v>NULL</v>
      </c>
      <c r="N19" s="78">
        <f>VLOOKUP(Tabla410[[#This Row],[Entidad]],Tabla3[[#All],[name]:[ID_2]],2,FALSE)</f>
        <v>17</v>
      </c>
      <c r="O19" s="78">
        <f>IFERROR(VLOOKUP(Tabla410[[#This Row],[CLAVE PI]], Tabla10[], 10, FALSE), 0)</f>
        <v>0</v>
      </c>
      <c r="P19" s="79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(2, 25, 1, NULL, 17, 0, 0, 1);</v>
      </c>
    </row>
    <row r="20" spans="1:17" ht="15" customHeight="1" x14ac:dyDescent="0.25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6" t="str">
        <f>Tabla410[[#This Row],[P1]] &amp; "|" &amp; $E$1 &amp; "|" &amp; Tabla410[[#This Row],[Sexo]] &amp; "|" &amp; Tabla410[[#This Row],[Entidad]]</f>
        <v>PI|Abuso de confianza|Mujer|Nayarit</v>
      </c>
      <c r="I20" s="77" t="str">
        <f>Tabla410[[#This Row],[P2]] &amp; "|" &amp; $E$1 &amp; "|" &amp; Tabla410[[#This Row],[Sexo]] &amp; "|" &amp; Tabla410[[#This Row],[Entidad]]</f>
        <v>PS|Abuso de confianza|Mujer|Nayarit</v>
      </c>
      <c r="J20" s="78">
        <f>VLOOKUP($E$1,Tabla5[[#All],[name]:[id_1]],2,FALSE)</f>
        <v>2</v>
      </c>
      <c r="K20" s="78">
        <f>VLOOKUP($B$1,Tabla6[[#All],[name]:[id_2]],2)</f>
        <v>25</v>
      </c>
      <c r="L20" s="78">
        <f>VLOOKUP(Tabla410[[#This Row],[Sexo]],Tabla8[[#All],[name]:[gender_id]],2,FALSE)</f>
        <v>1</v>
      </c>
      <c r="M20" s="78" t="str">
        <f>IF(LEN(Tabla410[[#This Row],[centros]])&gt;0,VLOOKUP(Tabla410[[#This Row],[centros]],Tabla2[[#All],[Centros]:[ID]],2,FALSE),"NULL")</f>
        <v>NULL</v>
      </c>
      <c r="N20" s="78">
        <f>VLOOKUP(Tabla410[[#This Row],[Entidad]],Tabla3[[#All],[name]:[ID_2]],2,FALSE)</f>
        <v>18</v>
      </c>
      <c r="O20" s="78">
        <f>IFERROR(VLOOKUP(Tabla410[[#This Row],[CLAVE PI]], Tabla10[], 10, FALSE), 0)</f>
        <v>0</v>
      </c>
      <c r="P20" s="79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(2, 25, 1, NULL, 18, 0, 0, 1);</v>
      </c>
    </row>
    <row r="21" spans="1:17" ht="15" customHeight="1" x14ac:dyDescent="0.25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0" t="str">
        <f>Tabla410[[#This Row],[P1]] &amp; "|" &amp; $E$1 &amp; "|" &amp; Tabla410[[#This Row],[Sexo]] &amp; "|" &amp; Tabla410[[#This Row],[Entidad]]</f>
        <v>PI|Abuso de confianza|Mujer|Nuevo León</v>
      </c>
      <c r="I21" s="81" t="str">
        <f>Tabla410[[#This Row],[P2]] &amp; "|" &amp; $E$1 &amp; "|" &amp; Tabla410[[#This Row],[Sexo]] &amp; "|" &amp; Tabla410[[#This Row],[Entidad]]</f>
        <v>PS|Abuso de confianza|Mujer|Nuevo León</v>
      </c>
      <c r="J21" s="82">
        <f>VLOOKUP($E$1,Tabla5[[#All],[name]:[id_1]],2,FALSE)</f>
        <v>2</v>
      </c>
      <c r="K21" s="82">
        <f>VLOOKUP($B$1,Tabla6[[#All],[name]:[id_2]],2)</f>
        <v>25</v>
      </c>
      <c r="L21" s="82">
        <f>VLOOKUP(Tabla410[[#This Row],[Sexo]],Tabla8[[#All],[name]:[gender_id]],2,FALSE)</f>
        <v>1</v>
      </c>
      <c r="M21" s="82" t="str">
        <f>IF(LEN(Tabla410[[#This Row],[centros]])&gt;0,VLOOKUP(Tabla410[[#This Row],[centros]],Tabla2[[#All],[Centros]:[ID]],2,FALSE),"NULL")</f>
        <v>NULL</v>
      </c>
      <c r="N21" s="82">
        <f>VLOOKUP(Tabla410[[#This Row],[Entidad]],Tabla3[[#All],[name]:[ID_2]],2,FALSE)</f>
        <v>19</v>
      </c>
      <c r="O21" s="78">
        <f>IFERROR(VLOOKUP(Tabla410[[#This Row],[CLAVE PI]], Tabla10[], 10, FALSE), 0)</f>
        <v>0</v>
      </c>
      <c r="P21" s="79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(2, 25, 1, NULL, 19, 0, 0, 1);</v>
      </c>
    </row>
    <row r="22" spans="1:17" ht="15" customHeight="1" x14ac:dyDescent="0.25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6" t="str">
        <f>Tabla410[[#This Row],[P1]] &amp; "|" &amp; $E$1 &amp; "|" &amp; Tabla410[[#This Row],[Sexo]] &amp; "|" &amp; Tabla410[[#This Row],[Entidad]]</f>
        <v>PI|Abuso de confianza|Mujer|Oaxaca</v>
      </c>
      <c r="I22" s="77" t="str">
        <f>Tabla410[[#This Row],[P2]] &amp; "|" &amp; $E$1 &amp; "|" &amp; Tabla410[[#This Row],[Sexo]] &amp; "|" &amp; Tabla410[[#This Row],[Entidad]]</f>
        <v>PS|Abuso de confianza|Mujer|Oaxaca</v>
      </c>
      <c r="J22" s="78">
        <f>VLOOKUP($E$1,Tabla5[[#All],[name]:[id_1]],2,FALSE)</f>
        <v>2</v>
      </c>
      <c r="K22" s="78">
        <f>VLOOKUP($B$1,Tabla6[[#All],[name]:[id_2]],2)</f>
        <v>25</v>
      </c>
      <c r="L22" s="78">
        <f>VLOOKUP(Tabla410[[#This Row],[Sexo]],Tabla8[[#All],[name]:[gender_id]],2,FALSE)</f>
        <v>1</v>
      </c>
      <c r="M22" s="78" t="str">
        <f>IF(LEN(Tabla410[[#This Row],[centros]])&gt;0,VLOOKUP(Tabla410[[#This Row],[centros]],Tabla2[[#All],[Centros]:[ID]],2,FALSE),"NULL")</f>
        <v>NULL</v>
      </c>
      <c r="N22" s="78">
        <f>VLOOKUP(Tabla410[[#This Row],[Entidad]],Tabla3[[#All],[name]:[ID_2]],2,FALSE)</f>
        <v>20</v>
      </c>
      <c r="O22" s="78">
        <f>IFERROR(VLOOKUP(Tabla410[[#This Row],[CLAVE PI]], Tabla10[], 10, FALSE), 0)</f>
        <v>0</v>
      </c>
      <c r="P22" s="79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(2, 25, 1, NULL, 20, 0, 0, 1);</v>
      </c>
    </row>
    <row r="23" spans="1:17" ht="15" customHeight="1" x14ac:dyDescent="0.25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6" t="str">
        <f>Tabla410[[#This Row],[P1]] &amp; "|" &amp; $E$1 &amp; "|" &amp; Tabla410[[#This Row],[Sexo]] &amp; "|" &amp; Tabla410[[#This Row],[Entidad]]</f>
        <v>PI|Abuso de confianza|Mujer|Puebla</v>
      </c>
      <c r="I23" s="77" t="str">
        <f>Tabla410[[#This Row],[P2]] &amp; "|" &amp; $E$1 &amp; "|" &amp; Tabla410[[#This Row],[Sexo]] &amp; "|" &amp; Tabla410[[#This Row],[Entidad]]</f>
        <v>PS|Abuso de confianza|Mujer|Puebla</v>
      </c>
      <c r="J23" s="78">
        <f>VLOOKUP($E$1,Tabla5[[#All],[name]:[id_1]],2,FALSE)</f>
        <v>2</v>
      </c>
      <c r="K23" s="78">
        <f>VLOOKUP($B$1,Tabla6[[#All],[name]:[id_2]],2)</f>
        <v>25</v>
      </c>
      <c r="L23" s="78">
        <f>VLOOKUP(Tabla410[[#This Row],[Sexo]],Tabla8[[#All],[name]:[gender_id]],2,FALSE)</f>
        <v>1</v>
      </c>
      <c r="M23" s="78" t="str">
        <f>IF(LEN(Tabla410[[#This Row],[centros]])&gt;0,VLOOKUP(Tabla410[[#This Row],[centros]],Tabla2[[#All],[Centros]:[ID]],2,FALSE),"NULL")</f>
        <v>NULL</v>
      </c>
      <c r="N23" s="78">
        <f>VLOOKUP(Tabla410[[#This Row],[Entidad]],Tabla3[[#All],[name]:[ID_2]],2,FALSE)</f>
        <v>21</v>
      </c>
      <c r="O23" s="78">
        <f>IFERROR(VLOOKUP(Tabla410[[#This Row],[CLAVE PI]], Tabla10[], 10, FALSE), 0)</f>
        <v>0</v>
      </c>
      <c r="P23" s="79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(2, 25, 1, NULL, 21, 0, 0, 1);</v>
      </c>
    </row>
    <row r="24" spans="1:17" ht="15" customHeight="1" x14ac:dyDescent="0.25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6" t="str">
        <f>Tabla410[[#This Row],[P1]] &amp; "|" &amp; $E$1 &amp; "|" &amp; Tabla410[[#This Row],[Sexo]] &amp; "|" &amp; Tabla410[[#This Row],[Entidad]]</f>
        <v>PI|Abuso de confianza|Mujer|Querétaro</v>
      </c>
      <c r="I24" s="77" t="str">
        <f>Tabla410[[#This Row],[P2]] &amp; "|" &amp; $E$1 &amp; "|" &amp; Tabla410[[#This Row],[Sexo]] &amp; "|" &amp; Tabla410[[#This Row],[Entidad]]</f>
        <v>PS|Abuso de confianza|Mujer|Querétaro</v>
      </c>
      <c r="J24" s="78">
        <f>VLOOKUP($E$1,Tabla5[[#All],[name]:[id_1]],2,FALSE)</f>
        <v>2</v>
      </c>
      <c r="K24" s="78">
        <f>VLOOKUP($B$1,Tabla6[[#All],[name]:[id_2]],2)</f>
        <v>25</v>
      </c>
      <c r="L24" s="78">
        <f>VLOOKUP(Tabla410[[#This Row],[Sexo]],Tabla8[[#All],[name]:[gender_id]],2,FALSE)</f>
        <v>1</v>
      </c>
      <c r="M24" s="78" t="str">
        <f>IF(LEN(Tabla410[[#This Row],[centros]])&gt;0,VLOOKUP(Tabla410[[#This Row],[centros]],Tabla2[[#All],[Centros]:[ID]],2,FALSE),"NULL")</f>
        <v>NULL</v>
      </c>
      <c r="N24" s="78">
        <f>VLOOKUP(Tabla410[[#This Row],[Entidad]],Tabla3[[#All],[name]:[ID_2]],2,FALSE)</f>
        <v>22</v>
      </c>
      <c r="O24" s="78">
        <f>IFERROR(VLOOKUP(Tabla410[[#This Row],[CLAVE PI]], Tabla10[], 10, FALSE), 0)</f>
        <v>0</v>
      </c>
      <c r="P24" s="79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(2, 25, 1, NULL, 22, 0, 0, 1);</v>
      </c>
    </row>
    <row r="25" spans="1:17" ht="15" customHeight="1" x14ac:dyDescent="0.25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6" t="str">
        <f>Tabla410[[#This Row],[P1]] &amp; "|" &amp; $E$1 &amp; "|" &amp; Tabla410[[#This Row],[Sexo]] &amp; "|" &amp; Tabla410[[#This Row],[Entidad]]</f>
        <v>PI|Abuso de confianza|Mujer|Quintana Roo</v>
      </c>
      <c r="I25" s="77" t="str">
        <f>Tabla410[[#This Row],[P2]] &amp; "|" &amp; $E$1 &amp; "|" &amp; Tabla410[[#This Row],[Sexo]] &amp; "|" &amp; Tabla410[[#This Row],[Entidad]]</f>
        <v>PS|Abuso de confianza|Mujer|Quintana Roo</v>
      </c>
      <c r="J25" s="78">
        <f>VLOOKUP($E$1,Tabla5[[#All],[name]:[id_1]],2,FALSE)</f>
        <v>2</v>
      </c>
      <c r="K25" s="78">
        <f>VLOOKUP($B$1,Tabla6[[#All],[name]:[id_2]],2)</f>
        <v>25</v>
      </c>
      <c r="L25" s="78">
        <f>VLOOKUP(Tabla410[[#This Row],[Sexo]],Tabla8[[#All],[name]:[gender_id]],2,FALSE)</f>
        <v>1</v>
      </c>
      <c r="M25" s="78" t="str">
        <f>IF(LEN(Tabla410[[#This Row],[centros]])&gt;0,VLOOKUP(Tabla410[[#This Row],[centros]],Tabla2[[#All],[Centros]:[ID]],2,FALSE),"NULL")</f>
        <v>NULL</v>
      </c>
      <c r="N25" s="78">
        <f>VLOOKUP(Tabla410[[#This Row],[Entidad]],Tabla3[[#All],[name]:[ID_2]],2,FALSE)</f>
        <v>23</v>
      </c>
      <c r="O25" s="78">
        <f>IFERROR(VLOOKUP(Tabla410[[#This Row],[CLAVE PI]], Tabla10[], 10, FALSE), 0)</f>
        <v>0</v>
      </c>
      <c r="P25" s="79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(2, 25, 1, NULL, 23, 0, 0, 1);</v>
      </c>
    </row>
    <row r="26" spans="1:17" ht="15" customHeight="1" x14ac:dyDescent="0.25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6" t="str">
        <f>Tabla410[[#This Row],[P1]] &amp; "|" &amp; $E$1 &amp; "|" &amp; Tabla410[[#This Row],[Sexo]] &amp; "|" &amp; Tabla410[[#This Row],[Entidad]]</f>
        <v>PI|Abuso de confianza|Mujer|San Luis Potosí</v>
      </c>
      <c r="I26" s="77" t="str">
        <f>Tabla410[[#This Row],[P2]] &amp; "|" &amp; $E$1 &amp; "|" &amp; Tabla410[[#This Row],[Sexo]] &amp; "|" &amp; Tabla410[[#This Row],[Entidad]]</f>
        <v>PS|Abuso de confianza|Mujer|San Luis Potosí</v>
      </c>
      <c r="J26" s="78">
        <f>VLOOKUP($E$1,Tabla5[[#All],[name]:[id_1]],2,FALSE)</f>
        <v>2</v>
      </c>
      <c r="K26" s="78">
        <f>VLOOKUP($B$1,Tabla6[[#All],[name]:[id_2]],2)</f>
        <v>25</v>
      </c>
      <c r="L26" s="78">
        <f>VLOOKUP(Tabla410[[#This Row],[Sexo]],Tabla8[[#All],[name]:[gender_id]],2,FALSE)</f>
        <v>1</v>
      </c>
      <c r="M26" s="78" t="str">
        <f>IF(LEN(Tabla410[[#This Row],[centros]])&gt;0,VLOOKUP(Tabla410[[#This Row],[centros]],Tabla2[[#All],[Centros]:[ID]],2,FALSE),"NULL")</f>
        <v>NULL</v>
      </c>
      <c r="N26" s="78">
        <f>VLOOKUP(Tabla410[[#This Row],[Entidad]],Tabla3[[#All],[name]:[ID_2]],2,FALSE)</f>
        <v>24</v>
      </c>
      <c r="O26" s="78">
        <f>IFERROR(VLOOKUP(Tabla410[[#This Row],[CLAVE PI]], Tabla10[], 10, FALSE), 0)</f>
        <v>0</v>
      </c>
      <c r="P26" s="79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(2, 25, 1, NULL, 24, 0, 0, 1);</v>
      </c>
    </row>
    <row r="27" spans="1:17" ht="15" customHeight="1" x14ac:dyDescent="0.25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6" t="str">
        <f>Tabla410[[#This Row],[P1]] &amp; "|" &amp; $E$1 &amp; "|" &amp; Tabla410[[#This Row],[Sexo]] &amp; "|" &amp; Tabla410[[#This Row],[Entidad]]</f>
        <v>PI|Abuso de confianza|Mujer|Sinaloa</v>
      </c>
      <c r="I27" s="77" t="str">
        <f>Tabla410[[#This Row],[P2]] &amp; "|" &amp; $E$1 &amp; "|" &amp; Tabla410[[#This Row],[Sexo]] &amp; "|" &amp; Tabla410[[#This Row],[Entidad]]</f>
        <v>PS|Abuso de confianza|Mujer|Sinaloa</v>
      </c>
      <c r="J27" s="78">
        <f>VLOOKUP($E$1,Tabla5[[#All],[name]:[id_1]],2,FALSE)</f>
        <v>2</v>
      </c>
      <c r="K27" s="78">
        <f>VLOOKUP($B$1,Tabla6[[#All],[name]:[id_2]],2)</f>
        <v>25</v>
      </c>
      <c r="L27" s="78">
        <f>VLOOKUP(Tabla410[[#This Row],[Sexo]],Tabla8[[#All],[name]:[gender_id]],2,FALSE)</f>
        <v>1</v>
      </c>
      <c r="M27" s="78" t="str">
        <f>IF(LEN(Tabla410[[#This Row],[centros]])&gt;0,VLOOKUP(Tabla410[[#This Row],[centros]],Tabla2[[#All],[Centros]:[ID]],2,FALSE),"NULL")</f>
        <v>NULL</v>
      </c>
      <c r="N27" s="78">
        <f>VLOOKUP(Tabla410[[#This Row],[Entidad]],Tabla3[[#All],[name]:[ID_2]],2,FALSE)</f>
        <v>25</v>
      </c>
      <c r="O27" s="78">
        <f>IFERROR(VLOOKUP(Tabla410[[#This Row],[CLAVE PI]], Tabla10[], 10, FALSE), 0)</f>
        <v>0</v>
      </c>
      <c r="P27" s="79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(2, 25, 1, NULL, 25, 0, 0, 1);</v>
      </c>
    </row>
    <row r="28" spans="1:17" ht="15" customHeight="1" x14ac:dyDescent="0.25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6" t="str">
        <f>Tabla410[[#This Row],[P1]] &amp; "|" &amp; $E$1 &amp; "|" &amp; Tabla410[[#This Row],[Sexo]] &amp; "|" &amp; Tabla410[[#This Row],[Entidad]]</f>
        <v>PI|Abuso de confianza|Mujer|Sonora</v>
      </c>
      <c r="I28" s="77" t="str">
        <f>Tabla410[[#This Row],[P2]] &amp; "|" &amp; $E$1 &amp; "|" &amp; Tabla410[[#This Row],[Sexo]] &amp; "|" &amp; Tabla410[[#This Row],[Entidad]]</f>
        <v>PS|Abuso de confianza|Mujer|Sonora</v>
      </c>
      <c r="J28" s="78">
        <f>VLOOKUP($E$1,Tabla5[[#All],[name]:[id_1]],2,FALSE)</f>
        <v>2</v>
      </c>
      <c r="K28" s="78">
        <f>VLOOKUP($B$1,Tabla6[[#All],[name]:[id_2]],2)</f>
        <v>25</v>
      </c>
      <c r="L28" s="78">
        <f>VLOOKUP(Tabla410[[#This Row],[Sexo]],Tabla8[[#All],[name]:[gender_id]],2,FALSE)</f>
        <v>1</v>
      </c>
      <c r="M28" s="78" t="str">
        <f>IF(LEN(Tabla410[[#This Row],[centros]])&gt;0,VLOOKUP(Tabla410[[#This Row],[centros]],Tabla2[[#All],[Centros]:[ID]],2,FALSE),"NULL")</f>
        <v>NULL</v>
      </c>
      <c r="N28" s="78">
        <f>VLOOKUP(Tabla410[[#This Row],[Entidad]],Tabla3[[#All],[name]:[ID_2]],2,FALSE)</f>
        <v>26</v>
      </c>
      <c r="O28" s="78">
        <f>IFERROR(VLOOKUP(Tabla410[[#This Row],[CLAVE PI]], Tabla10[], 10, FALSE), 0)</f>
        <v>0</v>
      </c>
      <c r="P28" s="79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(2, 25, 1, NULL, 26, 0, 0, 1);</v>
      </c>
    </row>
    <row r="29" spans="1:17" ht="15" customHeight="1" x14ac:dyDescent="0.25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6" t="str">
        <f>Tabla410[[#This Row],[P1]] &amp; "|" &amp; $E$1 &amp; "|" &amp; Tabla410[[#This Row],[Sexo]] &amp; "|" &amp; Tabla410[[#This Row],[Entidad]]</f>
        <v>PI|Abuso de confianza|Mujer|Tabasco</v>
      </c>
      <c r="I29" s="77" t="str">
        <f>Tabla410[[#This Row],[P2]] &amp; "|" &amp; $E$1 &amp; "|" &amp; Tabla410[[#This Row],[Sexo]] &amp; "|" &amp; Tabla410[[#This Row],[Entidad]]</f>
        <v>PS|Abuso de confianza|Mujer|Tabasco</v>
      </c>
      <c r="J29" s="78">
        <f>VLOOKUP($E$1,Tabla5[[#All],[name]:[id_1]],2,FALSE)</f>
        <v>2</v>
      </c>
      <c r="K29" s="78">
        <f>VLOOKUP($B$1,Tabla6[[#All],[name]:[id_2]],2)</f>
        <v>25</v>
      </c>
      <c r="L29" s="78">
        <f>VLOOKUP(Tabla410[[#This Row],[Sexo]],Tabla8[[#All],[name]:[gender_id]],2,FALSE)</f>
        <v>1</v>
      </c>
      <c r="M29" s="78" t="str">
        <f>IF(LEN(Tabla410[[#This Row],[centros]])&gt;0,VLOOKUP(Tabla410[[#This Row],[centros]],Tabla2[[#All],[Centros]:[ID]],2,FALSE),"NULL")</f>
        <v>NULL</v>
      </c>
      <c r="N29" s="78">
        <f>VLOOKUP(Tabla410[[#This Row],[Entidad]],Tabla3[[#All],[name]:[ID_2]],2,FALSE)</f>
        <v>27</v>
      </c>
      <c r="O29" s="78">
        <f>IFERROR(VLOOKUP(Tabla410[[#This Row],[CLAVE PI]], Tabla10[], 10, FALSE), 0)</f>
        <v>0</v>
      </c>
      <c r="P29" s="79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(2, 25, 1, NULL, 27, 0, 0, 1);</v>
      </c>
    </row>
    <row r="30" spans="1:17" ht="15" customHeight="1" x14ac:dyDescent="0.25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6" t="str">
        <f>Tabla410[[#This Row],[P1]] &amp; "|" &amp; $E$1 &amp; "|" &amp; Tabla410[[#This Row],[Sexo]] &amp; "|" &amp; Tabla410[[#This Row],[Entidad]]</f>
        <v>PI|Abuso de confianza|Mujer|Tamaulipas</v>
      </c>
      <c r="I30" s="77" t="str">
        <f>Tabla410[[#This Row],[P2]] &amp; "|" &amp; $E$1 &amp; "|" &amp; Tabla410[[#This Row],[Sexo]] &amp; "|" &amp; Tabla410[[#This Row],[Entidad]]</f>
        <v>PS|Abuso de confianza|Mujer|Tamaulipas</v>
      </c>
      <c r="J30" s="78">
        <f>VLOOKUP($E$1,Tabla5[[#All],[name]:[id_1]],2,FALSE)</f>
        <v>2</v>
      </c>
      <c r="K30" s="78">
        <f>VLOOKUP($B$1,Tabla6[[#All],[name]:[id_2]],2)</f>
        <v>25</v>
      </c>
      <c r="L30" s="78">
        <f>VLOOKUP(Tabla410[[#This Row],[Sexo]],Tabla8[[#All],[name]:[gender_id]],2,FALSE)</f>
        <v>1</v>
      </c>
      <c r="M30" s="78" t="str">
        <f>IF(LEN(Tabla410[[#This Row],[centros]])&gt;0,VLOOKUP(Tabla410[[#This Row],[centros]],Tabla2[[#All],[Centros]:[ID]],2,FALSE),"NULL")</f>
        <v>NULL</v>
      </c>
      <c r="N30" s="78">
        <f>VLOOKUP(Tabla410[[#This Row],[Entidad]],Tabla3[[#All],[name]:[ID_2]],2,FALSE)</f>
        <v>28</v>
      </c>
      <c r="O30" s="78">
        <f>IFERROR(VLOOKUP(Tabla410[[#This Row],[CLAVE PI]], Tabla10[], 10, FALSE), 0)</f>
        <v>0</v>
      </c>
      <c r="P30" s="79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(2, 25, 1, NULL, 28, 0, 0, 1);</v>
      </c>
    </row>
    <row r="31" spans="1:17" ht="15" customHeight="1" x14ac:dyDescent="0.25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6" t="str">
        <f>Tabla410[[#This Row],[P1]] &amp; "|" &amp; $E$1 &amp; "|" &amp; Tabla410[[#This Row],[Sexo]] &amp; "|" &amp; Tabla410[[#This Row],[Entidad]]</f>
        <v>PI|Abuso de confianza|Mujer|Tlaxcala</v>
      </c>
      <c r="I31" s="77" t="str">
        <f>Tabla410[[#This Row],[P2]] &amp; "|" &amp; $E$1 &amp; "|" &amp; Tabla410[[#This Row],[Sexo]] &amp; "|" &amp; Tabla410[[#This Row],[Entidad]]</f>
        <v>PS|Abuso de confianza|Mujer|Tlaxcala</v>
      </c>
      <c r="J31" s="78">
        <f>VLOOKUP($E$1,Tabla5[[#All],[name]:[id_1]],2,FALSE)</f>
        <v>2</v>
      </c>
      <c r="K31" s="78">
        <f>VLOOKUP($B$1,Tabla6[[#All],[name]:[id_2]],2)</f>
        <v>25</v>
      </c>
      <c r="L31" s="78">
        <f>VLOOKUP(Tabla410[[#This Row],[Sexo]],Tabla8[[#All],[name]:[gender_id]],2,FALSE)</f>
        <v>1</v>
      </c>
      <c r="M31" s="78" t="str">
        <f>IF(LEN(Tabla410[[#This Row],[centros]])&gt;0,VLOOKUP(Tabla410[[#This Row],[centros]],Tabla2[[#All],[Centros]:[ID]],2,FALSE),"NULL")</f>
        <v>NULL</v>
      </c>
      <c r="N31" s="78">
        <f>VLOOKUP(Tabla410[[#This Row],[Entidad]],Tabla3[[#All],[name]:[ID_2]],2,FALSE)</f>
        <v>29</v>
      </c>
      <c r="O31" s="78">
        <f>IFERROR(VLOOKUP(Tabla410[[#This Row],[CLAVE PI]], Tabla10[], 10, FALSE), 0)</f>
        <v>0</v>
      </c>
      <c r="P31" s="79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(2, 25, 1, NULL, 29, 0, 0, 1);</v>
      </c>
    </row>
    <row r="32" spans="1:17" ht="15" customHeight="1" x14ac:dyDescent="0.25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6" t="str">
        <f>Tabla410[[#This Row],[P1]] &amp; "|" &amp; $E$1 &amp; "|" &amp; Tabla410[[#This Row],[Sexo]] &amp; "|" &amp; Tabla410[[#This Row],[Entidad]]</f>
        <v>PI|Abuso de confianza|Mujer|Veracruz de Ignacio de la Llave</v>
      </c>
      <c r="I32" s="77" t="str">
        <f>Tabla410[[#This Row],[P2]] &amp; "|" &amp; $E$1 &amp; "|" &amp; Tabla410[[#This Row],[Sexo]] &amp; "|" &amp; Tabla410[[#This Row],[Entidad]]</f>
        <v>PS|Abuso de confianza|Mujer|Veracruz de Ignacio de la Llave</v>
      </c>
      <c r="J32" s="78">
        <f>VLOOKUP($E$1,Tabla5[[#All],[name]:[id_1]],2,FALSE)</f>
        <v>2</v>
      </c>
      <c r="K32" s="78">
        <f>VLOOKUP($B$1,Tabla6[[#All],[name]:[id_2]],2)</f>
        <v>25</v>
      </c>
      <c r="L32" s="78">
        <f>VLOOKUP(Tabla410[[#This Row],[Sexo]],Tabla8[[#All],[name]:[gender_id]],2,FALSE)</f>
        <v>1</v>
      </c>
      <c r="M32" s="78" t="str">
        <f>IF(LEN(Tabla410[[#This Row],[centros]])&gt;0,VLOOKUP(Tabla410[[#This Row],[centros]],Tabla2[[#All],[Centros]:[ID]],2,FALSE),"NULL")</f>
        <v>NULL</v>
      </c>
      <c r="N32" s="78">
        <f>VLOOKUP(Tabla410[[#This Row],[Entidad]],Tabla3[[#All],[name]:[ID_2]],2,FALSE)</f>
        <v>30</v>
      </c>
      <c r="O32" s="78">
        <f>IFERROR(VLOOKUP(Tabla410[[#This Row],[CLAVE PI]], Tabla10[], 10, FALSE), 0)</f>
        <v>0</v>
      </c>
      <c r="P32" s="79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(2, 25, 1, NULL, 30, 0, 0, 1);</v>
      </c>
    </row>
    <row r="33" spans="1:17" ht="15" customHeight="1" x14ac:dyDescent="0.25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6" t="str">
        <f>Tabla410[[#This Row],[P1]] &amp; "|" &amp; $E$1 &amp; "|" &amp; Tabla410[[#This Row],[Sexo]] &amp; "|" &amp; Tabla410[[#This Row],[Entidad]]</f>
        <v>PI|Abuso de confianza|Mujer|Yucatán</v>
      </c>
      <c r="I33" s="77" t="str">
        <f>Tabla410[[#This Row],[P2]] &amp; "|" &amp; $E$1 &amp; "|" &amp; Tabla410[[#This Row],[Sexo]] &amp; "|" &amp; Tabla410[[#This Row],[Entidad]]</f>
        <v>PS|Abuso de confianza|Mujer|Yucatán</v>
      </c>
      <c r="J33" s="78">
        <f>VLOOKUP($E$1,Tabla5[[#All],[name]:[id_1]],2,FALSE)</f>
        <v>2</v>
      </c>
      <c r="K33" s="78">
        <f>VLOOKUP($B$1,Tabla6[[#All],[name]:[id_2]],2)</f>
        <v>25</v>
      </c>
      <c r="L33" s="78">
        <f>VLOOKUP(Tabla410[[#This Row],[Sexo]],Tabla8[[#All],[name]:[gender_id]],2,FALSE)</f>
        <v>1</v>
      </c>
      <c r="M33" s="78" t="str">
        <f>IF(LEN(Tabla410[[#This Row],[centros]])&gt;0,VLOOKUP(Tabla410[[#This Row],[centros]],Tabla2[[#All],[Centros]:[ID]],2,FALSE),"NULL")</f>
        <v>NULL</v>
      </c>
      <c r="N33" s="78">
        <f>VLOOKUP(Tabla410[[#This Row],[Entidad]],Tabla3[[#All],[name]:[ID_2]],2,FALSE)</f>
        <v>31</v>
      </c>
      <c r="O33" s="78">
        <f>IFERROR(VLOOKUP(Tabla410[[#This Row],[CLAVE PI]], Tabla10[], 10, FALSE), 0)</f>
        <v>0</v>
      </c>
      <c r="P33" s="79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(2, 25, 1, NULL, 31, 0, 0, 1);</v>
      </c>
    </row>
    <row r="34" spans="1:17" ht="15" customHeight="1" thickBot="1" x14ac:dyDescent="0.3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3" t="str">
        <f>Tabla410[[#This Row],[P1]] &amp; "|" &amp; $E$1 &amp; "|" &amp; Tabla410[[#This Row],[Sexo]] &amp; "|" &amp; Tabla410[[#This Row],[Entidad]]</f>
        <v>PI|Abuso de confianza|Mujer|Zacatecas</v>
      </c>
      <c r="I34" s="84" t="str">
        <f>Tabla410[[#This Row],[P2]] &amp; "|" &amp; $E$1 &amp; "|" &amp; Tabla410[[#This Row],[Sexo]] &amp; "|" &amp; Tabla410[[#This Row],[Entidad]]</f>
        <v>PS|Abuso de confianza|Mujer|Zacatecas</v>
      </c>
      <c r="J34" s="85">
        <f>VLOOKUP($E$1,Tabla5[[#All],[name]:[id_1]],2,FALSE)</f>
        <v>2</v>
      </c>
      <c r="K34" s="85">
        <f>VLOOKUP($B$1,Tabla6[[#All],[name]:[id_2]],2)</f>
        <v>25</v>
      </c>
      <c r="L34" s="85">
        <f>VLOOKUP(Tabla410[[#This Row],[Sexo]],Tabla8[[#All],[name]:[gender_id]],2,FALSE)</f>
        <v>1</v>
      </c>
      <c r="M34" s="85" t="str">
        <f>IF(LEN(Tabla410[[#This Row],[centros]])&gt;0,VLOOKUP(Tabla410[[#This Row],[centros]],Tabla2[[#All],[Centros]:[ID]],2,FALSE),"NULL")</f>
        <v>NULL</v>
      </c>
      <c r="N34" s="85">
        <f>VLOOKUP(Tabla410[[#This Row],[Entidad]],Tabla3[[#All],[name]:[ID_2]],2,FALSE)</f>
        <v>32</v>
      </c>
      <c r="O34" s="85">
        <f>IFERROR(VLOOKUP(Tabla410[[#This Row],[CLAVE PI]], Tabla10[], 10, FALSE), 0)</f>
        <v>0</v>
      </c>
      <c r="P34" s="86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(2, 25, 1, NULL, 32, 0, 0, 1);</v>
      </c>
    </row>
    <row r="35" spans="1:17" ht="15.75" x14ac:dyDescent="0.25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6" t="str">
        <f>Tabla410[[#This Row],[P1]] &amp; "|" &amp; $E$1 &amp; "|" &amp; Tabla410[[#This Row],[Sexo]] &amp; "|" &amp; Tabla410[[#This Row],[Entidad]]</f>
        <v>PI|Abuso de confianza|Hombre|Aguascalientes</v>
      </c>
      <c r="I35" s="77" t="str">
        <f>Tabla410[[#This Row],[P2]] &amp; "|" &amp; $E$1 &amp; "|" &amp; Tabla410[[#This Row],[Sexo]] &amp; "|" &amp; Tabla410[[#This Row],[Entidad]]</f>
        <v>PS|Abuso de confianza|Hombre|Aguascalientes</v>
      </c>
      <c r="J35" s="78">
        <f>VLOOKUP($E$1,Tabla5[[#All],[name]:[id_1]],2,FALSE)</f>
        <v>2</v>
      </c>
      <c r="K35" s="78">
        <f>VLOOKUP($B$1,Tabla6[[#All],[name]:[id_2]],2)</f>
        <v>25</v>
      </c>
      <c r="L35" s="78">
        <f>VLOOKUP(Tabla410[[#This Row],[Sexo]],Tabla8[[#All],[name]:[gender_id]],2,FALSE)</f>
        <v>2</v>
      </c>
      <c r="M35" s="78" t="str">
        <f>IF(LEN(Tabla410[[#This Row],[centros]])&gt;0,VLOOKUP(Tabla410[[#This Row],[centros]],Tabla2[[#All],[Centros]:[ID]],2,FALSE),"NULL")</f>
        <v>NULL</v>
      </c>
      <c r="N35" s="78">
        <f>VLOOKUP(Tabla410[[#This Row],[Entidad]],Tabla3[[#All],[name]:[ID_2]],2,FALSE)</f>
        <v>1</v>
      </c>
      <c r="O35" s="78">
        <f>IFERROR(VLOOKUP(Tabla410[[#This Row],[CLAVE PI]], Tabla10[], 10, FALSE), 0)</f>
        <v>0</v>
      </c>
      <c r="P35" s="79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(2, 25, 2, NULL, 1, 0, 0, 1);</v>
      </c>
    </row>
    <row r="36" spans="1:17" ht="15.75" x14ac:dyDescent="0.25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6" t="str">
        <f>Tabla410[[#This Row],[P1]] &amp; "|" &amp; $E$1 &amp; "|" &amp; Tabla410[[#This Row],[Sexo]] &amp; "|" &amp; Tabla410[[#This Row],[Entidad]]</f>
        <v>PI|Abuso de confianza|Hombre|Baja California</v>
      </c>
      <c r="I36" s="77" t="str">
        <f>Tabla410[[#This Row],[P2]] &amp; "|" &amp; $E$1 &amp; "|" &amp; Tabla410[[#This Row],[Sexo]] &amp; "|" &amp; Tabla410[[#This Row],[Entidad]]</f>
        <v>PS|Abuso de confianza|Hombre|Baja California</v>
      </c>
      <c r="J36" s="78">
        <f>VLOOKUP($E$1,Tabla5[[#All],[name]:[id_1]],2,FALSE)</f>
        <v>2</v>
      </c>
      <c r="K36" s="78">
        <f>VLOOKUP($B$1,Tabla6[[#All],[name]:[id_2]],2)</f>
        <v>25</v>
      </c>
      <c r="L36" s="78">
        <f>VLOOKUP(Tabla410[[#This Row],[Sexo]],Tabla8[[#All],[name]:[gender_id]],2,FALSE)</f>
        <v>2</v>
      </c>
      <c r="M36" s="78" t="str">
        <f>IF(LEN(Tabla410[[#This Row],[centros]])&gt;0,VLOOKUP(Tabla410[[#This Row],[centros]],Tabla2[[#All],[Centros]:[ID]],2,FALSE),"NULL")</f>
        <v>NULL</v>
      </c>
      <c r="N36" s="78">
        <f>VLOOKUP(Tabla410[[#This Row],[Entidad]],Tabla3[[#All],[name]:[ID_2]],2,FALSE)</f>
        <v>2</v>
      </c>
      <c r="O36" s="78">
        <f>IFERROR(VLOOKUP(Tabla410[[#This Row],[CLAVE PI]], Tabla10[], 10, FALSE), 0)</f>
        <v>0</v>
      </c>
      <c r="P36" s="79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(2, 25, 2, NULL, 2, 0, 0, 1);</v>
      </c>
    </row>
    <row r="37" spans="1:17" ht="15.75" x14ac:dyDescent="0.25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6" t="str">
        <f>Tabla410[[#This Row],[P1]] &amp; "|" &amp; $E$1 &amp; "|" &amp; Tabla410[[#This Row],[Sexo]] &amp; "|" &amp; Tabla410[[#This Row],[Entidad]]</f>
        <v>PI|Abuso de confianza|Hombre|Baja California Sur</v>
      </c>
      <c r="I37" s="77" t="str">
        <f>Tabla410[[#This Row],[P2]] &amp; "|" &amp; $E$1 &amp; "|" &amp; Tabla410[[#This Row],[Sexo]] &amp; "|" &amp; Tabla410[[#This Row],[Entidad]]</f>
        <v>PS|Abuso de confianza|Hombre|Baja California Sur</v>
      </c>
      <c r="J37" s="78">
        <f>VLOOKUP($E$1,Tabla5[[#All],[name]:[id_1]],2,FALSE)</f>
        <v>2</v>
      </c>
      <c r="K37" s="78">
        <f>VLOOKUP($B$1,Tabla6[[#All],[name]:[id_2]],2)</f>
        <v>25</v>
      </c>
      <c r="L37" s="78">
        <f>VLOOKUP(Tabla410[[#This Row],[Sexo]],Tabla8[[#All],[name]:[gender_id]],2,FALSE)</f>
        <v>2</v>
      </c>
      <c r="M37" s="78" t="str">
        <f>IF(LEN(Tabla410[[#This Row],[centros]])&gt;0,VLOOKUP(Tabla410[[#This Row],[centros]],Tabla2[[#All],[Centros]:[ID]],2,FALSE),"NULL")</f>
        <v>NULL</v>
      </c>
      <c r="N37" s="78">
        <f>VLOOKUP(Tabla410[[#This Row],[Entidad]],Tabla3[[#All],[name]:[ID_2]],2,FALSE)</f>
        <v>3</v>
      </c>
      <c r="O37" s="78">
        <f>IFERROR(VLOOKUP(Tabla410[[#This Row],[CLAVE PI]], Tabla10[], 10, FALSE), 0)</f>
        <v>0</v>
      </c>
      <c r="P37" s="79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(2, 25, 2, NULL, 3, 0, 0, 1);</v>
      </c>
    </row>
    <row r="38" spans="1:17" ht="15.75" x14ac:dyDescent="0.25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6" t="str">
        <f>Tabla410[[#This Row],[P1]] &amp; "|" &amp; $E$1 &amp; "|" &amp; Tabla410[[#This Row],[Sexo]] &amp; "|" &amp; Tabla410[[#This Row],[Entidad]]</f>
        <v>PI|Abuso de confianza|Hombre|Campeche</v>
      </c>
      <c r="I38" s="77" t="str">
        <f>Tabla410[[#This Row],[P2]] &amp; "|" &amp; $E$1 &amp; "|" &amp; Tabla410[[#This Row],[Sexo]] &amp; "|" &amp; Tabla410[[#This Row],[Entidad]]</f>
        <v>PS|Abuso de confianza|Hombre|Campeche</v>
      </c>
      <c r="J38" s="78">
        <f>VLOOKUP($E$1,Tabla5[[#All],[name]:[id_1]],2,FALSE)</f>
        <v>2</v>
      </c>
      <c r="K38" s="78">
        <f>VLOOKUP($B$1,Tabla6[[#All],[name]:[id_2]],2)</f>
        <v>25</v>
      </c>
      <c r="L38" s="78">
        <f>VLOOKUP(Tabla410[[#This Row],[Sexo]],Tabla8[[#All],[name]:[gender_id]],2,FALSE)</f>
        <v>2</v>
      </c>
      <c r="M38" s="78" t="str">
        <f>IF(LEN(Tabla410[[#This Row],[centros]])&gt;0,VLOOKUP(Tabla410[[#This Row],[centros]],Tabla2[[#All],[Centros]:[ID]],2,FALSE),"NULL")</f>
        <v>NULL</v>
      </c>
      <c r="N38" s="78">
        <f>VLOOKUP(Tabla410[[#This Row],[Entidad]],Tabla3[[#All],[name]:[ID_2]],2,FALSE)</f>
        <v>4</v>
      </c>
      <c r="O38" s="78">
        <f>IFERROR(VLOOKUP(Tabla410[[#This Row],[CLAVE PI]], Tabla10[], 10, FALSE), 0)</f>
        <v>0</v>
      </c>
      <c r="P38" s="79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(2, 25, 2, NULL, 4, 0, 0, 1);</v>
      </c>
    </row>
    <row r="39" spans="1:17" ht="15.75" x14ac:dyDescent="0.25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6" t="str">
        <f>Tabla410[[#This Row],[P1]] &amp; "|" &amp; $E$1 &amp; "|" &amp; Tabla410[[#This Row],[Sexo]] &amp; "|" &amp; Tabla410[[#This Row],[Entidad]]</f>
        <v>PI|Abuso de confianza|Hombre|Chiapas</v>
      </c>
      <c r="I39" s="77" t="str">
        <f>Tabla410[[#This Row],[P2]] &amp; "|" &amp; $E$1 &amp; "|" &amp; Tabla410[[#This Row],[Sexo]] &amp; "|" &amp; Tabla410[[#This Row],[Entidad]]</f>
        <v>PS|Abuso de confianza|Hombre|Chiapas</v>
      </c>
      <c r="J39" s="78">
        <f>VLOOKUP($E$1,Tabla5[[#All],[name]:[id_1]],2,FALSE)</f>
        <v>2</v>
      </c>
      <c r="K39" s="78">
        <f>VLOOKUP($B$1,Tabla6[[#All],[name]:[id_2]],2)</f>
        <v>25</v>
      </c>
      <c r="L39" s="78">
        <f>VLOOKUP(Tabla410[[#This Row],[Sexo]],Tabla8[[#All],[name]:[gender_id]],2,FALSE)</f>
        <v>2</v>
      </c>
      <c r="M39" s="78" t="str">
        <f>IF(LEN(Tabla410[[#This Row],[centros]])&gt;0,VLOOKUP(Tabla410[[#This Row],[centros]],Tabla2[[#All],[Centros]:[ID]],2,FALSE),"NULL")</f>
        <v>NULL</v>
      </c>
      <c r="N39" s="78">
        <f>VLOOKUP(Tabla410[[#This Row],[Entidad]],Tabla3[[#All],[name]:[ID_2]],2,FALSE)</f>
        <v>5</v>
      </c>
      <c r="O39" s="78">
        <f>IFERROR(VLOOKUP(Tabla410[[#This Row],[CLAVE PI]], Tabla10[], 10, FALSE), 0)</f>
        <v>0</v>
      </c>
      <c r="P39" s="79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(2, 25, 2, NULL, 5, 0, 0, 1);</v>
      </c>
    </row>
    <row r="40" spans="1:17" ht="15.75" x14ac:dyDescent="0.25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6" t="str">
        <f>Tabla410[[#This Row],[P1]] &amp; "|" &amp; $E$1 &amp; "|" &amp; Tabla410[[#This Row],[Sexo]] &amp; "|" &amp; Tabla410[[#This Row],[Entidad]]</f>
        <v>PI|Abuso de confianza|Hombre|Chihuahua</v>
      </c>
      <c r="I40" s="77" t="str">
        <f>Tabla410[[#This Row],[P2]] &amp; "|" &amp; $E$1 &amp; "|" &amp; Tabla410[[#This Row],[Sexo]] &amp; "|" &amp; Tabla410[[#This Row],[Entidad]]</f>
        <v>PS|Abuso de confianza|Hombre|Chihuahua</v>
      </c>
      <c r="J40" s="78">
        <f>VLOOKUP($E$1,Tabla5[[#All],[name]:[id_1]],2,FALSE)</f>
        <v>2</v>
      </c>
      <c r="K40" s="78">
        <f>VLOOKUP($B$1,Tabla6[[#All],[name]:[id_2]],2)</f>
        <v>25</v>
      </c>
      <c r="L40" s="78">
        <f>VLOOKUP(Tabla410[[#This Row],[Sexo]],Tabla8[[#All],[name]:[gender_id]],2,FALSE)</f>
        <v>2</v>
      </c>
      <c r="M40" s="78" t="str">
        <f>IF(LEN(Tabla410[[#This Row],[centros]])&gt;0,VLOOKUP(Tabla410[[#This Row],[centros]],Tabla2[[#All],[Centros]:[ID]],2,FALSE),"NULL")</f>
        <v>NULL</v>
      </c>
      <c r="N40" s="78">
        <f>VLOOKUP(Tabla410[[#This Row],[Entidad]],Tabla3[[#All],[name]:[ID_2]],2,FALSE)</f>
        <v>6</v>
      </c>
      <c r="O40" s="78">
        <f>IFERROR(VLOOKUP(Tabla410[[#This Row],[CLAVE PI]], Tabla10[], 10, FALSE), 0)</f>
        <v>0</v>
      </c>
      <c r="P40" s="79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(2, 25, 2, NULL, 6, 0, 0, 1);</v>
      </c>
    </row>
    <row r="41" spans="1:17" ht="15.75" x14ac:dyDescent="0.25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6" t="str">
        <f>Tabla410[[#This Row],[P1]] &amp; "|" &amp; $E$1 &amp; "|" &amp; Tabla410[[#This Row],[Sexo]] &amp; "|" &amp; Tabla410[[#This Row],[Entidad]]</f>
        <v>PI|Abuso de confianza|Hombre|Ciudad de México</v>
      </c>
      <c r="I41" s="77" t="str">
        <f>Tabla410[[#This Row],[P2]] &amp; "|" &amp; $E$1 &amp; "|" &amp; Tabla410[[#This Row],[Sexo]] &amp; "|" &amp; Tabla410[[#This Row],[Entidad]]</f>
        <v>PS|Abuso de confianza|Hombre|Ciudad de México</v>
      </c>
      <c r="J41" s="78">
        <f>VLOOKUP($E$1,Tabla5[[#All],[name]:[id_1]],2,FALSE)</f>
        <v>2</v>
      </c>
      <c r="K41" s="78">
        <f>VLOOKUP($B$1,Tabla6[[#All],[name]:[id_2]],2)</f>
        <v>25</v>
      </c>
      <c r="L41" s="78">
        <f>VLOOKUP(Tabla410[[#This Row],[Sexo]],Tabla8[[#All],[name]:[gender_id]],2,FALSE)</f>
        <v>2</v>
      </c>
      <c r="M41" s="78" t="str">
        <f>IF(LEN(Tabla410[[#This Row],[centros]])&gt;0,VLOOKUP(Tabla410[[#This Row],[centros]],Tabla2[[#All],[Centros]:[ID]],2,FALSE),"NULL")</f>
        <v>NULL</v>
      </c>
      <c r="N41" s="78">
        <f>VLOOKUP(Tabla410[[#This Row],[Entidad]],Tabla3[[#All],[name]:[ID_2]],2,FALSE)</f>
        <v>7</v>
      </c>
      <c r="O41" s="78">
        <f>IFERROR(VLOOKUP(Tabla410[[#This Row],[CLAVE PI]], Tabla10[], 10, FALSE), 0)</f>
        <v>0</v>
      </c>
      <c r="P41" s="79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(2, 25, 2, NULL, 7, 0, 0, 1);</v>
      </c>
    </row>
    <row r="42" spans="1:17" ht="15.75" x14ac:dyDescent="0.25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6" t="str">
        <f>Tabla410[[#This Row],[P1]] &amp; "|" &amp; $E$1 &amp; "|" &amp; Tabla410[[#This Row],[Sexo]] &amp; "|" &amp; Tabla410[[#This Row],[Entidad]]</f>
        <v>PI|Abuso de confianza|Hombre|Coahuila de Zaragoza</v>
      </c>
      <c r="I42" s="77" t="str">
        <f>Tabla410[[#This Row],[P2]] &amp; "|" &amp; $E$1 &amp; "|" &amp; Tabla410[[#This Row],[Sexo]] &amp; "|" &amp; Tabla410[[#This Row],[Entidad]]</f>
        <v>PS|Abuso de confianza|Hombre|Coahuila de Zaragoza</v>
      </c>
      <c r="J42" s="78">
        <f>VLOOKUP($E$1,Tabla5[[#All],[name]:[id_1]],2,FALSE)</f>
        <v>2</v>
      </c>
      <c r="K42" s="78">
        <f>VLOOKUP($B$1,Tabla6[[#All],[name]:[id_2]],2)</f>
        <v>25</v>
      </c>
      <c r="L42" s="78">
        <f>VLOOKUP(Tabla410[[#This Row],[Sexo]],Tabla8[[#All],[name]:[gender_id]],2,FALSE)</f>
        <v>2</v>
      </c>
      <c r="M42" s="78" t="str">
        <f>IF(LEN(Tabla410[[#This Row],[centros]])&gt;0,VLOOKUP(Tabla410[[#This Row],[centros]],Tabla2[[#All],[Centros]:[ID]],2,FALSE),"NULL")</f>
        <v>NULL</v>
      </c>
      <c r="N42" s="78">
        <f>VLOOKUP(Tabla410[[#This Row],[Entidad]],Tabla3[[#All],[name]:[ID_2]],2,FALSE)</f>
        <v>8</v>
      </c>
      <c r="O42" s="78">
        <f>IFERROR(VLOOKUP(Tabla410[[#This Row],[CLAVE PI]], Tabla10[], 10, FALSE), 0)</f>
        <v>0</v>
      </c>
      <c r="P42" s="79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(2, 25, 2, NULL, 8, 0, 0, 1);</v>
      </c>
    </row>
    <row r="43" spans="1:17" ht="15.75" x14ac:dyDescent="0.25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6" t="str">
        <f>Tabla410[[#This Row],[P1]] &amp; "|" &amp; $E$1 &amp; "|" &amp; Tabla410[[#This Row],[Sexo]] &amp; "|" &amp; Tabla410[[#This Row],[Entidad]]</f>
        <v>PI|Abuso de confianza|Hombre|Colima</v>
      </c>
      <c r="I43" s="77" t="str">
        <f>Tabla410[[#This Row],[P2]] &amp; "|" &amp; $E$1 &amp; "|" &amp; Tabla410[[#This Row],[Sexo]] &amp; "|" &amp; Tabla410[[#This Row],[Entidad]]</f>
        <v>PS|Abuso de confianza|Hombre|Colima</v>
      </c>
      <c r="J43" s="78">
        <f>VLOOKUP($E$1,Tabla5[[#All],[name]:[id_1]],2,FALSE)</f>
        <v>2</v>
      </c>
      <c r="K43" s="78">
        <f>VLOOKUP($B$1,Tabla6[[#All],[name]:[id_2]],2)</f>
        <v>25</v>
      </c>
      <c r="L43" s="78">
        <f>VLOOKUP(Tabla410[[#This Row],[Sexo]],Tabla8[[#All],[name]:[gender_id]],2,FALSE)</f>
        <v>2</v>
      </c>
      <c r="M43" s="78" t="str">
        <f>IF(LEN(Tabla410[[#This Row],[centros]])&gt;0,VLOOKUP(Tabla410[[#This Row],[centros]],Tabla2[[#All],[Centros]:[ID]],2,FALSE),"NULL")</f>
        <v>NULL</v>
      </c>
      <c r="N43" s="78">
        <f>VLOOKUP(Tabla410[[#This Row],[Entidad]],Tabla3[[#All],[name]:[ID_2]],2,FALSE)</f>
        <v>9</v>
      </c>
      <c r="O43" s="78">
        <f>IFERROR(VLOOKUP(Tabla410[[#This Row],[CLAVE PI]], Tabla10[], 10, FALSE), 0)</f>
        <v>0</v>
      </c>
      <c r="P43" s="79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(2, 25, 2, NULL, 9, 0, 0, 1);</v>
      </c>
    </row>
    <row r="44" spans="1:17" ht="15.75" x14ac:dyDescent="0.25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6" t="str">
        <f>Tabla410[[#This Row],[P1]] &amp; "|" &amp; $E$1 &amp; "|" &amp; Tabla410[[#This Row],[Sexo]] &amp; "|" &amp; Tabla410[[#This Row],[Entidad]]</f>
        <v>PI|Abuso de confianza|Hombre|Durango</v>
      </c>
      <c r="I44" s="77" t="str">
        <f>Tabla410[[#This Row],[P2]] &amp; "|" &amp; $E$1 &amp; "|" &amp; Tabla410[[#This Row],[Sexo]] &amp; "|" &amp; Tabla410[[#This Row],[Entidad]]</f>
        <v>PS|Abuso de confianza|Hombre|Durango</v>
      </c>
      <c r="J44" s="78">
        <f>VLOOKUP($E$1,Tabla5[[#All],[name]:[id_1]],2,FALSE)</f>
        <v>2</v>
      </c>
      <c r="K44" s="78">
        <f>VLOOKUP($B$1,Tabla6[[#All],[name]:[id_2]],2)</f>
        <v>25</v>
      </c>
      <c r="L44" s="78">
        <f>VLOOKUP(Tabla410[[#This Row],[Sexo]],Tabla8[[#All],[name]:[gender_id]],2,FALSE)</f>
        <v>2</v>
      </c>
      <c r="M44" s="78" t="str">
        <f>IF(LEN(Tabla410[[#This Row],[centros]])&gt;0,VLOOKUP(Tabla410[[#This Row],[centros]],Tabla2[[#All],[Centros]:[ID]],2,FALSE),"NULL")</f>
        <v>NULL</v>
      </c>
      <c r="N44" s="78">
        <f>VLOOKUP(Tabla410[[#This Row],[Entidad]],Tabla3[[#All],[name]:[ID_2]],2,FALSE)</f>
        <v>10</v>
      </c>
      <c r="O44" s="78">
        <f>IFERROR(VLOOKUP(Tabla410[[#This Row],[CLAVE PI]], Tabla10[], 10, FALSE), 0)</f>
        <v>0</v>
      </c>
      <c r="P44" s="79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(2, 25, 2, NULL, 10, 0, 0, 1);</v>
      </c>
    </row>
    <row r="45" spans="1:17" ht="15.75" x14ac:dyDescent="0.25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6" t="str">
        <f>Tabla410[[#This Row],[P1]] &amp; "|" &amp; $E$1 &amp; "|" &amp; Tabla410[[#This Row],[Sexo]] &amp; "|" &amp; Tabla410[[#This Row],[Entidad]]</f>
        <v>PI|Abuso de confianza|Hombre|Guanajuato</v>
      </c>
      <c r="I45" s="77" t="str">
        <f>Tabla410[[#This Row],[P2]] &amp; "|" &amp; $E$1 &amp; "|" &amp; Tabla410[[#This Row],[Sexo]] &amp; "|" &amp; Tabla410[[#This Row],[Entidad]]</f>
        <v>PS|Abuso de confianza|Hombre|Guanajuato</v>
      </c>
      <c r="J45" s="78">
        <f>VLOOKUP($E$1,Tabla5[[#All],[name]:[id_1]],2,FALSE)</f>
        <v>2</v>
      </c>
      <c r="K45" s="78">
        <f>VLOOKUP($B$1,Tabla6[[#All],[name]:[id_2]],2)</f>
        <v>25</v>
      </c>
      <c r="L45" s="78">
        <f>VLOOKUP(Tabla410[[#This Row],[Sexo]],Tabla8[[#All],[name]:[gender_id]],2,FALSE)</f>
        <v>2</v>
      </c>
      <c r="M45" s="78" t="str">
        <f>IF(LEN(Tabla410[[#This Row],[centros]])&gt;0,VLOOKUP(Tabla410[[#This Row],[centros]],Tabla2[[#All],[Centros]:[ID]],2,FALSE),"NULL")</f>
        <v>NULL</v>
      </c>
      <c r="N45" s="78">
        <f>VLOOKUP(Tabla410[[#This Row],[Entidad]],Tabla3[[#All],[name]:[ID_2]],2,FALSE)</f>
        <v>11</v>
      </c>
      <c r="O45" s="78">
        <f>IFERROR(VLOOKUP(Tabla410[[#This Row],[CLAVE PI]], Tabla10[], 10, FALSE), 0)</f>
        <v>0</v>
      </c>
      <c r="P45" s="79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(2, 25, 2, NULL, 11, 0, 0, 1);</v>
      </c>
    </row>
    <row r="46" spans="1:17" ht="15.75" x14ac:dyDescent="0.25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6" t="str">
        <f>Tabla410[[#This Row],[P1]] &amp; "|" &amp; $E$1 &amp; "|" &amp; Tabla410[[#This Row],[Sexo]] &amp; "|" &amp; Tabla410[[#This Row],[Entidad]]</f>
        <v>PI|Abuso de confianza|Hombre|Guerrero</v>
      </c>
      <c r="I46" s="77" t="str">
        <f>Tabla410[[#This Row],[P2]] &amp; "|" &amp; $E$1 &amp; "|" &amp; Tabla410[[#This Row],[Sexo]] &amp; "|" &amp; Tabla410[[#This Row],[Entidad]]</f>
        <v>PS|Abuso de confianza|Hombre|Guerrero</v>
      </c>
      <c r="J46" s="78">
        <f>VLOOKUP($E$1,Tabla5[[#All],[name]:[id_1]],2,FALSE)</f>
        <v>2</v>
      </c>
      <c r="K46" s="78">
        <f>VLOOKUP($B$1,Tabla6[[#All],[name]:[id_2]],2)</f>
        <v>25</v>
      </c>
      <c r="L46" s="78">
        <f>VLOOKUP(Tabla410[[#This Row],[Sexo]],Tabla8[[#All],[name]:[gender_id]],2,FALSE)</f>
        <v>2</v>
      </c>
      <c r="M46" s="78" t="str">
        <f>IF(LEN(Tabla410[[#This Row],[centros]])&gt;0,VLOOKUP(Tabla410[[#This Row],[centros]],Tabla2[[#All],[Centros]:[ID]],2,FALSE),"NULL")</f>
        <v>NULL</v>
      </c>
      <c r="N46" s="78">
        <f>VLOOKUP(Tabla410[[#This Row],[Entidad]],Tabla3[[#All],[name]:[ID_2]],2,FALSE)</f>
        <v>12</v>
      </c>
      <c r="O46" s="78">
        <f>IFERROR(VLOOKUP(Tabla410[[#This Row],[CLAVE PI]], Tabla10[], 10, FALSE), 0)</f>
        <v>0</v>
      </c>
      <c r="P46" s="79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(2, 25, 2, NULL, 12, 0, 0, 1);</v>
      </c>
    </row>
    <row r="47" spans="1:17" ht="15.75" x14ac:dyDescent="0.25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6" t="str">
        <f>Tabla410[[#This Row],[P1]] &amp; "|" &amp; $E$1 &amp; "|" &amp; Tabla410[[#This Row],[Sexo]] &amp; "|" &amp; Tabla410[[#This Row],[Entidad]]</f>
        <v>PI|Abuso de confianza|Hombre|Hidalgo</v>
      </c>
      <c r="I47" s="77" t="str">
        <f>Tabla410[[#This Row],[P2]] &amp; "|" &amp; $E$1 &amp; "|" &amp; Tabla410[[#This Row],[Sexo]] &amp; "|" &amp; Tabla410[[#This Row],[Entidad]]</f>
        <v>PS|Abuso de confianza|Hombre|Hidalgo</v>
      </c>
      <c r="J47" s="78">
        <f>VLOOKUP($E$1,Tabla5[[#All],[name]:[id_1]],2,FALSE)</f>
        <v>2</v>
      </c>
      <c r="K47" s="78">
        <f>VLOOKUP($B$1,Tabla6[[#All],[name]:[id_2]],2)</f>
        <v>25</v>
      </c>
      <c r="L47" s="78">
        <f>VLOOKUP(Tabla410[[#This Row],[Sexo]],Tabla8[[#All],[name]:[gender_id]],2,FALSE)</f>
        <v>2</v>
      </c>
      <c r="M47" s="78" t="str">
        <f>IF(LEN(Tabla410[[#This Row],[centros]])&gt;0,VLOOKUP(Tabla410[[#This Row],[centros]],Tabla2[[#All],[Centros]:[ID]],2,FALSE),"NULL")</f>
        <v>NULL</v>
      </c>
      <c r="N47" s="78">
        <f>VLOOKUP(Tabla410[[#This Row],[Entidad]],Tabla3[[#All],[name]:[ID_2]],2,FALSE)</f>
        <v>13</v>
      </c>
      <c r="O47" s="78">
        <f>IFERROR(VLOOKUP(Tabla410[[#This Row],[CLAVE PI]], Tabla10[], 10, FALSE), 0)</f>
        <v>0</v>
      </c>
      <c r="P47" s="79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(2, 25, 2, NULL, 13, 0, 0, 1);</v>
      </c>
    </row>
    <row r="48" spans="1:17" ht="15.75" x14ac:dyDescent="0.25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6" t="str">
        <f>Tabla410[[#This Row],[P1]] &amp; "|" &amp; $E$1 &amp; "|" &amp; Tabla410[[#This Row],[Sexo]] &amp; "|" &amp; Tabla410[[#This Row],[Entidad]]</f>
        <v>PI|Abuso de confianza|Hombre|Jalisco</v>
      </c>
      <c r="I48" s="77" t="str">
        <f>Tabla410[[#This Row],[P2]] &amp; "|" &amp; $E$1 &amp; "|" &amp; Tabla410[[#This Row],[Sexo]] &amp; "|" &amp; Tabla410[[#This Row],[Entidad]]</f>
        <v>PS|Abuso de confianza|Hombre|Jalisco</v>
      </c>
      <c r="J48" s="78">
        <f>VLOOKUP($E$1,Tabla5[[#All],[name]:[id_1]],2,FALSE)</f>
        <v>2</v>
      </c>
      <c r="K48" s="78">
        <f>VLOOKUP($B$1,Tabla6[[#All],[name]:[id_2]],2)</f>
        <v>25</v>
      </c>
      <c r="L48" s="78">
        <f>VLOOKUP(Tabla410[[#This Row],[Sexo]],Tabla8[[#All],[name]:[gender_id]],2,FALSE)</f>
        <v>2</v>
      </c>
      <c r="M48" s="78" t="str">
        <f>IF(LEN(Tabla410[[#This Row],[centros]])&gt;0,VLOOKUP(Tabla410[[#This Row],[centros]],Tabla2[[#All],[Centros]:[ID]],2,FALSE),"NULL")</f>
        <v>NULL</v>
      </c>
      <c r="N48" s="78">
        <f>VLOOKUP(Tabla410[[#This Row],[Entidad]],Tabla3[[#All],[name]:[ID_2]],2,FALSE)</f>
        <v>14</v>
      </c>
      <c r="O48" s="78">
        <f>IFERROR(VLOOKUP(Tabla410[[#This Row],[CLAVE PI]], Tabla10[], 10, FALSE), 0)</f>
        <v>0</v>
      </c>
      <c r="P48" s="79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(2, 25, 2, NULL, 14, 0, 0, 1);</v>
      </c>
    </row>
    <row r="49" spans="1:17" ht="15.75" x14ac:dyDescent="0.25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6" t="str">
        <f>Tabla410[[#This Row],[P1]] &amp; "|" &amp; $E$1 &amp; "|" &amp; Tabla410[[#This Row],[Sexo]] &amp; "|" &amp; Tabla410[[#This Row],[Entidad]]</f>
        <v>PI|Abuso de confianza|Hombre|México</v>
      </c>
      <c r="I49" s="77" t="str">
        <f>Tabla410[[#This Row],[P2]] &amp; "|" &amp; $E$1 &amp; "|" &amp; Tabla410[[#This Row],[Sexo]] &amp; "|" &amp; Tabla410[[#This Row],[Entidad]]</f>
        <v>PS|Abuso de confianza|Hombre|México</v>
      </c>
      <c r="J49" s="78">
        <f>VLOOKUP($E$1,Tabla5[[#All],[name]:[id_1]],2,FALSE)</f>
        <v>2</v>
      </c>
      <c r="K49" s="78">
        <f>VLOOKUP($B$1,Tabla6[[#All],[name]:[id_2]],2)</f>
        <v>25</v>
      </c>
      <c r="L49" s="78">
        <f>VLOOKUP(Tabla410[[#This Row],[Sexo]],Tabla8[[#All],[name]:[gender_id]],2,FALSE)</f>
        <v>2</v>
      </c>
      <c r="M49" s="78" t="str">
        <f>IF(LEN(Tabla410[[#This Row],[centros]])&gt;0,VLOOKUP(Tabla410[[#This Row],[centros]],Tabla2[[#All],[Centros]:[ID]],2,FALSE),"NULL")</f>
        <v>NULL</v>
      </c>
      <c r="N49" s="78">
        <f>VLOOKUP(Tabla410[[#This Row],[Entidad]],Tabla3[[#All],[name]:[ID_2]],2,FALSE)</f>
        <v>15</v>
      </c>
      <c r="O49" s="78">
        <f>IFERROR(VLOOKUP(Tabla410[[#This Row],[CLAVE PI]], Tabla10[], 10, FALSE), 0)</f>
        <v>0</v>
      </c>
      <c r="P49" s="79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(2, 25, 2, NULL, 15, 0, 0, 1);</v>
      </c>
    </row>
    <row r="50" spans="1:17" ht="15.75" x14ac:dyDescent="0.25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6" t="str">
        <f>Tabla410[[#This Row],[P1]] &amp; "|" &amp; $E$1 &amp; "|" &amp; Tabla410[[#This Row],[Sexo]] &amp; "|" &amp; Tabla410[[#This Row],[Entidad]]</f>
        <v>PI|Abuso de confianza|Hombre|Michoacán de Ocampo</v>
      </c>
      <c r="I50" s="77" t="str">
        <f>Tabla410[[#This Row],[P2]] &amp; "|" &amp; $E$1 &amp; "|" &amp; Tabla410[[#This Row],[Sexo]] &amp; "|" &amp; Tabla410[[#This Row],[Entidad]]</f>
        <v>PS|Abuso de confianza|Hombre|Michoacán de Ocampo</v>
      </c>
      <c r="J50" s="78">
        <f>VLOOKUP($E$1,Tabla5[[#All],[name]:[id_1]],2,FALSE)</f>
        <v>2</v>
      </c>
      <c r="K50" s="78">
        <f>VLOOKUP($B$1,Tabla6[[#All],[name]:[id_2]],2)</f>
        <v>25</v>
      </c>
      <c r="L50" s="78">
        <f>VLOOKUP(Tabla410[[#This Row],[Sexo]],Tabla8[[#All],[name]:[gender_id]],2,FALSE)</f>
        <v>2</v>
      </c>
      <c r="M50" s="78" t="str">
        <f>IF(LEN(Tabla410[[#This Row],[centros]])&gt;0,VLOOKUP(Tabla410[[#This Row],[centros]],Tabla2[[#All],[Centros]:[ID]],2,FALSE),"NULL")</f>
        <v>NULL</v>
      </c>
      <c r="N50" s="78">
        <f>VLOOKUP(Tabla410[[#This Row],[Entidad]],Tabla3[[#All],[name]:[ID_2]],2,FALSE)</f>
        <v>16</v>
      </c>
      <c r="O50" s="78">
        <f>IFERROR(VLOOKUP(Tabla410[[#This Row],[CLAVE PI]], Tabla10[], 10, FALSE), 0)</f>
        <v>0</v>
      </c>
      <c r="P50" s="79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(2, 25, 2, NULL, 16, 0, 0, 1);</v>
      </c>
    </row>
    <row r="51" spans="1:17" ht="15.75" x14ac:dyDescent="0.25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6" t="str">
        <f>Tabla410[[#This Row],[P1]] &amp; "|" &amp; $E$1 &amp; "|" &amp; Tabla410[[#This Row],[Sexo]] &amp; "|" &amp; Tabla410[[#This Row],[Entidad]]</f>
        <v>PI|Abuso de confianza|Hombre|Morelos</v>
      </c>
      <c r="I51" s="77" t="str">
        <f>Tabla410[[#This Row],[P2]] &amp; "|" &amp; $E$1 &amp; "|" &amp; Tabla410[[#This Row],[Sexo]] &amp; "|" &amp; Tabla410[[#This Row],[Entidad]]</f>
        <v>PS|Abuso de confianza|Hombre|Morelos</v>
      </c>
      <c r="J51" s="78">
        <f>VLOOKUP($E$1,Tabla5[[#All],[name]:[id_1]],2,FALSE)</f>
        <v>2</v>
      </c>
      <c r="K51" s="78">
        <f>VLOOKUP($B$1,Tabla6[[#All],[name]:[id_2]],2)</f>
        <v>25</v>
      </c>
      <c r="L51" s="78">
        <f>VLOOKUP(Tabla410[[#This Row],[Sexo]],Tabla8[[#All],[name]:[gender_id]],2,FALSE)</f>
        <v>2</v>
      </c>
      <c r="M51" s="78" t="str">
        <f>IF(LEN(Tabla410[[#This Row],[centros]])&gt;0,VLOOKUP(Tabla410[[#This Row],[centros]],Tabla2[[#All],[Centros]:[ID]],2,FALSE),"NULL")</f>
        <v>NULL</v>
      </c>
      <c r="N51" s="78">
        <f>VLOOKUP(Tabla410[[#This Row],[Entidad]],Tabla3[[#All],[name]:[ID_2]],2,FALSE)</f>
        <v>17</v>
      </c>
      <c r="O51" s="78">
        <f>IFERROR(VLOOKUP(Tabla410[[#This Row],[CLAVE PI]], Tabla10[], 10, FALSE), 0)</f>
        <v>0</v>
      </c>
      <c r="P51" s="79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(2, 25, 2, NULL, 17, 0, 0, 1);</v>
      </c>
    </row>
    <row r="52" spans="1:17" ht="15.75" x14ac:dyDescent="0.25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6" t="str">
        <f>Tabla410[[#This Row],[P1]] &amp; "|" &amp; $E$1 &amp; "|" &amp; Tabla410[[#This Row],[Sexo]] &amp; "|" &amp; Tabla410[[#This Row],[Entidad]]</f>
        <v>PI|Abuso de confianza|Hombre|Nayarit</v>
      </c>
      <c r="I52" s="77" t="str">
        <f>Tabla410[[#This Row],[P2]] &amp; "|" &amp; $E$1 &amp; "|" &amp; Tabla410[[#This Row],[Sexo]] &amp; "|" &amp; Tabla410[[#This Row],[Entidad]]</f>
        <v>PS|Abuso de confianza|Hombre|Nayarit</v>
      </c>
      <c r="J52" s="78">
        <f>VLOOKUP($E$1,Tabla5[[#All],[name]:[id_1]],2,FALSE)</f>
        <v>2</v>
      </c>
      <c r="K52" s="78">
        <f>VLOOKUP($B$1,Tabla6[[#All],[name]:[id_2]],2)</f>
        <v>25</v>
      </c>
      <c r="L52" s="78">
        <f>VLOOKUP(Tabla410[[#This Row],[Sexo]],Tabla8[[#All],[name]:[gender_id]],2,FALSE)</f>
        <v>2</v>
      </c>
      <c r="M52" s="78" t="str">
        <f>IF(LEN(Tabla410[[#This Row],[centros]])&gt;0,VLOOKUP(Tabla410[[#This Row],[centros]],Tabla2[[#All],[Centros]:[ID]],2,FALSE),"NULL")</f>
        <v>NULL</v>
      </c>
      <c r="N52" s="78">
        <f>VLOOKUP(Tabla410[[#This Row],[Entidad]],Tabla3[[#All],[name]:[ID_2]],2,FALSE)</f>
        <v>18</v>
      </c>
      <c r="O52" s="78">
        <f>IFERROR(VLOOKUP(Tabla410[[#This Row],[CLAVE PI]], Tabla10[], 10, FALSE), 0)</f>
        <v>0</v>
      </c>
      <c r="P52" s="79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(2, 25, 2, NULL, 18, 0, 0, 1);</v>
      </c>
    </row>
    <row r="53" spans="1:17" ht="15.75" x14ac:dyDescent="0.25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6" t="str">
        <f>Tabla410[[#This Row],[P1]] &amp; "|" &amp; $E$1 &amp; "|" &amp; Tabla410[[#This Row],[Sexo]] &amp; "|" &amp; Tabla410[[#This Row],[Entidad]]</f>
        <v>PI|Abuso de confianza|Hombre|Nuevo León</v>
      </c>
      <c r="I53" s="77" t="str">
        <f>Tabla410[[#This Row],[P2]] &amp; "|" &amp; $E$1 &amp; "|" &amp; Tabla410[[#This Row],[Sexo]] &amp; "|" &amp; Tabla410[[#This Row],[Entidad]]</f>
        <v>PS|Abuso de confianza|Hombre|Nuevo León</v>
      </c>
      <c r="J53" s="78">
        <f>VLOOKUP($E$1,Tabla5[[#All],[name]:[id_1]],2,FALSE)</f>
        <v>2</v>
      </c>
      <c r="K53" s="78">
        <f>VLOOKUP($B$1,Tabla6[[#All],[name]:[id_2]],2)</f>
        <v>25</v>
      </c>
      <c r="L53" s="78">
        <f>VLOOKUP(Tabla410[[#This Row],[Sexo]],Tabla8[[#All],[name]:[gender_id]],2,FALSE)</f>
        <v>2</v>
      </c>
      <c r="M53" s="78" t="str">
        <f>IF(LEN(Tabla410[[#This Row],[centros]])&gt;0,VLOOKUP(Tabla410[[#This Row],[centros]],Tabla2[[#All],[Centros]:[ID]],2,FALSE),"NULL")</f>
        <v>NULL</v>
      </c>
      <c r="N53" s="78">
        <f>VLOOKUP(Tabla410[[#This Row],[Entidad]],Tabla3[[#All],[name]:[ID_2]],2,FALSE)</f>
        <v>19</v>
      </c>
      <c r="O53" s="78">
        <f>IFERROR(VLOOKUP(Tabla410[[#This Row],[CLAVE PI]], Tabla10[], 10, FALSE), 0)</f>
        <v>0</v>
      </c>
      <c r="P53" s="79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(2, 25, 2, NULL, 19, 0, 0, 1);</v>
      </c>
    </row>
    <row r="54" spans="1:17" ht="15.75" x14ac:dyDescent="0.25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6" t="str">
        <f>Tabla410[[#This Row],[P1]] &amp; "|" &amp; $E$1 &amp; "|" &amp; Tabla410[[#This Row],[Sexo]] &amp; "|" &amp; Tabla410[[#This Row],[Entidad]]</f>
        <v>PI|Abuso de confianza|Hombre|Oaxaca</v>
      </c>
      <c r="I54" s="77" t="str">
        <f>Tabla410[[#This Row],[P2]] &amp; "|" &amp; $E$1 &amp; "|" &amp; Tabla410[[#This Row],[Sexo]] &amp; "|" &amp; Tabla410[[#This Row],[Entidad]]</f>
        <v>PS|Abuso de confianza|Hombre|Oaxaca</v>
      </c>
      <c r="J54" s="78">
        <f>VLOOKUP($E$1,Tabla5[[#All],[name]:[id_1]],2,FALSE)</f>
        <v>2</v>
      </c>
      <c r="K54" s="78">
        <f>VLOOKUP($B$1,Tabla6[[#All],[name]:[id_2]],2)</f>
        <v>25</v>
      </c>
      <c r="L54" s="78">
        <f>VLOOKUP(Tabla410[[#This Row],[Sexo]],Tabla8[[#All],[name]:[gender_id]],2,FALSE)</f>
        <v>2</v>
      </c>
      <c r="M54" s="78" t="str">
        <f>IF(LEN(Tabla410[[#This Row],[centros]])&gt;0,VLOOKUP(Tabla410[[#This Row],[centros]],Tabla2[[#All],[Centros]:[ID]],2,FALSE),"NULL")</f>
        <v>NULL</v>
      </c>
      <c r="N54" s="78">
        <f>VLOOKUP(Tabla410[[#This Row],[Entidad]],Tabla3[[#All],[name]:[ID_2]],2,FALSE)</f>
        <v>20</v>
      </c>
      <c r="O54" s="78">
        <f>IFERROR(VLOOKUP(Tabla410[[#This Row],[CLAVE PI]], Tabla10[], 10, FALSE), 0)</f>
        <v>0</v>
      </c>
      <c r="P54" s="79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(2, 25, 2, NULL, 20, 0, 0, 1);</v>
      </c>
    </row>
    <row r="55" spans="1:17" ht="15.75" x14ac:dyDescent="0.25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6" t="str">
        <f>Tabla410[[#This Row],[P1]] &amp; "|" &amp; $E$1 &amp; "|" &amp; Tabla410[[#This Row],[Sexo]] &amp; "|" &amp; Tabla410[[#This Row],[Entidad]]</f>
        <v>PI|Abuso de confianza|Hombre|Puebla</v>
      </c>
      <c r="I55" s="77" t="str">
        <f>Tabla410[[#This Row],[P2]] &amp; "|" &amp; $E$1 &amp; "|" &amp; Tabla410[[#This Row],[Sexo]] &amp; "|" &amp; Tabla410[[#This Row],[Entidad]]</f>
        <v>PS|Abuso de confianza|Hombre|Puebla</v>
      </c>
      <c r="J55" s="78">
        <f>VLOOKUP($E$1,Tabla5[[#All],[name]:[id_1]],2,FALSE)</f>
        <v>2</v>
      </c>
      <c r="K55" s="78">
        <f>VLOOKUP($B$1,Tabla6[[#All],[name]:[id_2]],2)</f>
        <v>25</v>
      </c>
      <c r="L55" s="78">
        <f>VLOOKUP(Tabla410[[#This Row],[Sexo]],Tabla8[[#All],[name]:[gender_id]],2,FALSE)</f>
        <v>2</v>
      </c>
      <c r="M55" s="78" t="str">
        <f>IF(LEN(Tabla410[[#This Row],[centros]])&gt;0,VLOOKUP(Tabla410[[#This Row],[centros]],Tabla2[[#All],[Centros]:[ID]],2,FALSE),"NULL")</f>
        <v>NULL</v>
      </c>
      <c r="N55" s="78">
        <f>VLOOKUP(Tabla410[[#This Row],[Entidad]],Tabla3[[#All],[name]:[ID_2]],2,FALSE)</f>
        <v>21</v>
      </c>
      <c r="O55" s="78">
        <f>IFERROR(VLOOKUP(Tabla410[[#This Row],[CLAVE PI]], Tabla10[], 10, FALSE), 0)</f>
        <v>0</v>
      </c>
      <c r="P55" s="79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(2, 25, 2, NULL, 21, 0, 0, 1);</v>
      </c>
    </row>
    <row r="56" spans="1:17" ht="15.75" x14ac:dyDescent="0.25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6" t="str">
        <f>Tabla410[[#This Row],[P1]] &amp; "|" &amp; $E$1 &amp; "|" &amp; Tabla410[[#This Row],[Sexo]] &amp; "|" &amp; Tabla410[[#This Row],[Entidad]]</f>
        <v>PI|Abuso de confianza|Hombre|Querétaro</v>
      </c>
      <c r="I56" s="77" t="str">
        <f>Tabla410[[#This Row],[P2]] &amp; "|" &amp; $E$1 &amp; "|" &amp; Tabla410[[#This Row],[Sexo]] &amp; "|" &amp; Tabla410[[#This Row],[Entidad]]</f>
        <v>PS|Abuso de confianza|Hombre|Querétaro</v>
      </c>
      <c r="J56" s="78">
        <f>VLOOKUP($E$1,Tabla5[[#All],[name]:[id_1]],2,FALSE)</f>
        <v>2</v>
      </c>
      <c r="K56" s="78">
        <f>VLOOKUP($B$1,Tabla6[[#All],[name]:[id_2]],2)</f>
        <v>25</v>
      </c>
      <c r="L56" s="78">
        <f>VLOOKUP(Tabla410[[#This Row],[Sexo]],Tabla8[[#All],[name]:[gender_id]],2,FALSE)</f>
        <v>2</v>
      </c>
      <c r="M56" s="78" t="str">
        <f>IF(LEN(Tabla410[[#This Row],[centros]])&gt;0,VLOOKUP(Tabla410[[#This Row],[centros]],Tabla2[[#All],[Centros]:[ID]],2,FALSE),"NULL")</f>
        <v>NULL</v>
      </c>
      <c r="N56" s="78">
        <f>VLOOKUP(Tabla410[[#This Row],[Entidad]],Tabla3[[#All],[name]:[ID_2]],2,FALSE)</f>
        <v>22</v>
      </c>
      <c r="O56" s="78">
        <f>IFERROR(VLOOKUP(Tabla410[[#This Row],[CLAVE PI]], Tabla10[], 10, FALSE), 0)</f>
        <v>0</v>
      </c>
      <c r="P56" s="79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(2, 25, 2, NULL, 22, 0, 0, 1);</v>
      </c>
    </row>
    <row r="57" spans="1:17" ht="15.75" x14ac:dyDescent="0.25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6" t="str">
        <f>Tabla410[[#This Row],[P1]] &amp; "|" &amp; $E$1 &amp; "|" &amp; Tabla410[[#This Row],[Sexo]] &amp; "|" &amp; Tabla410[[#This Row],[Entidad]]</f>
        <v>PI|Abuso de confianza|Hombre|Quintana Roo</v>
      </c>
      <c r="I57" s="77" t="str">
        <f>Tabla410[[#This Row],[P2]] &amp; "|" &amp; $E$1 &amp; "|" &amp; Tabla410[[#This Row],[Sexo]] &amp; "|" &amp; Tabla410[[#This Row],[Entidad]]</f>
        <v>PS|Abuso de confianza|Hombre|Quintana Roo</v>
      </c>
      <c r="J57" s="78">
        <f>VLOOKUP($E$1,Tabla5[[#All],[name]:[id_1]],2,FALSE)</f>
        <v>2</v>
      </c>
      <c r="K57" s="78">
        <f>VLOOKUP($B$1,Tabla6[[#All],[name]:[id_2]],2)</f>
        <v>25</v>
      </c>
      <c r="L57" s="78">
        <f>VLOOKUP(Tabla410[[#This Row],[Sexo]],Tabla8[[#All],[name]:[gender_id]],2,FALSE)</f>
        <v>2</v>
      </c>
      <c r="M57" s="78" t="str">
        <f>IF(LEN(Tabla410[[#This Row],[centros]])&gt;0,VLOOKUP(Tabla410[[#This Row],[centros]],Tabla2[[#All],[Centros]:[ID]],2,FALSE),"NULL")</f>
        <v>NULL</v>
      </c>
      <c r="N57" s="78">
        <f>VLOOKUP(Tabla410[[#This Row],[Entidad]],Tabla3[[#All],[name]:[ID_2]],2,FALSE)</f>
        <v>23</v>
      </c>
      <c r="O57" s="78">
        <f>IFERROR(VLOOKUP(Tabla410[[#This Row],[CLAVE PI]], Tabla10[], 10, FALSE), 0)</f>
        <v>0</v>
      </c>
      <c r="P57" s="79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(2, 25, 2, NULL, 23, 0, 0, 1);</v>
      </c>
    </row>
    <row r="58" spans="1:17" ht="15.75" x14ac:dyDescent="0.25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6" t="str">
        <f>Tabla410[[#This Row],[P1]] &amp; "|" &amp; $E$1 &amp; "|" &amp; Tabla410[[#This Row],[Sexo]] &amp; "|" &amp; Tabla410[[#This Row],[Entidad]]</f>
        <v>PI|Abuso de confianza|Hombre|San Luis Potosí</v>
      </c>
      <c r="I58" s="77" t="str">
        <f>Tabla410[[#This Row],[P2]] &amp; "|" &amp; $E$1 &amp; "|" &amp; Tabla410[[#This Row],[Sexo]] &amp; "|" &amp; Tabla410[[#This Row],[Entidad]]</f>
        <v>PS|Abuso de confianza|Hombre|San Luis Potosí</v>
      </c>
      <c r="J58" s="78">
        <f>VLOOKUP($E$1,Tabla5[[#All],[name]:[id_1]],2,FALSE)</f>
        <v>2</v>
      </c>
      <c r="K58" s="78">
        <f>VLOOKUP($B$1,Tabla6[[#All],[name]:[id_2]],2)</f>
        <v>25</v>
      </c>
      <c r="L58" s="78">
        <f>VLOOKUP(Tabla410[[#This Row],[Sexo]],Tabla8[[#All],[name]:[gender_id]],2,FALSE)</f>
        <v>2</v>
      </c>
      <c r="M58" s="78" t="str">
        <f>IF(LEN(Tabla410[[#This Row],[centros]])&gt;0,VLOOKUP(Tabla410[[#This Row],[centros]],Tabla2[[#All],[Centros]:[ID]],2,FALSE),"NULL")</f>
        <v>NULL</v>
      </c>
      <c r="N58" s="78">
        <f>VLOOKUP(Tabla410[[#This Row],[Entidad]],Tabla3[[#All],[name]:[ID_2]],2,FALSE)</f>
        <v>24</v>
      </c>
      <c r="O58" s="78">
        <f>IFERROR(VLOOKUP(Tabla410[[#This Row],[CLAVE PI]], Tabla10[], 10, FALSE), 0)</f>
        <v>0</v>
      </c>
      <c r="P58" s="79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(2, 25, 2, NULL, 24, 0, 0, 1);</v>
      </c>
    </row>
    <row r="59" spans="1:17" ht="15.75" x14ac:dyDescent="0.25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6" t="str">
        <f>Tabla410[[#This Row],[P1]] &amp; "|" &amp; $E$1 &amp; "|" &amp; Tabla410[[#This Row],[Sexo]] &amp; "|" &amp; Tabla410[[#This Row],[Entidad]]</f>
        <v>PI|Abuso de confianza|Hombre|Sinaloa</v>
      </c>
      <c r="I59" s="77" t="str">
        <f>Tabla410[[#This Row],[P2]] &amp; "|" &amp; $E$1 &amp; "|" &amp; Tabla410[[#This Row],[Sexo]] &amp; "|" &amp; Tabla410[[#This Row],[Entidad]]</f>
        <v>PS|Abuso de confianza|Hombre|Sinaloa</v>
      </c>
      <c r="J59" s="78">
        <f>VLOOKUP($E$1,Tabla5[[#All],[name]:[id_1]],2,FALSE)</f>
        <v>2</v>
      </c>
      <c r="K59" s="78">
        <f>VLOOKUP($B$1,Tabla6[[#All],[name]:[id_2]],2)</f>
        <v>25</v>
      </c>
      <c r="L59" s="78">
        <f>VLOOKUP(Tabla410[[#This Row],[Sexo]],Tabla8[[#All],[name]:[gender_id]],2,FALSE)</f>
        <v>2</v>
      </c>
      <c r="M59" s="78" t="str">
        <f>IF(LEN(Tabla410[[#This Row],[centros]])&gt;0,VLOOKUP(Tabla410[[#This Row],[centros]],Tabla2[[#All],[Centros]:[ID]],2,FALSE),"NULL")</f>
        <v>NULL</v>
      </c>
      <c r="N59" s="78">
        <f>VLOOKUP(Tabla410[[#This Row],[Entidad]],Tabla3[[#All],[name]:[ID_2]],2,FALSE)</f>
        <v>25</v>
      </c>
      <c r="O59" s="78">
        <f>IFERROR(VLOOKUP(Tabla410[[#This Row],[CLAVE PI]], Tabla10[], 10, FALSE), 0)</f>
        <v>0</v>
      </c>
      <c r="P59" s="79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(2, 25, 2, NULL, 25, 0, 0, 1);</v>
      </c>
    </row>
    <row r="60" spans="1:17" ht="15.75" x14ac:dyDescent="0.25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6" t="str">
        <f>Tabla410[[#This Row],[P1]] &amp; "|" &amp; $E$1 &amp; "|" &amp; Tabla410[[#This Row],[Sexo]] &amp; "|" &amp; Tabla410[[#This Row],[Entidad]]</f>
        <v>PI|Abuso de confianza|Hombre|Sonora</v>
      </c>
      <c r="I60" s="77" t="str">
        <f>Tabla410[[#This Row],[P2]] &amp; "|" &amp; $E$1 &amp; "|" &amp; Tabla410[[#This Row],[Sexo]] &amp; "|" &amp; Tabla410[[#This Row],[Entidad]]</f>
        <v>PS|Abuso de confianza|Hombre|Sonora</v>
      </c>
      <c r="J60" s="78">
        <f>VLOOKUP($E$1,Tabla5[[#All],[name]:[id_1]],2,FALSE)</f>
        <v>2</v>
      </c>
      <c r="K60" s="78">
        <f>VLOOKUP($B$1,Tabla6[[#All],[name]:[id_2]],2)</f>
        <v>25</v>
      </c>
      <c r="L60" s="78">
        <f>VLOOKUP(Tabla410[[#This Row],[Sexo]],Tabla8[[#All],[name]:[gender_id]],2,FALSE)</f>
        <v>2</v>
      </c>
      <c r="M60" s="78" t="str">
        <f>IF(LEN(Tabla410[[#This Row],[centros]])&gt;0,VLOOKUP(Tabla410[[#This Row],[centros]],Tabla2[[#All],[Centros]:[ID]],2,FALSE),"NULL")</f>
        <v>NULL</v>
      </c>
      <c r="N60" s="78">
        <f>VLOOKUP(Tabla410[[#This Row],[Entidad]],Tabla3[[#All],[name]:[ID_2]],2,FALSE)</f>
        <v>26</v>
      </c>
      <c r="O60" s="78">
        <f>IFERROR(VLOOKUP(Tabla410[[#This Row],[CLAVE PI]], Tabla10[], 10, FALSE), 0)</f>
        <v>0</v>
      </c>
      <c r="P60" s="79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(2, 25, 2, NULL, 26, 0, 0, 1);</v>
      </c>
    </row>
    <row r="61" spans="1:17" ht="15.75" x14ac:dyDescent="0.25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6" t="str">
        <f>Tabla410[[#This Row],[P1]] &amp; "|" &amp; $E$1 &amp; "|" &amp; Tabla410[[#This Row],[Sexo]] &amp; "|" &amp; Tabla410[[#This Row],[Entidad]]</f>
        <v>PI|Abuso de confianza|Hombre|Tabasco</v>
      </c>
      <c r="I61" s="77" t="str">
        <f>Tabla410[[#This Row],[P2]] &amp; "|" &amp; $E$1 &amp; "|" &amp; Tabla410[[#This Row],[Sexo]] &amp; "|" &amp; Tabla410[[#This Row],[Entidad]]</f>
        <v>PS|Abuso de confianza|Hombre|Tabasco</v>
      </c>
      <c r="J61" s="78">
        <f>VLOOKUP($E$1,Tabla5[[#All],[name]:[id_1]],2,FALSE)</f>
        <v>2</v>
      </c>
      <c r="K61" s="78">
        <f>VLOOKUP($B$1,Tabla6[[#All],[name]:[id_2]],2)</f>
        <v>25</v>
      </c>
      <c r="L61" s="78">
        <f>VLOOKUP(Tabla410[[#This Row],[Sexo]],Tabla8[[#All],[name]:[gender_id]],2,FALSE)</f>
        <v>2</v>
      </c>
      <c r="M61" s="78" t="str">
        <f>IF(LEN(Tabla410[[#This Row],[centros]])&gt;0,VLOOKUP(Tabla410[[#This Row],[centros]],Tabla2[[#All],[Centros]:[ID]],2,FALSE),"NULL")</f>
        <v>NULL</v>
      </c>
      <c r="N61" s="78">
        <f>VLOOKUP(Tabla410[[#This Row],[Entidad]],Tabla3[[#All],[name]:[ID_2]],2,FALSE)</f>
        <v>27</v>
      </c>
      <c r="O61" s="78">
        <f>IFERROR(VLOOKUP(Tabla410[[#This Row],[CLAVE PI]], Tabla10[], 10, FALSE), 0)</f>
        <v>0</v>
      </c>
      <c r="P61" s="79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(2, 25, 2, NULL, 27, 0, 0, 1);</v>
      </c>
    </row>
    <row r="62" spans="1:17" ht="15.75" x14ac:dyDescent="0.25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6" t="str">
        <f>Tabla410[[#This Row],[P1]] &amp; "|" &amp; $E$1 &amp; "|" &amp; Tabla410[[#This Row],[Sexo]] &amp; "|" &amp; Tabla410[[#This Row],[Entidad]]</f>
        <v>PI|Abuso de confianza|Hombre|Tamaulipas</v>
      </c>
      <c r="I62" s="77" t="str">
        <f>Tabla410[[#This Row],[P2]] &amp; "|" &amp; $E$1 &amp; "|" &amp; Tabla410[[#This Row],[Sexo]] &amp; "|" &amp; Tabla410[[#This Row],[Entidad]]</f>
        <v>PS|Abuso de confianza|Hombre|Tamaulipas</v>
      </c>
      <c r="J62" s="78">
        <f>VLOOKUP($E$1,Tabla5[[#All],[name]:[id_1]],2,FALSE)</f>
        <v>2</v>
      </c>
      <c r="K62" s="78">
        <f>VLOOKUP($B$1,Tabla6[[#All],[name]:[id_2]],2)</f>
        <v>25</v>
      </c>
      <c r="L62" s="78">
        <f>VLOOKUP(Tabla410[[#This Row],[Sexo]],Tabla8[[#All],[name]:[gender_id]],2,FALSE)</f>
        <v>2</v>
      </c>
      <c r="M62" s="78" t="str">
        <f>IF(LEN(Tabla410[[#This Row],[centros]])&gt;0,VLOOKUP(Tabla410[[#This Row],[centros]],Tabla2[[#All],[Centros]:[ID]],2,FALSE),"NULL")</f>
        <v>NULL</v>
      </c>
      <c r="N62" s="78">
        <f>VLOOKUP(Tabla410[[#This Row],[Entidad]],Tabla3[[#All],[name]:[ID_2]],2,FALSE)</f>
        <v>28</v>
      </c>
      <c r="O62" s="78">
        <f>IFERROR(VLOOKUP(Tabla410[[#This Row],[CLAVE PI]], Tabla10[], 10, FALSE), 0)</f>
        <v>0</v>
      </c>
      <c r="P62" s="79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(2, 25, 2, NULL, 28, 0, 0, 1);</v>
      </c>
    </row>
    <row r="63" spans="1:17" ht="15.75" x14ac:dyDescent="0.25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6" t="str">
        <f>Tabla410[[#This Row],[P1]] &amp; "|" &amp; $E$1 &amp; "|" &amp; Tabla410[[#This Row],[Sexo]] &amp; "|" &amp; Tabla410[[#This Row],[Entidad]]</f>
        <v>PI|Abuso de confianza|Hombre|Tlaxcala</v>
      </c>
      <c r="I63" s="77" t="str">
        <f>Tabla410[[#This Row],[P2]] &amp; "|" &amp; $E$1 &amp; "|" &amp; Tabla410[[#This Row],[Sexo]] &amp; "|" &amp; Tabla410[[#This Row],[Entidad]]</f>
        <v>PS|Abuso de confianza|Hombre|Tlaxcala</v>
      </c>
      <c r="J63" s="78">
        <f>VLOOKUP($E$1,Tabla5[[#All],[name]:[id_1]],2,FALSE)</f>
        <v>2</v>
      </c>
      <c r="K63" s="78">
        <f>VLOOKUP($B$1,Tabla6[[#All],[name]:[id_2]],2)</f>
        <v>25</v>
      </c>
      <c r="L63" s="78">
        <f>VLOOKUP(Tabla410[[#This Row],[Sexo]],Tabla8[[#All],[name]:[gender_id]],2,FALSE)</f>
        <v>2</v>
      </c>
      <c r="M63" s="78" t="str">
        <f>IF(LEN(Tabla410[[#This Row],[centros]])&gt;0,VLOOKUP(Tabla410[[#This Row],[centros]],Tabla2[[#All],[Centros]:[ID]],2,FALSE),"NULL")</f>
        <v>NULL</v>
      </c>
      <c r="N63" s="78">
        <f>VLOOKUP(Tabla410[[#This Row],[Entidad]],Tabla3[[#All],[name]:[ID_2]],2,FALSE)</f>
        <v>29</v>
      </c>
      <c r="O63" s="78">
        <f>IFERROR(VLOOKUP(Tabla410[[#This Row],[CLAVE PI]], Tabla10[], 10, FALSE), 0)</f>
        <v>0</v>
      </c>
      <c r="P63" s="79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(2, 25, 2, NULL, 29, 0, 0, 1);</v>
      </c>
    </row>
    <row r="64" spans="1:17" ht="15.75" x14ac:dyDescent="0.25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6" t="str">
        <f>Tabla410[[#This Row],[P1]] &amp; "|" &amp; $E$1 &amp; "|" &amp; Tabla410[[#This Row],[Sexo]] &amp; "|" &amp; Tabla410[[#This Row],[Entidad]]</f>
        <v>PI|Abuso de confianza|Hombre|Veracruz de Ignacio de la Llave</v>
      </c>
      <c r="I64" s="77" t="str">
        <f>Tabla410[[#This Row],[P2]] &amp; "|" &amp; $E$1 &amp; "|" &amp; Tabla410[[#This Row],[Sexo]] &amp; "|" &amp; Tabla410[[#This Row],[Entidad]]</f>
        <v>PS|Abuso de confianza|Hombre|Veracruz de Ignacio de la Llave</v>
      </c>
      <c r="J64" s="78">
        <f>VLOOKUP($E$1,Tabla5[[#All],[name]:[id_1]],2,FALSE)</f>
        <v>2</v>
      </c>
      <c r="K64" s="78">
        <f>VLOOKUP($B$1,Tabla6[[#All],[name]:[id_2]],2)</f>
        <v>25</v>
      </c>
      <c r="L64" s="78">
        <f>VLOOKUP(Tabla410[[#This Row],[Sexo]],Tabla8[[#All],[name]:[gender_id]],2,FALSE)</f>
        <v>2</v>
      </c>
      <c r="M64" s="78" t="str">
        <f>IF(LEN(Tabla410[[#This Row],[centros]])&gt;0,VLOOKUP(Tabla410[[#This Row],[centros]],Tabla2[[#All],[Centros]:[ID]],2,FALSE),"NULL")</f>
        <v>NULL</v>
      </c>
      <c r="N64" s="78">
        <f>VLOOKUP(Tabla410[[#This Row],[Entidad]],Tabla3[[#All],[name]:[ID_2]],2,FALSE)</f>
        <v>30</v>
      </c>
      <c r="O64" s="78">
        <f>IFERROR(VLOOKUP(Tabla410[[#This Row],[CLAVE PI]], Tabla10[], 10, FALSE), 0)</f>
        <v>0</v>
      </c>
      <c r="P64" s="79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(2, 25, 2, NULL, 30, 0, 0, 1);</v>
      </c>
    </row>
    <row r="65" spans="1:17" ht="15.75" x14ac:dyDescent="0.25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6" t="str">
        <f>Tabla410[[#This Row],[P1]] &amp; "|" &amp; $E$1 &amp; "|" &amp; Tabla410[[#This Row],[Sexo]] &amp; "|" &amp; Tabla410[[#This Row],[Entidad]]</f>
        <v>PI|Abuso de confianza|Hombre|Yucatán</v>
      </c>
      <c r="I65" s="77" t="str">
        <f>Tabla410[[#This Row],[P2]] &amp; "|" &amp; $E$1 &amp; "|" &amp; Tabla410[[#This Row],[Sexo]] &amp; "|" &amp; Tabla410[[#This Row],[Entidad]]</f>
        <v>PS|Abuso de confianza|Hombre|Yucatán</v>
      </c>
      <c r="J65" s="78">
        <f>VLOOKUP($E$1,Tabla5[[#All],[name]:[id_1]],2,FALSE)</f>
        <v>2</v>
      </c>
      <c r="K65" s="78">
        <f>VLOOKUP($B$1,Tabla6[[#All],[name]:[id_2]],2)</f>
        <v>25</v>
      </c>
      <c r="L65" s="78">
        <f>VLOOKUP(Tabla410[[#This Row],[Sexo]],Tabla8[[#All],[name]:[gender_id]],2,FALSE)</f>
        <v>2</v>
      </c>
      <c r="M65" s="78" t="str">
        <f>IF(LEN(Tabla410[[#This Row],[centros]])&gt;0,VLOOKUP(Tabla410[[#This Row],[centros]],Tabla2[[#All],[Centros]:[ID]],2,FALSE),"NULL")</f>
        <v>NULL</v>
      </c>
      <c r="N65" s="78">
        <f>VLOOKUP(Tabla410[[#This Row],[Entidad]],Tabla3[[#All],[name]:[ID_2]],2,FALSE)</f>
        <v>31</v>
      </c>
      <c r="O65" s="78">
        <f>IFERROR(VLOOKUP(Tabla410[[#This Row],[CLAVE PI]], Tabla10[], 10, FALSE), 0)</f>
        <v>0</v>
      </c>
      <c r="P65" s="79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(2, 25, 2, NULL, 31, 0, 0, 1);</v>
      </c>
    </row>
    <row r="66" spans="1:17" ht="15.75" x14ac:dyDescent="0.25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0" t="str">
        <f>Tabla410[[#This Row],[P1]] &amp; "|" &amp; $E$1 &amp; "|" &amp; Tabla410[[#This Row],[Sexo]] &amp; "|" &amp; Tabla410[[#This Row],[Entidad]]</f>
        <v>PI|Abuso de confianza|Hombre|Zacatecas</v>
      </c>
      <c r="I66" s="81" t="str">
        <f>Tabla410[[#This Row],[P2]] &amp; "|" &amp; $E$1 &amp; "|" &amp; Tabla410[[#This Row],[Sexo]] &amp; "|" &amp; Tabla410[[#This Row],[Entidad]]</f>
        <v>PS|Abuso de confianza|Hombre|Zacatecas</v>
      </c>
      <c r="J66" s="82">
        <f>VLOOKUP($E$1,Tabla5[[#All],[name]:[id_1]],2,FALSE)</f>
        <v>2</v>
      </c>
      <c r="K66" s="82">
        <f>VLOOKUP($B$1,Tabla6[[#All],[name]:[id_2]],2)</f>
        <v>25</v>
      </c>
      <c r="L66" s="82">
        <f>VLOOKUP(Tabla410[[#This Row],[Sexo]],Tabla8[[#All],[name]:[gender_id]],2,FALSE)</f>
        <v>2</v>
      </c>
      <c r="M66" s="82" t="str">
        <f>IF(LEN(Tabla410[[#This Row],[centros]])&gt;0,VLOOKUP(Tabla410[[#This Row],[centros]],Tabla2[[#All],[Centros]:[ID]],2,FALSE),"NULL")</f>
        <v>NULL</v>
      </c>
      <c r="N66" s="82">
        <f>VLOOKUP(Tabla410[[#This Row],[Entidad]],Tabla3[[#All],[name]:[ID_2]],2,FALSE)</f>
        <v>32</v>
      </c>
      <c r="O66" s="82">
        <f>IFERROR(VLOOKUP(Tabla410[[#This Row],[CLAVE PI]], Tabla10[], 10, FALSE), 0)</f>
        <v>0</v>
      </c>
      <c r="P66" s="87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(2, 25, 2, NULL, 32, 0,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2026-03-09T17:57:59Z</dcterms:modified>
</cp:coreProperties>
</file>
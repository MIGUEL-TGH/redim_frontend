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REDIM_1\data\"/>
    </mc:Choice>
  </mc:AlternateContent>
  <xr:revisionPtr revIDLastSave="0" documentId="13_ncr:1_{3833BD0A-C546-4AC6-8190-DCF1134B0FBD}" xr6:coauthVersionLast="47" xr6:coauthVersionMax="47" xr10:uidLastSave="{00000000-0000-0000-0000-000000000000}"/>
  <bookViews>
    <workbookView xWindow="28680" yWindow="-120" windowWidth="29040" windowHeight="15720" activeTab="9" xr2:uid="{00000000-000D-0000-FFFF-FFFF00000000}"/>
  </bookViews>
  <sheets>
    <sheet name="YEARS" sheetId="8" r:id="rId1"/>
    <sheet name="ESTADOS" sheetId="6" r:id="rId2"/>
    <sheet name="GENDERS" sheetId="12" r:id="rId3"/>
    <sheet name="CATEGORIES" sheetId="14" r:id="rId4"/>
    <sheet name="Centros" sheetId="4" r:id="rId5"/>
    <sheet name="SQL V1" sheetId="7" r:id="rId6"/>
    <sheet name="Categorias" sheetId="3" r:id="rId7"/>
    <sheet name="NODOS" sheetId="15" r:id="rId8"/>
    <sheet name="DATA" sheetId="17" r:id="rId9"/>
    <sheet name="SQL" sheetId="16" r:id="rId10"/>
    <sheet name="Hoja1" sheetId="1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6" l="1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J3" i="16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M3" i="16"/>
  <c r="M4" i="16"/>
  <c r="M5" i="16"/>
  <c r="M6" i="16"/>
  <c r="M10" i="16"/>
  <c r="M11" i="16"/>
  <c r="M7" i="16"/>
  <c r="M8" i="16"/>
  <c r="M9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L3" i="16"/>
  <c r="I3" i="16"/>
  <c r="I4" i="16"/>
  <c r="I5" i="16"/>
  <c r="I6" i="16"/>
  <c r="I10" i="16"/>
  <c r="I11" i="16"/>
  <c r="I7" i="16"/>
  <c r="I8" i="16"/>
  <c r="I9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H3" i="16"/>
  <c r="H4" i="16"/>
  <c r="H5" i="16"/>
  <c r="H6" i="16"/>
  <c r="H10" i="16"/>
  <c r="H11" i="16"/>
  <c r="H7" i="16"/>
  <c r="H8" i="16"/>
  <c r="H9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A3" i="17"/>
  <c r="A2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N34" i="16"/>
  <c r="L34" i="16"/>
  <c r="J34" i="16"/>
  <c r="K34" i="16"/>
  <c r="N33" i="16"/>
  <c r="L33" i="16"/>
  <c r="J33" i="16"/>
  <c r="K33" i="16"/>
  <c r="N32" i="16"/>
  <c r="L32" i="16"/>
  <c r="J32" i="16"/>
  <c r="K32" i="16"/>
  <c r="N31" i="16"/>
  <c r="L31" i="16"/>
  <c r="J31" i="16"/>
  <c r="K31" i="16"/>
  <c r="N30" i="16"/>
  <c r="L30" i="16"/>
  <c r="J30" i="16"/>
  <c r="K30" i="16"/>
  <c r="N29" i="16"/>
  <c r="L29" i="16"/>
  <c r="J29" i="16"/>
  <c r="K29" i="16"/>
  <c r="N28" i="16"/>
  <c r="L28" i="16"/>
  <c r="J28" i="16"/>
  <c r="K28" i="16"/>
  <c r="N27" i="16"/>
  <c r="L27" i="16"/>
  <c r="J27" i="16"/>
  <c r="K27" i="16"/>
  <c r="N26" i="16"/>
  <c r="L26" i="16"/>
  <c r="J26" i="16"/>
  <c r="K26" i="16"/>
  <c r="N25" i="16"/>
  <c r="L25" i="16"/>
  <c r="J25" i="16"/>
  <c r="K25" i="16"/>
  <c r="N24" i="16"/>
  <c r="L24" i="16"/>
  <c r="J24" i="16"/>
  <c r="K24" i="16"/>
  <c r="N23" i="16"/>
  <c r="L23" i="16"/>
  <c r="J23" i="16"/>
  <c r="K23" i="16"/>
  <c r="N22" i="16"/>
  <c r="L22" i="16"/>
  <c r="J22" i="16"/>
  <c r="K22" i="16"/>
  <c r="N21" i="16"/>
  <c r="L21" i="16"/>
  <c r="J21" i="16"/>
  <c r="K21" i="16"/>
  <c r="N20" i="16"/>
  <c r="L20" i="16"/>
  <c r="J20" i="16"/>
  <c r="K20" i="16"/>
  <c r="N19" i="16"/>
  <c r="L19" i="16"/>
  <c r="J19" i="16"/>
  <c r="K19" i="16"/>
  <c r="N18" i="16"/>
  <c r="L18" i="16"/>
  <c r="J18" i="16"/>
  <c r="K18" i="16"/>
  <c r="N17" i="16"/>
  <c r="L17" i="16"/>
  <c r="J17" i="16"/>
  <c r="K17" i="16"/>
  <c r="N16" i="16"/>
  <c r="L16" i="16"/>
  <c r="J16" i="16"/>
  <c r="K16" i="16"/>
  <c r="N15" i="16"/>
  <c r="L15" i="16"/>
  <c r="J15" i="16"/>
  <c r="K15" i="16"/>
  <c r="N14" i="16"/>
  <c r="J14" i="16"/>
  <c r="K14" i="16"/>
  <c r="N13" i="16"/>
  <c r="L13" i="16"/>
  <c r="J13" i="16"/>
  <c r="K13" i="16"/>
  <c r="N12" i="16"/>
  <c r="L12" i="16"/>
  <c r="J12" i="16"/>
  <c r="K12" i="16"/>
  <c r="N9" i="16"/>
  <c r="L9" i="16"/>
  <c r="J9" i="16"/>
  <c r="K9" i="16"/>
  <c r="N8" i="16"/>
  <c r="L8" i="16"/>
  <c r="J8" i="16"/>
  <c r="K8" i="16"/>
  <c r="N7" i="16"/>
  <c r="L7" i="16"/>
  <c r="J7" i="16"/>
  <c r="K7" i="16"/>
  <c r="N11" i="16"/>
  <c r="L11" i="16"/>
  <c r="J11" i="16"/>
  <c r="K11" i="16"/>
  <c r="N10" i="16"/>
  <c r="L10" i="16"/>
  <c r="J10" i="16"/>
  <c r="K10" i="16"/>
  <c r="N6" i="16"/>
  <c r="L6" i="16"/>
  <c r="J6" i="16"/>
  <c r="K6" i="16"/>
  <c r="N5" i="16"/>
  <c r="L5" i="16"/>
  <c r="J5" i="16"/>
  <c r="K5" i="16"/>
  <c r="N4" i="16"/>
  <c r="L4" i="16"/>
  <c r="J4" i="16"/>
  <c r="K4" i="16"/>
  <c r="N3" i="16"/>
  <c r="K3" i="16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E284" i="4"/>
  <c r="E286" i="4"/>
  <c r="E285" i="4"/>
  <c r="E215" i="4"/>
  <c r="E366" i="4"/>
  <c r="E370" i="4"/>
  <c r="E363" i="4"/>
  <c r="E361" i="4"/>
  <c r="E362" i="4"/>
  <c r="E374" i="4"/>
  <c r="E375" i="4"/>
  <c r="E373" i="4"/>
  <c r="E36" i="4"/>
  <c r="E35" i="4"/>
  <c r="E38" i="4"/>
  <c r="E298" i="4"/>
  <c r="E311" i="4"/>
  <c r="E257" i="4"/>
  <c r="E312" i="4"/>
  <c r="E27" i="4"/>
  <c r="E310" i="4"/>
  <c r="E256" i="4"/>
  <c r="E32" i="4"/>
  <c r="E418" i="4"/>
  <c r="E229" i="4"/>
  <c r="E237" i="4"/>
  <c r="E238" i="4"/>
  <c r="E239" i="4"/>
  <c r="E240" i="4"/>
  <c r="E288" i="4"/>
  <c r="E230" i="4"/>
  <c r="E231" i="4"/>
  <c r="E232" i="4"/>
  <c r="E233" i="4"/>
  <c r="E234" i="4"/>
  <c r="E235" i="4"/>
  <c r="E236" i="4"/>
  <c r="E290" i="4"/>
  <c r="E241" i="4"/>
  <c r="E289" i="4"/>
  <c r="E222" i="4"/>
  <c r="E227" i="4"/>
  <c r="E228" i="4"/>
  <c r="E226" i="4"/>
  <c r="E225" i="4"/>
  <c r="E224" i="4"/>
  <c r="E217" i="4"/>
  <c r="E223" i="4"/>
  <c r="E220" i="4"/>
  <c r="E218" i="4"/>
  <c r="E287" i="4"/>
  <c r="E221" i="4"/>
  <c r="E219" i="4"/>
  <c r="E216" i="4"/>
  <c r="E205" i="4"/>
  <c r="E206" i="4"/>
  <c r="E207" i="4"/>
  <c r="E208" i="4"/>
  <c r="E209" i="4"/>
  <c r="E197" i="4"/>
  <c r="E198" i="4"/>
  <c r="E199" i="4"/>
  <c r="E200" i="4"/>
  <c r="E201" i="4"/>
  <c r="E202" i="4"/>
  <c r="E203" i="4"/>
  <c r="E204" i="4"/>
  <c r="E30" i="4"/>
  <c r="E31" i="4"/>
  <c r="E91" i="4"/>
  <c r="E92" i="4"/>
  <c r="E93" i="4"/>
  <c r="E94" i="4"/>
  <c r="E95" i="4"/>
  <c r="E96" i="4"/>
  <c r="E97" i="4"/>
  <c r="E89" i="4"/>
  <c r="E90" i="4"/>
  <c r="E177" i="4"/>
  <c r="E178" i="4"/>
  <c r="E119" i="4"/>
  <c r="E124" i="4"/>
  <c r="E122" i="4"/>
  <c r="E102" i="4"/>
  <c r="E123" i="4"/>
  <c r="E121" i="4"/>
  <c r="E103" i="4"/>
  <c r="E118" i="4"/>
  <c r="E120" i="4"/>
  <c r="E169" i="4"/>
  <c r="E170" i="4"/>
  <c r="E172" i="4"/>
  <c r="E171" i="4"/>
  <c r="E410" i="4"/>
  <c r="E411" i="4"/>
  <c r="E412" i="4"/>
  <c r="E406" i="4"/>
  <c r="E353" i="4"/>
  <c r="E352" i="4"/>
  <c r="E244" i="4"/>
  <c r="E242" i="4"/>
  <c r="E18" i="4"/>
  <c r="E19" i="4"/>
  <c r="E354" i="4"/>
  <c r="E355" i="4"/>
  <c r="E397" i="4"/>
  <c r="E181" i="4"/>
  <c r="E180" i="4"/>
  <c r="E167" i="4"/>
  <c r="E179" i="4"/>
  <c r="E293" i="4"/>
  <c r="E306" i="4"/>
  <c r="E294" i="4"/>
  <c r="E318" i="4"/>
  <c r="E314" i="4"/>
  <c r="E291" i="4"/>
  <c r="E29" i="4"/>
  <c r="E28" i="4"/>
  <c r="E295" i="4"/>
  <c r="E316" i="4"/>
  <c r="E317" i="4"/>
  <c r="E319" i="4"/>
  <c r="E25" i="4"/>
  <c r="E26" i="4"/>
  <c r="E409" i="4"/>
  <c r="E67" i="4"/>
  <c r="E243" i="4"/>
  <c r="E62" i="4"/>
  <c r="E398" i="4"/>
  <c r="E125" i="4"/>
  <c r="E156" i="4"/>
  <c r="E157" i="4"/>
  <c r="E173" i="4"/>
  <c r="E174" i="4"/>
  <c r="E417" i="4"/>
  <c r="E421" i="4"/>
  <c r="E188" i="4"/>
  <c r="E183" i="4"/>
  <c r="E189" i="4"/>
  <c r="E184" i="4"/>
  <c r="E190" i="4"/>
  <c r="E182" i="4"/>
  <c r="E187" i="4"/>
  <c r="E185" i="4"/>
  <c r="E186" i="4"/>
  <c r="E192" i="4"/>
  <c r="E191" i="4"/>
  <c r="E33" i="4"/>
  <c r="E356" i="4"/>
  <c r="E359" i="4"/>
  <c r="E364" i="4"/>
  <c r="E371" i="4"/>
  <c r="E365" i="4"/>
  <c r="E357" i="4"/>
  <c r="E360" i="4"/>
  <c r="E358" i="4"/>
  <c r="E367" i="4"/>
  <c r="E368" i="4"/>
  <c r="E369" i="4"/>
  <c r="E372" i="4"/>
  <c r="E16" i="4"/>
  <c r="E51" i="4"/>
  <c r="E112" i="4"/>
  <c r="E58" i="4"/>
  <c r="E54" i="4"/>
  <c r="E142" i="4"/>
  <c r="E143" i="4"/>
  <c r="E145" i="4"/>
  <c r="E153" i="4"/>
  <c r="E129" i="4"/>
  <c r="E107" i="4"/>
  <c r="E55" i="4"/>
  <c r="E44" i="4"/>
  <c r="E46" i="4"/>
  <c r="E48" i="4"/>
  <c r="E104" i="4"/>
  <c r="E106" i="4"/>
  <c r="E108" i="4"/>
  <c r="E109" i="4"/>
  <c r="E116" i="4"/>
  <c r="E117" i="4"/>
  <c r="E131" i="4"/>
  <c r="E144" i="4"/>
  <c r="E147" i="4"/>
  <c r="E148" i="4"/>
  <c r="E34" i="4"/>
  <c r="E377" i="4"/>
  <c r="E378" i="4"/>
  <c r="E379" i="4"/>
  <c r="E380" i="4"/>
  <c r="E413" i="4"/>
  <c r="E408" i="4"/>
  <c r="E250" i="4"/>
  <c r="E251" i="4"/>
  <c r="E246" i="4"/>
  <c r="E249" i="4"/>
  <c r="E248" i="4"/>
  <c r="E247" i="4"/>
  <c r="E43" i="4"/>
  <c r="E15" i="4"/>
  <c r="E321" i="4"/>
  <c r="E320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89" i="4"/>
  <c r="E37" i="4"/>
  <c r="E263" i="4"/>
  <c r="E86" i="4"/>
  <c r="E87" i="4"/>
  <c r="E111" i="4"/>
  <c r="E88" i="4"/>
  <c r="E138" i="4"/>
  <c r="E114" i="4"/>
  <c r="E152" i="4"/>
  <c r="E140" i="4"/>
  <c r="E113" i="4"/>
  <c r="E341" i="4"/>
  <c r="E419" i="4"/>
  <c r="E304" i="4"/>
  <c r="E313" i="4"/>
  <c r="E300" i="4"/>
  <c r="E301" i="4"/>
  <c r="E299" i="4"/>
  <c r="E262" i="4"/>
  <c r="E255" i="4"/>
  <c r="E297" i="4"/>
  <c r="E340" i="4"/>
  <c r="E303" i="4"/>
  <c r="E302" i="4"/>
  <c r="E50" i="4"/>
  <c r="E99" i="4"/>
  <c r="E213" i="4"/>
  <c r="E214" i="4"/>
  <c r="E6" i="4"/>
  <c r="E159" i="4"/>
  <c r="E158" i="4"/>
  <c r="E17" i="4"/>
  <c r="E150" i="4"/>
  <c r="E52" i="4"/>
  <c r="E101" i="4"/>
  <c r="E39" i="4"/>
  <c r="E126" i="4"/>
  <c r="E127" i="4"/>
  <c r="E128" i="4"/>
  <c r="E98" i="4"/>
  <c r="E40" i="4"/>
  <c r="E42" i="4"/>
  <c r="E315" i="4"/>
  <c r="E292" i="4"/>
  <c r="E176" i="4"/>
  <c r="E272" i="4"/>
  <c r="E270" i="4"/>
  <c r="E268" i="4"/>
  <c r="E265" i="4"/>
  <c r="E269" i="4"/>
  <c r="E267" i="4"/>
  <c r="E388" i="4"/>
  <c r="E266" i="4"/>
  <c r="E271" i="4"/>
  <c r="E264" i="4"/>
  <c r="E77" i="4"/>
  <c r="E80" i="4"/>
  <c r="E305" i="4"/>
  <c r="E83" i="4"/>
  <c r="E84" i="4"/>
  <c r="E82" i="4"/>
  <c r="E74" i="4"/>
  <c r="E76" i="4"/>
  <c r="E81" i="4"/>
  <c r="E73" i="4"/>
  <c r="E85" i="4"/>
  <c r="E135" i="4"/>
  <c r="E78" i="4"/>
  <c r="E79" i="4"/>
  <c r="E75" i="4"/>
  <c r="E136" i="4"/>
  <c r="E137" i="4"/>
  <c r="E258" i="4"/>
  <c r="E259" i="4"/>
  <c r="E260" i="4"/>
  <c r="E261" i="4"/>
  <c r="E21" i="4"/>
  <c r="E61" i="4"/>
  <c r="E59" i="4"/>
  <c r="E64" i="4"/>
  <c r="E155" i="4"/>
  <c r="E196" i="4"/>
  <c r="E194" i="4"/>
  <c r="E193" i="4"/>
  <c r="E195" i="4"/>
  <c r="E210" i="4"/>
  <c r="E211" i="4"/>
  <c r="E390" i="4"/>
  <c r="E381" i="4"/>
  <c r="E254" i="4"/>
  <c r="E283" i="4"/>
  <c r="E296" i="4"/>
  <c r="E307" i="4"/>
  <c r="E20" i="4"/>
  <c r="E414" i="4"/>
  <c r="E392" i="4"/>
  <c r="E391" i="4"/>
  <c r="E3" i="4"/>
  <c r="E2" i="4"/>
  <c r="E5" i="4"/>
  <c r="E7" i="4"/>
  <c r="E393" i="4"/>
  <c r="E394" i="4"/>
  <c r="E395" i="4"/>
  <c r="E396" i="4"/>
  <c r="E399" i="4"/>
  <c r="E403" i="4"/>
  <c r="E404" i="4"/>
  <c r="E407" i="4"/>
  <c r="E416" i="4"/>
  <c r="E402" i="4"/>
  <c r="E162" i="4"/>
  <c r="E164" i="4"/>
  <c r="E161" i="4"/>
  <c r="E168" i="4"/>
  <c r="E160" i="4"/>
  <c r="E165" i="4"/>
  <c r="E376" i="4"/>
  <c r="E166" i="4"/>
  <c r="E163" i="4"/>
  <c r="E69" i="4"/>
  <c r="E60" i="4"/>
  <c r="E63" i="4"/>
  <c r="E65" i="4"/>
  <c r="E66" i="4"/>
  <c r="E71" i="4"/>
  <c r="E342" i="4"/>
  <c r="E350" i="4"/>
  <c r="E387" i="4"/>
  <c r="E308" i="4"/>
  <c r="E309" i="4"/>
  <c r="E8" i="4"/>
  <c r="E10" i="4"/>
  <c r="E12" i="4"/>
  <c r="E13" i="4"/>
  <c r="E11" i="4"/>
  <c r="E9" i="4"/>
  <c r="E252" i="4"/>
  <c r="E351" i="4"/>
  <c r="E253" i="4"/>
  <c r="E245" i="4"/>
  <c r="E14" i="4"/>
  <c r="E385" i="4"/>
  <c r="E386" i="4"/>
  <c r="E384" i="4"/>
  <c r="E382" i="4"/>
  <c r="E405" i="4"/>
  <c r="E4" i="4"/>
  <c r="E400" i="4"/>
  <c r="E415" i="4"/>
  <c r="E420" i="4"/>
  <c r="E383" i="4"/>
  <c r="E343" i="4"/>
  <c r="E344" i="4"/>
  <c r="E345" i="4"/>
  <c r="E347" i="4"/>
  <c r="E346" i="4"/>
  <c r="E146" i="4"/>
  <c r="E49" i="4"/>
  <c r="E100" i="4"/>
  <c r="E23" i="4"/>
  <c r="E22" i="4"/>
  <c r="E132" i="4"/>
  <c r="E130" i="4"/>
  <c r="E141" i="4"/>
  <c r="E53" i="4"/>
  <c r="E149" i="4"/>
  <c r="E134" i="4"/>
  <c r="E105" i="4"/>
  <c r="E133" i="4"/>
  <c r="E115" i="4"/>
  <c r="E110" i="4"/>
  <c r="E151" i="4"/>
  <c r="E47" i="4"/>
  <c r="E154" i="4"/>
  <c r="E57" i="4"/>
  <c r="E139" i="4"/>
  <c r="E45" i="4"/>
  <c r="E56" i="4"/>
  <c r="E401" i="4"/>
  <c r="E24" i="4"/>
  <c r="E68" i="4"/>
  <c r="E70" i="4"/>
  <c r="E72" i="4"/>
  <c r="E175" i="4"/>
  <c r="E349" i="4"/>
  <c r="E348" i="4"/>
  <c r="E276" i="4"/>
  <c r="E279" i="4"/>
  <c r="E212" i="4"/>
  <c r="E278" i="4"/>
  <c r="E277" i="4"/>
  <c r="E273" i="4"/>
  <c r="E280" i="4"/>
  <c r="E275" i="4"/>
  <c r="E281" i="4"/>
  <c r="E282" i="4"/>
  <c r="E274" i="4"/>
  <c r="E41" i="4"/>
  <c r="E2" i="3"/>
  <c r="E5" i="3"/>
  <c r="E8" i="3"/>
  <c r="E11" i="3"/>
  <c r="E14" i="3"/>
  <c r="E16" i="3"/>
  <c r="E18" i="3"/>
  <c r="E21" i="3"/>
  <c r="E24" i="3"/>
  <c r="E27" i="3"/>
  <c r="E31" i="3"/>
  <c r="E34" i="3"/>
  <c r="E44" i="3"/>
  <c r="E49" i="3"/>
  <c r="E53" i="3"/>
  <c r="E56" i="3"/>
  <c r="E61" i="3"/>
  <c r="E70" i="3"/>
  <c r="E76" i="3"/>
  <c r="E90" i="3"/>
  <c r="E93" i="3"/>
  <c r="E99" i="3"/>
  <c r="E102" i="3"/>
  <c r="E104" i="3"/>
  <c r="E106" i="3"/>
  <c r="E126" i="3"/>
  <c r="E128" i="3"/>
  <c r="E131" i="3"/>
  <c r="E134" i="3"/>
  <c r="E137" i="3"/>
  <c r="E140" i="3"/>
  <c r="E143" i="3"/>
  <c r="E146" i="3"/>
  <c r="E149" i="3"/>
  <c r="E152" i="3"/>
  <c r="E154" i="3"/>
  <c r="E157" i="3"/>
  <c r="E160" i="3"/>
  <c r="E163" i="3"/>
  <c r="E166" i="3"/>
  <c r="E169" i="3"/>
  <c r="E172" i="3"/>
  <c r="E175" i="3"/>
  <c r="E178" i="3"/>
  <c r="E181" i="3"/>
  <c r="E184" i="3"/>
  <c r="E186" i="3"/>
  <c r="E189" i="3"/>
  <c r="E192" i="3"/>
  <c r="E195" i="3"/>
  <c r="E206" i="3"/>
  <c r="E209" i="3"/>
  <c r="E211" i="3"/>
  <c r="E214" i="3"/>
  <c r="E217" i="3"/>
  <c r="E220" i="3"/>
  <c r="E223" i="3"/>
  <c r="E226" i="3"/>
  <c r="E229" i="3"/>
  <c r="E231" i="3"/>
  <c r="E234" i="3"/>
  <c r="E237" i="3"/>
  <c r="E240" i="3"/>
  <c r="E244" i="3"/>
  <c r="E246" i="3"/>
  <c r="E249" i="3"/>
  <c r="E252" i="3"/>
  <c r="E255" i="3"/>
  <c r="E258" i="3"/>
  <c r="E261" i="3"/>
  <c r="E268" i="3"/>
  <c r="E271" i="3"/>
  <c r="E280" i="3"/>
  <c r="E283" i="3"/>
  <c r="E285" i="3"/>
  <c r="E288" i="3"/>
  <c r="E291" i="3"/>
  <c r="E294" i="3"/>
  <c r="E297" i="3"/>
  <c r="E300" i="3"/>
  <c r="E303" i="3"/>
  <c r="E306" i="3"/>
  <c r="E309" i="3"/>
  <c r="E311" i="3"/>
  <c r="E314" i="3"/>
  <c r="E317" i="3"/>
  <c r="E320" i="3"/>
  <c r="E323" i="3"/>
  <c r="E326" i="3"/>
  <c r="E330" i="3"/>
  <c r="E333" i="3"/>
  <c r="E335" i="3"/>
  <c r="E338" i="3"/>
  <c r="E341" i="3"/>
  <c r="E344" i="3"/>
  <c r="E347" i="3"/>
  <c r="E350" i="3"/>
  <c r="E353" i="3"/>
  <c r="E356" i="3"/>
  <c r="E358" i="3"/>
  <c r="E361" i="3"/>
  <c r="E364" i="3"/>
  <c r="E367" i="3"/>
  <c r="E369" i="3"/>
  <c r="E372" i="3"/>
  <c r="E375" i="3"/>
  <c r="E378" i="3"/>
  <c r="E381" i="3"/>
  <c r="E384" i="3"/>
  <c r="E387" i="3"/>
  <c r="E389" i="3"/>
  <c r="E392" i="3"/>
  <c r="E395" i="3"/>
  <c r="E398" i="3"/>
  <c r="E401" i="3"/>
  <c r="E404" i="3"/>
  <c r="E407" i="3"/>
  <c r="E410" i="3"/>
  <c r="E413" i="3"/>
  <c r="E416" i="3"/>
  <c r="E434" i="3"/>
  <c r="E437" i="3"/>
  <c r="E440" i="3"/>
  <c r="E444" i="3"/>
  <c r="E447" i="3"/>
  <c r="E459" i="3"/>
  <c r="E466" i="3"/>
  <c r="E469" i="3"/>
  <c r="E473" i="3"/>
  <c r="E476" i="3"/>
  <c r="E479" i="3"/>
  <c r="E482" i="3"/>
  <c r="E485" i="3"/>
  <c r="E488" i="3"/>
  <c r="E491" i="3"/>
  <c r="E494" i="3"/>
  <c r="E497" i="3"/>
  <c r="E500" i="3"/>
  <c r="E504" i="3"/>
  <c r="E508" i="3"/>
  <c r="E511" i="3"/>
  <c r="E516" i="3"/>
  <c r="E519" i="3"/>
  <c r="E521" i="3"/>
  <c r="E524" i="3"/>
  <c r="E527" i="3"/>
  <c r="E532" i="3"/>
  <c r="E541" i="3"/>
  <c r="E544" i="3"/>
  <c r="E547" i="3"/>
  <c r="E550" i="3"/>
  <c r="E552" i="3"/>
  <c r="E566" i="3"/>
  <c r="E571" i="3"/>
  <c r="E574" i="3"/>
  <c r="E577" i="3"/>
  <c r="E580" i="3"/>
  <c r="E585" i="3"/>
  <c r="E588" i="3"/>
  <c r="E589" i="3"/>
  <c r="E594" i="3"/>
  <c r="E601" i="3"/>
  <c r="E604" i="3"/>
  <c r="E607" i="3"/>
  <c r="E610" i="3"/>
  <c r="E613" i="3"/>
  <c r="E616" i="3"/>
  <c r="E622" i="3"/>
  <c r="E627" i="3"/>
  <c r="E630" i="3"/>
  <c r="E633" i="3"/>
  <c r="E636" i="3"/>
  <c r="E639" i="3"/>
  <c r="E642" i="3"/>
  <c r="E645" i="3"/>
  <c r="E648" i="3"/>
  <c r="E651" i="3"/>
  <c r="E654" i="3"/>
  <c r="E657" i="3"/>
  <c r="E661" i="3"/>
  <c r="E663" i="3"/>
  <c r="E666" i="3"/>
  <c r="E668" i="3"/>
  <c r="E670" i="3"/>
  <c r="E672" i="3"/>
  <c r="E676" i="3"/>
  <c r="E679" i="3"/>
  <c r="E682" i="3"/>
  <c r="E689" i="3"/>
  <c r="E692" i="3"/>
  <c r="E696" i="3"/>
  <c r="E699" i="3"/>
  <c r="E702" i="3"/>
  <c r="E705" i="3"/>
  <c r="E707" i="3"/>
  <c r="E710" i="3"/>
  <c r="E713" i="3"/>
  <c r="E717" i="3"/>
  <c r="E719" i="3"/>
  <c r="E723" i="3"/>
  <c r="E726" i="3"/>
  <c r="E729" i="3"/>
  <c r="E732" i="3"/>
  <c r="E735" i="3"/>
  <c r="E738" i="3"/>
  <c r="E741" i="3"/>
  <c r="E744" i="3"/>
  <c r="E747" i="3"/>
  <c r="E753" i="3"/>
  <c r="E758" i="3"/>
  <c r="E761" i="3"/>
  <c r="E768" i="3"/>
  <c r="E773" i="3"/>
  <c r="E776" i="3"/>
  <c r="E779" i="3"/>
  <c r="E782" i="3"/>
  <c r="E785" i="3"/>
  <c r="E788" i="3"/>
  <c r="E791" i="3"/>
  <c r="E794" i="3"/>
  <c r="E797" i="3"/>
  <c r="E800" i="3"/>
  <c r="E803" i="3"/>
  <c r="E806" i="3"/>
  <c r="E809" i="3"/>
  <c r="E812" i="3"/>
  <c r="E815" i="3"/>
  <c r="E818" i="3"/>
  <c r="E821" i="3"/>
  <c r="E824" i="3"/>
  <c r="E827" i="3"/>
  <c r="E830" i="3"/>
  <c r="E833" i="3"/>
  <c r="E836" i="3"/>
  <c r="E839" i="3"/>
  <c r="E841" i="3"/>
  <c r="E844" i="3"/>
  <c r="E847" i="3"/>
  <c r="E849" i="3"/>
  <c r="E853" i="3"/>
  <c r="E856" i="3"/>
  <c r="E859" i="3"/>
  <c r="E862" i="3"/>
  <c r="E865" i="3"/>
  <c r="E868" i="3"/>
  <c r="E871" i="3"/>
  <c r="E874" i="3"/>
  <c r="E877" i="3"/>
  <c r="E879" i="3"/>
  <c r="E883" i="3"/>
  <c r="E887" i="3"/>
  <c r="E890" i="3"/>
  <c r="E894" i="3"/>
  <c r="E897" i="3"/>
  <c r="E900" i="3"/>
  <c r="E903" i="3"/>
  <c r="E906" i="3"/>
  <c r="E909" i="3"/>
  <c r="E912" i="3"/>
  <c r="E915" i="3"/>
  <c r="E918" i="3"/>
  <c r="E921" i="3"/>
  <c r="E924" i="3"/>
  <c r="E927" i="3"/>
  <c r="E929" i="3"/>
  <c r="E932" i="3"/>
  <c r="E935" i="3"/>
  <c r="E939" i="3"/>
  <c r="E943" i="3"/>
  <c r="E947" i="3"/>
  <c r="E950" i="3"/>
  <c r="E953" i="3"/>
  <c r="E956" i="3"/>
  <c r="E963" i="3"/>
  <c r="E965" i="3"/>
  <c r="E969" i="3"/>
  <c r="E971" i="3"/>
  <c r="E973" i="3"/>
  <c r="E977" i="3"/>
  <c r="E979" i="3"/>
  <c r="E981" i="3"/>
  <c r="E984" i="3"/>
  <c r="E987" i="3"/>
  <c r="E990" i="3"/>
  <c r="E993" i="3"/>
  <c r="E996" i="3"/>
  <c r="E999" i="3"/>
  <c r="E1002" i="3"/>
  <c r="E1006" i="3"/>
  <c r="E1009" i="3"/>
  <c r="E1011" i="3"/>
  <c r="E1012" i="3"/>
  <c r="E1017" i="3"/>
  <c r="E1020" i="3"/>
  <c r="E1023" i="3"/>
  <c r="E1026" i="3"/>
  <c r="E1029" i="3"/>
  <c r="E1032" i="3"/>
  <c r="E1035" i="3"/>
  <c r="E1038" i="3"/>
  <c r="E1041" i="3"/>
  <c r="E1044" i="3"/>
  <c r="E1047" i="3"/>
  <c r="E1050" i="3"/>
  <c r="E1053" i="3"/>
  <c r="E1058" i="3"/>
  <c r="E1061" i="3"/>
  <c r="E554" i="3"/>
  <c r="E884" i="3"/>
  <c r="E888" i="3"/>
  <c r="E891" i="3"/>
  <c r="E898" i="3"/>
  <c r="E922" i="3"/>
  <c r="E925" i="3"/>
  <c r="E930" i="3"/>
  <c r="E933" i="3"/>
  <c r="E944" i="3"/>
  <c r="E948" i="3"/>
  <c r="E951" i="3"/>
  <c r="E954" i="3"/>
  <c r="E960" i="3"/>
  <c r="E982" i="3"/>
  <c r="E988" i="3"/>
  <c r="E1007" i="3"/>
  <c r="E1010" i="3"/>
  <c r="E1013" i="3"/>
  <c r="E964" i="3"/>
  <c r="E966" i="3"/>
  <c r="E970" i="3"/>
  <c r="E974" i="3"/>
  <c r="E978" i="3"/>
  <c r="E1027" i="3"/>
  <c r="E1048" i="3"/>
  <c r="E1051" i="3"/>
  <c r="E1054" i="3"/>
  <c r="E1059" i="3"/>
  <c r="E1062" i="3"/>
  <c r="E3" i="3"/>
  <c r="E6" i="3"/>
  <c r="E9" i="3"/>
  <c r="E12" i="3"/>
  <c r="E17" i="3"/>
  <c r="E19" i="3"/>
  <c r="E22" i="3"/>
  <c r="E25" i="3"/>
  <c r="E28" i="3"/>
  <c r="E35" i="3"/>
  <c r="E45" i="3"/>
  <c r="E50" i="3"/>
  <c r="E54" i="3"/>
  <c r="E94" i="3"/>
  <c r="E100" i="3"/>
  <c r="E107" i="3"/>
  <c r="E132" i="3"/>
  <c r="E167" i="3"/>
  <c r="E207" i="3"/>
  <c r="E212" i="3"/>
  <c r="E218" i="3"/>
  <c r="E224" i="3"/>
  <c r="E230" i="3"/>
  <c r="E235" i="3"/>
  <c r="E238" i="3"/>
  <c r="E269" i="3"/>
  <c r="E272" i="3"/>
  <c r="E281" i="3"/>
  <c r="E289" i="3"/>
  <c r="E307" i="3"/>
  <c r="E315" i="3"/>
  <c r="E331" i="3"/>
  <c r="E336" i="3"/>
  <c r="E348" i="3"/>
  <c r="E351" i="3"/>
  <c r="E354" i="3"/>
  <c r="E359" i="3"/>
  <c r="E362" i="3"/>
  <c r="E368" i="3"/>
  <c r="E373" i="3"/>
  <c r="E376" i="3"/>
  <c r="E379" i="3"/>
  <c r="E385" i="3"/>
  <c r="E382" i="3"/>
  <c r="E435" i="3"/>
  <c r="E438" i="3"/>
  <c r="E441" i="3"/>
  <c r="E445" i="3"/>
  <c r="E448" i="3"/>
  <c r="E460" i="3"/>
  <c r="E467" i="3"/>
  <c r="E474" i="3"/>
  <c r="E477" i="3"/>
  <c r="E480" i="3"/>
  <c r="E489" i="3"/>
  <c r="E498" i="3"/>
  <c r="E501" i="3"/>
  <c r="E505" i="3"/>
  <c r="E509" i="3"/>
  <c r="E512" i="3"/>
  <c r="E517" i="3"/>
  <c r="E525" i="3"/>
  <c r="E528" i="3"/>
  <c r="E533" i="3"/>
  <c r="E545" i="3"/>
  <c r="E548" i="3"/>
  <c r="E595" i="3"/>
  <c r="E602" i="3"/>
  <c r="E605" i="3"/>
  <c r="E611" i="3"/>
  <c r="E614" i="3"/>
  <c r="E623" i="3"/>
  <c r="E628" i="3"/>
  <c r="E634" i="3"/>
  <c r="E637" i="3"/>
  <c r="E640" i="3"/>
  <c r="E649" i="3"/>
  <c r="E655" i="3"/>
  <c r="E658" i="3"/>
  <c r="E664" i="3"/>
  <c r="E667" i="3"/>
  <c r="E669" i="3"/>
  <c r="E673" i="3"/>
  <c r="E677" i="3"/>
  <c r="E683" i="3"/>
  <c r="E690" i="3"/>
  <c r="E697" i="3"/>
  <c r="E714" i="3"/>
  <c r="E718" i="3"/>
  <c r="E720" i="3"/>
  <c r="E724" i="3"/>
  <c r="E727" i="3"/>
  <c r="E739" i="3"/>
  <c r="E742" i="3"/>
  <c r="E754" i="3"/>
  <c r="E759" i="3"/>
  <c r="E762" i="3"/>
  <c r="E769" i="3"/>
  <c r="E777" i="3"/>
  <c r="E834" i="3"/>
  <c r="E837" i="3"/>
  <c r="E842" i="3"/>
  <c r="E845" i="3"/>
  <c r="E850" i="3"/>
  <c r="E854" i="3"/>
  <c r="E857" i="3"/>
  <c r="E860" i="3"/>
  <c r="E866" i="3"/>
  <c r="E869" i="3"/>
  <c r="E875" i="3"/>
  <c r="E880" i="3"/>
  <c r="E129" i="3"/>
  <c r="E138" i="3"/>
  <c r="E141" i="3"/>
  <c r="E144" i="3"/>
  <c r="E147" i="3"/>
  <c r="E150" i="3"/>
  <c r="E155" i="3"/>
  <c r="E158" i="3"/>
  <c r="E164" i="3"/>
  <c r="E173" i="3"/>
  <c r="E182" i="3"/>
  <c r="E176" i="3"/>
  <c r="E187" i="3"/>
  <c r="E190" i="3"/>
  <c r="E196" i="3"/>
  <c r="E227" i="3"/>
  <c r="E232" i="3"/>
  <c r="E247" i="3"/>
  <c r="E250" i="3"/>
  <c r="E253" i="3"/>
  <c r="E256" i="3"/>
  <c r="E262" i="3"/>
  <c r="E286" i="3"/>
  <c r="E295" i="3"/>
  <c r="E298" i="3"/>
  <c r="E301" i="3"/>
  <c r="E304" i="3"/>
  <c r="E312" i="3"/>
  <c r="E321" i="3"/>
  <c r="E324" i="3"/>
  <c r="E327" i="3"/>
  <c r="E342" i="3"/>
  <c r="E345" i="3"/>
  <c r="E370" i="3"/>
  <c r="E390" i="3"/>
  <c r="E393" i="3"/>
  <c r="E396" i="3"/>
  <c r="E399" i="3"/>
  <c r="E402" i="3"/>
  <c r="E405" i="3"/>
  <c r="E411" i="3"/>
  <c r="E414" i="3"/>
  <c r="E417" i="3"/>
  <c r="E486" i="3"/>
  <c r="E495" i="3"/>
  <c r="E586" i="3"/>
  <c r="E783" i="3"/>
  <c r="E786" i="3"/>
  <c r="E789" i="3"/>
  <c r="E792" i="3"/>
  <c r="E795" i="3"/>
  <c r="E798" i="3"/>
  <c r="E801" i="3"/>
  <c r="E804" i="3"/>
  <c r="E807" i="3"/>
  <c r="E810" i="3"/>
  <c r="E813" i="3"/>
  <c r="E816" i="3"/>
  <c r="E819" i="3"/>
  <c r="E822" i="3"/>
  <c r="E825" i="3"/>
  <c r="E828" i="3"/>
  <c r="E831" i="3"/>
  <c r="E904" i="3"/>
  <c r="E907" i="3"/>
  <c r="E910" i="3"/>
  <c r="E913" i="3"/>
  <c r="E916" i="3"/>
  <c r="E994" i="3"/>
  <c r="E997" i="3"/>
  <c r="E1000" i="3"/>
  <c r="E1003" i="3"/>
  <c r="E1018" i="3"/>
  <c r="E1033" i="3"/>
  <c r="E1036" i="3"/>
  <c r="E1039" i="3"/>
  <c r="E1042" i="3"/>
  <c r="E135" i="3"/>
  <c r="E170" i="3"/>
  <c r="E193" i="3"/>
  <c r="E221" i="3"/>
  <c r="E259" i="3"/>
  <c r="E292" i="3"/>
  <c r="E318" i="3"/>
  <c r="E339" i="3"/>
  <c r="E365" i="3"/>
  <c r="E408" i="3"/>
  <c r="E492" i="3"/>
  <c r="E590" i="3"/>
  <c r="E780" i="3"/>
  <c r="E901" i="3"/>
  <c r="E991" i="3"/>
  <c r="E1030" i="3"/>
  <c r="E32" i="3"/>
  <c r="E57" i="3"/>
  <c r="E60" i="3"/>
  <c r="E62" i="3"/>
  <c r="E64" i="3"/>
  <c r="E71" i="3"/>
  <c r="E72" i="3"/>
  <c r="E73" i="3"/>
  <c r="E74" i="3"/>
  <c r="E75" i="3"/>
  <c r="E77" i="3"/>
  <c r="E80" i="3"/>
  <c r="E81" i="3"/>
  <c r="E82" i="3"/>
  <c r="E83" i="3"/>
  <c r="E84" i="3"/>
  <c r="E85" i="3"/>
  <c r="E86" i="3"/>
  <c r="E88" i="3"/>
  <c r="E87" i="3"/>
  <c r="E89" i="3"/>
  <c r="E48" i="3"/>
  <c r="E47" i="3"/>
  <c r="E199" i="3"/>
  <c r="E432" i="3"/>
  <c r="E450" i="3"/>
  <c r="E452" i="3"/>
  <c r="E461" i="3"/>
  <c r="E462" i="3"/>
  <c r="E463" i="3"/>
  <c r="E472" i="3"/>
  <c r="E483" i="3"/>
  <c r="E556" i="3"/>
  <c r="E557" i="3"/>
  <c r="E558" i="3"/>
  <c r="E555" i="3"/>
  <c r="E569" i="3"/>
  <c r="E572" i="3"/>
  <c r="E575" i="3"/>
  <c r="E578" i="3"/>
  <c r="E581" i="3"/>
  <c r="E597" i="3"/>
  <c r="E608" i="3"/>
  <c r="E621" i="3"/>
  <c r="E619" i="3"/>
  <c r="E644" i="3"/>
  <c r="E652" i="3"/>
  <c r="E675" i="3"/>
  <c r="E693" i="3"/>
  <c r="E736" i="3"/>
  <c r="E756" i="3"/>
  <c r="E757" i="3"/>
  <c r="E771" i="3"/>
  <c r="E774" i="3"/>
  <c r="E919" i="3"/>
  <c r="E936" i="3"/>
  <c r="E940" i="3"/>
  <c r="E980" i="3"/>
  <c r="E1015" i="3"/>
  <c r="E976" i="3"/>
  <c r="E1021" i="3"/>
  <c r="E1024" i="3"/>
  <c r="E1045" i="3"/>
  <c r="E43" i="3"/>
  <c r="E59" i="3"/>
  <c r="E120" i="3"/>
  <c r="E264" i="3"/>
  <c r="E278" i="3"/>
  <c r="E625" i="3"/>
  <c r="E646" i="3"/>
  <c r="E671" i="3"/>
  <c r="E730" i="3"/>
  <c r="E745" i="3"/>
  <c r="E942" i="3"/>
  <c r="E946" i="3"/>
  <c r="E959" i="3"/>
  <c r="E1005" i="3"/>
  <c r="E968" i="3"/>
  <c r="E542" i="3"/>
  <c r="E733" i="3"/>
  <c r="E748" i="3"/>
  <c r="E863" i="3"/>
  <c r="E543" i="3"/>
  <c r="E559" i="3"/>
  <c r="E560" i="3"/>
  <c r="E703" i="3"/>
  <c r="E680" i="3"/>
  <c r="E972" i="3"/>
  <c r="E872" i="3"/>
  <c r="E687" i="3"/>
  <c r="E895" i="3"/>
  <c r="E685" i="3"/>
  <c r="E711" i="3"/>
  <c r="E708" i="3"/>
  <c r="E886" i="3"/>
  <c r="E882" i="3"/>
  <c r="E530" i="3"/>
  <c r="E96" i="3"/>
  <c r="E985" i="3"/>
  <c r="E1056" i="3"/>
  <c r="E567" i="3"/>
  <c r="E765" i="3"/>
  <c r="E243" i="3"/>
  <c r="E123" i="3"/>
  <c r="E266" i="3"/>
  <c r="E198" i="3"/>
  <c r="E204" i="3"/>
  <c r="E127" i="3"/>
  <c r="E121" i="3"/>
  <c r="E119" i="3"/>
  <c r="E767" i="3"/>
  <c r="E200" i="3"/>
  <c r="E202" i="3"/>
  <c r="E329" i="3"/>
  <c r="E203" i="3"/>
  <c r="E267" i="3"/>
  <c r="E125" i="3"/>
  <c r="E277" i="3"/>
  <c r="E275" i="3"/>
  <c r="E122" i="3"/>
  <c r="E116" i="3"/>
  <c r="E420" i="3"/>
  <c r="E427" i="3"/>
  <c r="E422" i="3"/>
  <c r="E424" i="3"/>
  <c r="E421" i="3"/>
  <c r="E423" i="3"/>
  <c r="E429" i="3"/>
  <c r="E430" i="3"/>
  <c r="E431" i="3"/>
  <c r="E426" i="3"/>
  <c r="E428" i="3"/>
  <c r="E631" i="3"/>
  <c r="E91" i="3"/>
  <c r="E201" i="3"/>
  <c r="E124" i="3"/>
  <c r="E701" i="3"/>
  <c r="E38" i="3"/>
  <c r="E503" i="3"/>
  <c r="E507" i="3"/>
  <c r="E660" i="3"/>
  <c r="E118" i="3"/>
  <c r="E274" i="3"/>
  <c r="E205" i="3"/>
  <c r="E425" i="3"/>
  <c r="E928" i="3"/>
  <c r="E522" i="3"/>
  <c r="E520" i="3"/>
  <c r="E553" i="3"/>
  <c r="E551" i="3"/>
  <c r="E706" i="3"/>
  <c r="E643" i="3"/>
  <c r="E848" i="3"/>
  <c r="E878" i="3"/>
  <c r="E840" i="3"/>
  <c r="E103" i="3"/>
  <c r="E700" i="3"/>
  <c r="E695" i="3"/>
  <c r="E37" i="3"/>
  <c r="E117" i="3"/>
  <c r="E276" i="3"/>
  <c r="E419" i="3"/>
  <c r="E179" i="3"/>
  <c r="E161" i="3"/>
  <c r="E957" i="3"/>
  <c r="E215" i="3"/>
  <c r="E241" i="3"/>
  <c r="E617" i="3"/>
  <c r="E470" i="3"/>
  <c r="E310" i="3"/>
  <c r="E210" i="3"/>
  <c r="E357" i="3"/>
  <c r="E284" i="3"/>
  <c r="E388" i="3"/>
  <c r="E185" i="3"/>
  <c r="E153" i="3"/>
  <c r="E334" i="3"/>
  <c r="E245" i="3"/>
  <c r="E518" i="3"/>
  <c r="E510" i="3"/>
  <c r="E4" i="3"/>
  <c r="E549" i="3"/>
  <c r="E698" i="3"/>
  <c r="E755" i="3"/>
  <c r="E975" i="3"/>
  <c r="E770" i="3"/>
  <c r="E763" i="3"/>
  <c r="E436" i="3"/>
  <c r="E914" i="3"/>
  <c r="E908" i="3"/>
  <c r="E917" i="3"/>
  <c r="E911" i="3"/>
  <c r="E905" i="3"/>
  <c r="E902" i="3"/>
  <c r="E684" i="3"/>
  <c r="E13" i="3"/>
  <c r="E20" i="3"/>
  <c r="E526" i="3"/>
  <c r="E1043" i="3"/>
  <c r="E1040" i="3"/>
  <c r="E1037" i="3"/>
  <c r="E1034" i="3"/>
  <c r="E1031" i="3"/>
  <c r="E478" i="3"/>
  <c r="E529" i="3"/>
  <c r="E691" i="3"/>
  <c r="E832" i="3"/>
  <c r="E787" i="3"/>
  <c r="E820" i="3"/>
  <c r="E808" i="3"/>
  <c r="E802" i="3"/>
  <c r="E799" i="3"/>
  <c r="E796" i="3"/>
  <c r="E805" i="3"/>
  <c r="E829" i="3"/>
  <c r="E826" i="3"/>
  <c r="E823" i="3"/>
  <c r="E790" i="3"/>
  <c r="E793" i="3"/>
  <c r="E814" i="3"/>
  <c r="E817" i="3"/>
  <c r="E811" i="3"/>
  <c r="E784" i="3"/>
  <c r="E781" i="3"/>
  <c r="E328" i="3"/>
  <c r="E313" i="3"/>
  <c r="E325" i="3"/>
  <c r="E322" i="3"/>
  <c r="E319" i="3"/>
  <c r="E513" i="3"/>
  <c r="E10" i="3"/>
  <c r="E487" i="3"/>
  <c r="E496" i="3"/>
  <c r="E493" i="3"/>
  <c r="E101" i="3"/>
  <c r="E439" i="3"/>
  <c r="E678" i="3"/>
  <c r="E1063" i="3"/>
  <c r="E534" i="3"/>
  <c r="E641" i="3"/>
  <c r="E130" i="3"/>
  <c r="E148" i="3"/>
  <c r="E145" i="3"/>
  <c r="E151" i="3"/>
  <c r="E142" i="3"/>
  <c r="E139" i="3"/>
  <c r="E136" i="3"/>
  <c r="E995" i="3"/>
  <c r="E998" i="3"/>
  <c r="E1001" i="3"/>
  <c r="E1004" i="3"/>
  <c r="E992" i="3"/>
  <c r="E1060" i="3"/>
  <c r="E442" i="3"/>
  <c r="E546" i="3"/>
  <c r="E659" i="3"/>
  <c r="E236" i="3"/>
  <c r="E233" i="3"/>
  <c r="E213" i="3"/>
  <c r="E239" i="3"/>
  <c r="E228" i="3"/>
  <c r="E222" i="3"/>
  <c r="E377" i="3"/>
  <c r="E386" i="3"/>
  <c r="E383" i="3"/>
  <c r="E360" i="3"/>
  <c r="E380" i="3"/>
  <c r="E374" i="3"/>
  <c r="E371" i="3"/>
  <c r="E366" i="3"/>
  <c r="E481" i="3"/>
  <c r="E282" i="3"/>
  <c r="E270" i="3"/>
  <c r="E299" i="3"/>
  <c r="E302" i="3"/>
  <c r="E287" i="3"/>
  <c r="E305" i="3"/>
  <c r="E296" i="3"/>
  <c r="E293" i="3"/>
  <c r="E36" i="3"/>
  <c r="E952" i="3"/>
  <c r="E656" i="3"/>
  <c r="E400" i="3"/>
  <c r="E391" i="3"/>
  <c r="E394" i="3"/>
  <c r="E415" i="3"/>
  <c r="E403" i="3"/>
  <c r="E397" i="3"/>
  <c r="E418" i="3"/>
  <c r="E412" i="3"/>
  <c r="E409" i="3"/>
  <c r="E188" i="3"/>
  <c r="E197" i="3"/>
  <c r="E194" i="3"/>
  <c r="E355" i="3"/>
  <c r="E273" i="3"/>
  <c r="E638" i="3"/>
  <c r="E26" i="3"/>
  <c r="E23" i="3"/>
  <c r="E502" i="3"/>
  <c r="E506" i="3"/>
  <c r="E177" i="3"/>
  <c r="E159" i="3"/>
  <c r="E156" i="3"/>
  <c r="E183" i="3"/>
  <c r="E165" i="3"/>
  <c r="E174" i="3"/>
  <c r="E171" i="3"/>
  <c r="E352" i="3"/>
  <c r="E346" i="3"/>
  <c r="E343" i="3"/>
  <c r="E340" i="3"/>
  <c r="E308" i="3"/>
  <c r="E332" i="3"/>
  <c r="E349" i="3"/>
  <c r="E208" i="3"/>
  <c r="E468" i="3"/>
  <c r="E596" i="3"/>
  <c r="E955" i="3"/>
  <c r="E945" i="3"/>
  <c r="E248" i="3"/>
  <c r="E251" i="3"/>
  <c r="E254" i="3"/>
  <c r="E263" i="3"/>
  <c r="E260" i="3"/>
  <c r="E1019" i="3"/>
  <c r="E615" i="3"/>
  <c r="E591" i="3"/>
  <c r="E180" i="3"/>
  <c r="E162" i="3"/>
  <c r="E471" i="3"/>
  <c r="E618" i="3"/>
  <c r="E958" i="3"/>
  <c r="E216" i="3"/>
  <c r="E242" i="3"/>
  <c r="E490" i="3"/>
  <c r="E219" i="3"/>
  <c r="E168" i="3"/>
  <c r="E989" i="3"/>
  <c r="E899" i="3"/>
  <c r="E1028" i="3"/>
  <c r="E778" i="3"/>
  <c r="E316" i="3"/>
  <c r="E133" i="3"/>
  <c r="E363" i="3"/>
  <c r="E290" i="3"/>
  <c r="E406" i="3"/>
  <c r="E191" i="3"/>
  <c r="E337" i="3"/>
  <c r="E257" i="3"/>
  <c r="E587" i="3"/>
  <c r="E931" i="3"/>
  <c r="E923" i="3"/>
  <c r="E934" i="3"/>
  <c r="E926" i="3"/>
  <c r="E606" i="3"/>
  <c r="E1055" i="3"/>
  <c r="E1052" i="3"/>
  <c r="E1049" i="3"/>
  <c r="E612" i="3"/>
  <c r="E892" i="3"/>
  <c r="E835" i="3"/>
  <c r="E876" i="3"/>
  <c r="E861" i="3"/>
  <c r="E855" i="3"/>
  <c r="E851" i="3"/>
  <c r="E846" i="3"/>
  <c r="E858" i="3"/>
  <c r="E889" i="3"/>
  <c r="E885" i="3"/>
  <c r="E881" i="3"/>
  <c r="E838" i="3"/>
  <c r="E843" i="3"/>
  <c r="E867" i="3"/>
  <c r="E870" i="3"/>
  <c r="E864" i="3"/>
  <c r="E715" i="3"/>
  <c r="E949" i="3"/>
  <c r="E743" i="3"/>
  <c r="E499" i="3"/>
  <c r="E603" i="3"/>
  <c r="E95" i="3"/>
  <c r="E760" i="3"/>
  <c r="E725" i="3"/>
  <c r="E721" i="3"/>
  <c r="E624" i="3"/>
  <c r="E1008" i="3"/>
  <c r="E225" i="3"/>
  <c r="E728" i="3"/>
  <c r="E740" i="3"/>
  <c r="E665" i="3"/>
  <c r="E51" i="3"/>
  <c r="E674" i="3"/>
  <c r="E635" i="3"/>
  <c r="E55" i="3"/>
  <c r="E46" i="3"/>
  <c r="E983" i="3"/>
  <c r="E108" i="3"/>
  <c r="E629" i="3"/>
  <c r="E15" i="3"/>
  <c r="E650" i="3"/>
  <c r="E29" i="3"/>
  <c r="E1022" i="3"/>
  <c r="E1014" i="3"/>
  <c r="E749" i="3"/>
  <c r="E734" i="3"/>
  <c r="E58" i="3"/>
  <c r="E941" i="3"/>
  <c r="E647" i="3"/>
  <c r="E446" i="3"/>
  <c r="E967" i="3"/>
  <c r="E920" i="3"/>
  <c r="E937" i="3"/>
  <c r="E609" i="3"/>
  <c r="E1025" i="3"/>
  <c r="E1046" i="3"/>
  <c r="E694" i="3"/>
  <c r="E1016" i="3"/>
  <c r="E746" i="3"/>
  <c r="E731" i="3"/>
  <c r="E737" i="3"/>
  <c r="E279" i="3"/>
  <c r="E449" i="3"/>
  <c r="E7" i="3"/>
  <c r="E626" i="3"/>
  <c r="E265" i="3"/>
  <c r="E433" i="3"/>
  <c r="E775" i="3"/>
  <c r="E484" i="3"/>
  <c r="E576" i="3"/>
  <c r="E573" i="3"/>
  <c r="E579" i="3"/>
  <c r="E582" i="3"/>
  <c r="E570" i="3"/>
  <c r="E33" i="3"/>
  <c r="E653" i="3"/>
  <c r="E78" i="3"/>
  <c r="E65" i="3"/>
  <c r="E63" i="3"/>
  <c r="E620" i="3"/>
  <c r="E79" i="3"/>
  <c r="E451" i="3"/>
  <c r="E662" i="3"/>
  <c r="E704" i="3"/>
  <c r="E681" i="3"/>
  <c r="E873" i="3"/>
  <c r="E688" i="3"/>
  <c r="E896" i="3"/>
  <c r="E686" i="3"/>
  <c r="E712" i="3"/>
  <c r="E709" i="3"/>
  <c r="E852" i="3"/>
  <c r="E531" i="3"/>
  <c r="E97" i="3"/>
  <c r="E986" i="3"/>
  <c r="E1057" i="3"/>
  <c r="E568" i="3"/>
  <c r="E766" i="3"/>
  <c r="E632" i="3"/>
  <c r="E92" i="3"/>
  <c r="E1064" i="3"/>
  <c r="E1065" i="3"/>
  <c r="E514" i="3"/>
  <c r="E540" i="3"/>
  <c r="E565" i="3"/>
  <c r="E772" i="3"/>
  <c r="E563" i="3"/>
  <c r="E105" i="3"/>
  <c r="E600" i="3"/>
  <c r="E457" i="3"/>
  <c r="E453" i="3"/>
  <c r="E464" i="3"/>
  <c r="E455" i="3"/>
  <c r="E68" i="3"/>
  <c r="E458" i="3"/>
  <c r="E454" i="3"/>
  <c r="E465" i="3"/>
  <c r="E456" i="3"/>
  <c r="E69" i="3"/>
  <c r="E961" i="3"/>
  <c r="E564" i="3"/>
  <c r="E475" i="3"/>
  <c r="E41" i="3"/>
  <c r="E39" i="3"/>
  <c r="E98" i="3"/>
  <c r="E515" i="3"/>
  <c r="E523" i="3"/>
  <c r="E583" i="3"/>
  <c r="E716" i="3"/>
  <c r="E893" i="3"/>
  <c r="E30" i="3"/>
  <c r="E40" i="3"/>
  <c r="E52" i="3"/>
  <c r="E598" i="3"/>
  <c r="E114" i="3"/>
  <c r="E115" i="3"/>
  <c r="E110" i="3"/>
  <c r="E109" i="3"/>
  <c r="E112" i="3"/>
  <c r="E592" i="3"/>
  <c r="E599" i="3"/>
  <c r="E111" i="3"/>
  <c r="E113" i="3"/>
  <c r="E962" i="3"/>
  <c r="E584" i="3"/>
  <c r="E750" i="3"/>
  <c r="E938" i="3"/>
  <c r="E751" i="3"/>
  <c r="E42" i="3"/>
  <c r="E561" i="3"/>
  <c r="E562" i="3"/>
  <c r="E443" i="3"/>
  <c r="E593" i="3"/>
  <c r="E535" i="3"/>
  <c r="E536" i="3"/>
  <c r="E537" i="3"/>
  <c r="E752" i="3"/>
  <c r="E764" i="3"/>
  <c r="E538" i="3"/>
  <c r="E539" i="3"/>
  <c r="E66" i="3"/>
  <c r="E67" i="3"/>
  <c r="E722" i="3"/>
  <c r="E1066" i="3"/>
  <c r="P23" i="7" l="1"/>
  <c r="P31" i="7"/>
  <c r="P27" i="7"/>
  <c r="P40" i="16"/>
  <c r="O38" i="16"/>
  <c r="O37" i="16"/>
  <c r="P61" i="16"/>
  <c r="P45" i="16"/>
  <c r="O65" i="16"/>
  <c r="O45" i="16"/>
  <c r="P64" i="16"/>
  <c r="P60" i="16"/>
  <c r="P56" i="16"/>
  <c r="P52" i="16"/>
  <c r="P48" i="16"/>
  <c r="P44" i="16"/>
  <c r="P36" i="16"/>
  <c r="O64" i="16"/>
  <c r="O60" i="16"/>
  <c r="O56" i="16"/>
  <c r="O52" i="16"/>
  <c r="O48" i="16"/>
  <c r="O44" i="16"/>
  <c r="O40" i="16"/>
  <c r="Q40" i="16" s="1"/>
  <c r="O36" i="16"/>
  <c r="P57" i="16"/>
  <c r="P49" i="16"/>
  <c r="P37" i="16"/>
  <c r="O57" i="16"/>
  <c r="O53" i="16"/>
  <c r="O41" i="16"/>
  <c r="P63" i="16"/>
  <c r="P59" i="16"/>
  <c r="P55" i="16"/>
  <c r="P51" i="16"/>
  <c r="P47" i="16"/>
  <c r="P43" i="16"/>
  <c r="P39" i="16"/>
  <c r="P35" i="16"/>
  <c r="O63" i="16"/>
  <c r="O59" i="16"/>
  <c r="Q59" i="16" s="1"/>
  <c r="O55" i="16"/>
  <c r="Q55" i="16" s="1"/>
  <c r="O51" i="16"/>
  <c r="O47" i="16"/>
  <c r="O43" i="16"/>
  <c r="O39" i="16"/>
  <c r="O35" i="16"/>
  <c r="P65" i="16"/>
  <c r="P53" i="16"/>
  <c r="P41" i="16"/>
  <c r="O61" i="16"/>
  <c r="O49" i="16"/>
  <c r="P66" i="16"/>
  <c r="P62" i="16"/>
  <c r="P58" i="16"/>
  <c r="P54" i="16"/>
  <c r="P50" i="16"/>
  <c r="P46" i="16"/>
  <c r="P42" i="16"/>
  <c r="P38" i="16"/>
  <c r="O66" i="16"/>
  <c r="O62" i="16"/>
  <c r="Q62" i="16" s="1"/>
  <c r="O58" i="16"/>
  <c r="O54" i="16"/>
  <c r="O50" i="16"/>
  <c r="Q50" i="16" s="1"/>
  <c r="O46" i="16"/>
  <c r="O42" i="16"/>
  <c r="O3" i="16"/>
  <c r="P30" i="7"/>
  <c r="P26" i="7"/>
  <c r="P22" i="7"/>
  <c r="P29" i="7"/>
  <c r="P32" i="7"/>
  <c r="P28" i="7"/>
  <c r="P24" i="7"/>
  <c r="P32" i="16"/>
  <c r="P24" i="16"/>
  <c r="P20" i="16"/>
  <c r="P16" i="16"/>
  <c r="P11" i="16"/>
  <c r="P4" i="16"/>
  <c r="P31" i="16"/>
  <c r="P27" i="16"/>
  <c r="P23" i="16"/>
  <c r="P19" i="16"/>
  <c r="P15" i="16"/>
  <c r="P9" i="16"/>
  <c r="P10" i="16"/>
  <c r="P3" i="16"/>
  <c r="P28" i="16"/>
  <c r="P12" i="16"/>
  <c r="O34" i="16"/>
  <c r="O18" i="16"/>
  <c r="P34" i="16"/>
  <c r="P30" i="16"/>
  <c r="P26" i="16"/>
  <c r="P22" i="16"/>
  <c r="P18" i="16"/>
  <c r="P14" i="16"/>
  <c r="P8" i="16"/>
  <c r="P6" i="16"/>
  <c r="P33" i="16"/>
  <c r="P29" i="16"/>
  <c r="P25" i="16"/>
  <c r="P21" i="16"/>
  <c r="P17" i="16"/>
  <c r="P13" i="16"/>
  <c r="P7" i="16"/>
  <c r="P5" i="16"/>
  <c r="O6" i="16"/>
  <c r="O30" i="16"/>
  <c r="O14" i="16"/>
  <c r="O26" i="16"/>
  <c r="O8" i="16"/>
  <c r="O22" i="16"/>
  <c r="O33" i="16"/>
  <c r="O29" i="16"/>
  <c r="O25" i="16"/>
  <c r="O21" i="16"/>
  <c r="O17" i="16"/>
  <c r="O13" i="16"/>
  <c r="O7" i="16"/>
  <c r="O5" i="16"/>
  <c r="O32" i="16"/>
  <c r="O28" i="16"/>
  <c r="O24" i="16"/>
  <c r="O20" i="16"/>
  <c r="O16" i="16"/>
  <c r="O12" i="16"/>
  <c r="O11" i="16"/>
  <c r="O4" i="16"/>
  <c r="O31" i="16"/>
  <c r="O27" i="16"/>
  <c r="O23" i="16"/>
  <c r="O19" i="16"/>
  <c r="O15" i="16"/>
  <c r="O9" i="16"/>
  <c r="O10" i="16"/>
  <c r="P33" i="7"/>
  <c r="P25" i="7"/>
  <c r="P21" i="7"/>
  <c r="P17" i="7"/>
  <c r="P13" i="7"/>
  <c r="P9" i="7"/>
  <c r="P5" i="7"/>
  <c r="P19" i="7"/>
  <c r="P15" i="7"/>
  <c r="P11" i="7"/>
  <c r="P7" i="7"/>
  <c r="P3" i="7"/>
  <c r="P20" i="7"/>
  <c r="P16" i="7"/>
  <c r="P12" i="7"/>
  <c r="P8" i="7"/>
  <c r="P4" i="7"/>
  <c r="P18" i="7"/>
  <c r="P14" i="7"/>
  <c r="P10" i="7"/>
  <c r="P6" i="7"/>
  <c r="P2" i="7"/>
  <c r="Q39" i="16" l="1"/>
  <c r="Q43" i="16"/>
  <c r="Q47" i="16"/>
  <c r="Q63" i="16"/>
  <c r="Q66" i="16"/>
  <c r="Q36" i="16"/>
  <c r="Q38" i="16"/>
  <c r="Q65" i="16"/>
  <c r="Q56" i="16"/>
  <c r="Q42" i="16"/>
  <c r="Q44" i="16"/>
  <c r="Q48" i="16"/>
  <c r="Q64" i="16"/>
  <c r="Q61" i="16"/>
  <c r="Q37" i="16"/>
  <c r="Q52" i="16"/>
  <c r="Q54" i="16"/>
  <c r="Q46" i="16"/>
  <c r="Q60" i="16"/>
  <c r="Q57" i="16"/>
  <c r="Q51" i="16"/>
  <c r="Q49" i="16"/>
  <c r="Q24" i="16"/>
  <c r="Q35" i="16"/>
  <c r="Q53" i="16"/>
  <c r="Q45" i="16"/>
  <c r="Q41" i="16"/>
  <c r="Q58" i="16"/>
  <c r="O1" i="16"/>
  <c r="Q30" i="16"/>
  <c r="Q19" i="16"/>
  <c r="Q5" i="16"/>
  <c r="Q21" i="16"/>
  <c r="Q22" i="16"/>
  <c r="Q6" i="16"/>
  <c r="Q20" i="16"/>
  <c r="Q11" i="16"/>
  <c r="Q9" i="16"/>
  <c r="Q27" i="16"/>
  <c r="Q12" i="16"/>
  <c r="Q28" i="16"/>
  <c r="Q13" i="16"/>
  <c r="Q29" i="16"/>
  <c r="Q15" i="16"/>
  <c r="Q31" i="16"/>
  <c r="Q16" i="16"/>
  <c r="Q32" i="16"/>
  <c r="Q17" i="16"/>
  <c r="Q33" i="16"/>
  <c r="Q14" i="16"/>
  <c r="Q34" i="16"/>
  <c r="Q4" i="16"/>
  <c r="Q10" i="16"/>
  <c r="Q23" i="16"/>
  <c r="Q7" i="16"/>
  <c r="Q25" i="16"/>
  <c r="Q8" i="16"/>
  <c r="Q26" i="16"/>
  <c r="Q18" i="16"/>
  <c r="Q3" i="16"/>
</calcChain>
</file>

<file path=xl/sharedStrings.xml><?xml version="1.0" encoding="utf-8"?>
<sst xmlns="http://schemas.openxmlformats.org/spreadsheetml/2006/main" count="4489" uniqueCount="1063">
  <si>
    <t>Indicador</t>
  </si>
  <si>
    <t>Categorías</t>
  </si>
  <si>
    <t>Personas ingresadas en Centros de tratamiento o internamiento para adolescentes</t>
  </si>
  <si>
    <t>Indefinido</t>
  </si>
  <si>
    <t>Primera vez</t>
  </si>
  <si>
    <t>Reingresos</t>
  </si>
  <si>
    <t>Personas ingresadas en Centros penitenciarios</t>
  </si>
  <si>
    <t>Personas en Centros penitenciarios</t>
  </si>
  <si>
    <t>Personas inculpadas o imputadas en Justicia para adolescentes</t>
  </si>
  <si>
    <t>Población en Centros especializados de tratamiento o internamiento para adolescentes</t>
  </si>
  <si>
    <t>Con adicción  a sustancias psicoactivas</t>
  </si>
  <si>
    <t>Con discapacidad</t>
  </si>
  <si>
    <t>Pertenece a pueblo indígena</t>
  </si>
  <si>
    <t>Delitos</t>
  </si>
  <si>
    <t>Aborto</t>
  </si>
  <si>
    <t>Abuso de autoridad</t>
  </si>
  <si>
    <t>Abuso de confianza</t>
  </si>
  <si>
    <t>Abuso sexual</t>
  </si>
  <si>
    <t>Acceso ilícito a sistemas o equipos informáticos</t>
  </si>
  <si>
    <t>Acopio ilícito de armas</t>
  </si>
  <si>
    <t>Acoso sexual</t>
  </si>
  <si>
    <t>Allanamiento de morada</t>
  </si>
  <si>
    <t>Amenazas</t>
  </si>
  <si>
    <t>Aprovechamiento de hidrocarburos y sus derivados</t>
  </si>
  <si>
    <t>Total</t>
  </si>
  <si>
    <t>Homicidio</t>
  </si>
  <si>
    <t>Feminicidio</t>
  </si>
  <si>
    <t>Lesiones</t>
  </si>
  <si>
    <t>Otros delitos que atentan contra la vida y la integridad corporal</t>
  </si>
  <si>
    <t>Privación de la libertad</t>
  </si>
  <si>
    <t>Tráfico de menores</t>
  </si>
  <si>
    <t>Retención o sustracción de menores e incapaces</t>
  </si>
  <si>
    <t>Rapto</t>
  </si>
  <si>
    <t>Desaparición forzada de personas</t>
  </si>
  <si>
    <t>Secuestro - Secuestro extorsivo</t>
  </si>
  <si>
    <t>Secuestro - Secuestro en calidad de rehén</t>
  </si>
  <si>
    <t>Secuestro - Secuestro para causar daño</t>
  </si>
  <si>
    <t>Secuestro - Secuestro exprés</t>
  </si>
  <si>
    <t>Secuestro - Otro tipo de secuestro</t>
  </si>
  <si>
    <t>Secuestro - No identificado</t>
  </si>
  <si>
    <t>Otros delitos que atentan contra la libertad personal</t>
  </si>
  <si>
    <t>Hostigamiento sexual</t>
  </si>
  <si>
    <t>Violación - Violación simple</t>
  </si>
  <si>
    <t>Violación - Violación equiparada por introducir cualquier elemento, instrumento o cualquier parte del cuerpo humano, distinto al pene</t>
  </si>
  <si>
    <t>Violación - Violación equiparada en contra de menores e incapaces</t>
  </si>
  <si>
    <t>Violación - Otro tipo de violación</t>
  </si>
  <si>
    <t>Violación - No identificado</t>
  </si>
  <si>
    <t>Estupro</t>
  </si>
  <si>
    <t>Incesto</t>
  </si>
  <si>
    <t>Otros delitos que atentan contra la libertad y la seguridad sexual</t>
  </si>
  <si>
    <t>Robo - Robo simple</t>
  </si>
  <si>
    <t>Robo - Robo a casa habitación</t>
  </si>
  <si>
    <t>Robo - Robo de vehículo</t>
  </si>
  <si>
    <t>Robo - Robo de autopartes</t>
  </si>
  <si>
    <t>Robo - Robo a transeúnte en vía pública</t>
  </si>
  <si>
    <t>Robo - Robo a transeúnte en espacio abierto al público</t>
  </si>
  <si>
    <t>Robo - Robo a persona en un lugar privado</t>
  </si>
  <si>
    <t>Robo - Robo a transportista</t>
  </si>
  <si>
    <t>Robo - Robo en transporte público individual</t>
  </si>
  <si>
    <t>Robo - Robo en transporte público colectivo</t>
  </si>
  <si>
    <t>Robo - Robo en transporte individual</t>
  </si>
  <si>
    <t>Robo - Robo a institución bancaria</t>
  </si>
  <si>
    <t>Robo - Robo a negocio</t>
  </si>
  <si>
    <t>Robo - Robo de ganado</t>
  </si>
  <si>
    <t>Robo - Robo de maquinaria</t>
  </si>
  <si>
    <t>Robo - Robo de energía eléctrica</t>
  </si>
  <si>
    <t>Robo - Otros robos</t>
  </si>
  <si>
    <t>Robo - No identificado</t>
  </si>
  <si>
    <t>Delitos en materia de hidrocarburos y sus derivados - Sustracción de hidrocarburos y sus derivados</t>
  </si>
  <si>
    <t>Delitos en materia de hidrocarburos y sus derivados - Aprovechamiento de hidrocarburos y sus derivados</t>
  </si>
  <si>
    <t>Delitos en materia de hidrocarburos y sus derivados - Posesión ilícita de hidrocarburos y sus derivados</t>
  </si>
  <si>
    <t>Delitos en materia de hidrocarburos y sus derivados - Otros delitos en materia de hidrocarburos y sus derivados</t>
  </si>
  <si>
    <t>Delitos en materia de hidrocarburos y sus derivados - No identificado</t>
  </si>
  <si>
    <t>Fraude</t>
  </si>
  <si>
    <t>Extorsión - Extorsión cometida por vía telefónica o cualquier otro medio electrónico o de comunicación</t>
  </si>
  <si>
    <t>Extorsión - Otro tipo de extorsión</t>
  </si>
  <si>
    <t>Extorsión - No identificado</t>
  </si>
  <si>
    <t>Daño a la propiedad</t>
  </si>
  <si>
    <t>Despojo</t>
  </si>
  <si>
    <t>Otros delitos que atentan contra el patrimonio</t>
  </si>
  <si>
    <t>Violencia familiar</t>
  </si>
  <si>
    <t>Incumplimiento de obligaciones familiares</t>
  </si>
  <si>
    <t>Otros delitos contra la familia</t>
  </si>
  <si>
    <t>Delitos contra el libre desarrollo de la personalidad - Corrupción de menores e incapaces</t>
  </si>
  <si>
    <t>Delitos contra el libre desarrollo de la personalidad - Prostitución de menores e incapaces</t>
  </si>
  <si>
    <t>Delitos contra el libre desarrollo de la personalidad - Pornografía infantil</t>
  </si>
  <si>
    <t>Delitos contra el libre desarrollo de la personalidad - Turismo sexual</t>
  </si>
  <si>
    <t>Delitos contra el libre desarrollo de la personalidad - Pederastia</t>
  </si>
  <si>
    <t>Delitos contra el libre desarrollo de la personalidad - Otros delitos contra el libre desarrollo de la personalidad</t>
  </si>
  <si>
    <t>Delitos contra el libre desarrollo de la personalidad - No identificado</t>
  </si>
  <si>
    <t>Trata de personas - Trata de personas con fines de explotación sexual</t>
  </si>
  <si>
    <t>Trata de personas - Trata de personas con fines de trabajo o servicios forzados</t>
  </si>
  <si>
    <t>Trata de personas - Trata de personas con fines de tráfico de órganos</t>
  </si>
  <si>
    <t>Trata de personas - Trata de personas con otros fines</t>
  </si>
  <si>
    <t>Trata de personas - No identificado</t>
  </si>
  <si>
    <t>Violencia de género en todas sus modalidades distinta a la violencia familiar</t>
  </si>
  <si>
    <t>Discriminación</t>
  </si>
  <si>
    <t>Lenocinio</t>
  </si>
  <si>
    <t>Otros delitos contra la sociedad</t>
  </si>
  <si>
    <t>Delitos contra la salud relacionados con narcóticos en su modalidad de narcomenudeo - Posesión simple de narcóticos</t>
  </si>
  <si>
    <t>Delitos contra la salud relacionados con narcóticos en su modalidad de narcomenudeo - Posesión con fines de comercio o suministro de narcóticos</t>
  </si>
  <si>
    <t>Delitos contra la salud relacionados con narcóticos en su modalidad de narcomenudeo - Comercio de narcóticos</t>
  </si>
  <si>
    <t>Delitos contra la salud relacionados con narcóticos en su modalidad de narcomenudeo - Suministro de narcóticos</t>
  </si>
  <si>
    <t>Delitos contra la salud relacionados con narcóticos en su modalidad de narcomenudeo - Otros delitos contra la salud relacionados con narcóticos en su modalidad de narcomenudeo</t>
  </si>
  <si>
    <t>Delitos contra la salud relacionados con narcóticos en su modalidad de narcomenudeo - No identificado</t>
  </si>
  <si>
    <t>Delitos federales contra la salud relacionados con narcóticos - Producción de narcóticos</t>
  </si>
  <si>
    <t>Delitos federales contra la salud relacionados con narcóticos - Transporte de narcóticos</t>
  </si>
  <si>
    <t>Delitos federales contra la salud relacionados con narcóticos - Tráfico de narcóticos</t>
  </si>
  <si>
    <t>Delitos federales contra la salud relacionados con narcóticos - Comercio de narcóticos</t>
  </si>
  <si>
    <t>Delitos federales contra la salud relacionados con narcóticos - Suministro de narcóticos</t>
  </si>
  <si>
    <t>Delitos federales contra la salud relacionados con narcóticos - Posesión de narcóticos</t>
  </si>
  <si>
    <t>Delitos federales contra la salud relacionados con narcóticos - Otros delitos federales contra la salud relacionados con narcóticos</t>
  </si>
  <si>
    <t>Delitos federales contra la salud relacionados con narcóticos - No identificado</t>
  </si>
  <si>
    <t>Evasión de presos</t>
  </si>
  <si>
    <t>Delitos en materia de armas y objetos prohibidos</t>
  </si>
  <si>
    <t>Delitos de delincuencia organizada</t>
  </si>
  <si>
    <t>Delitos en materia de armas, explosivos y otros materiales destructivos - Portación ilícita de armas</t>
  </si>
  <si>
    <t>Delitos en materia de armas, explosivos y otros materiales destructivos - Posesión ilícita de armas, cartuchos y cargadores</t>
  </si>
  <si>
    <t>Delitos en materia de armas, explosivos y otros materiales destructivos - Acopio ilícito de armas</t>
  </si>
  <si>
    <t>Delitos en materia de armas, explosivos y otros materiales destructivos - Tráfico ilícito de armas, explosivos y otros materiales destructivos</t>
  </si>
  <si>
    <t>Delitos en materia de armas, explosivos y otros materiales destructivos - Otros delitos en materia de armas, explosivos y otros materiales destructivos</t>
  </si>
  <si>
    <t>Delitos en materia de armas, explosivos y otros materiales destructivos - No identificado</t>
  </si>
  <si>
    <t>Asociación delictuosa</t>
  </si>
  <si>
    <t>Terrorismo</t>
  </si>
  <si>
    <t>Otros delitos contra la seguridad pública y la seguridad del Estado</t>
  </si>
  <si>
    <t>Delitos por hechos de corrupción - Ejercicio indebido del servicio público</t>
  </si>
  <si>
    <t>Delitos por hechos de corrupción - Abuso de autoridad</t>
  </si>
  <si>
    <t>Delitos por hechos de corrupción - Cohecho</t>
  </si>
  <si>
    <t>Delitos por hechos de corrupción - Peculado</t>
  </si>
  <si>
    <t>Delitos por hechos de corrupción - Enriquecimiento ilícito</t>
  </si>
  <si>
    <t>Delitos por hechos de corrupción - Ejercicio abusivo de funciones</t>
  </si>
  <si>
    <t>Delitos por hechos de corrupción - Tráfico de influencias</t>
  </si>
  <si>
    <t>Delitos por hechos de corrupción - Otros delitos por hechos de corrupción</t>
  </si>
  <si>
    <t>Delitos por hechos de corrupción - No identificado</t>
  </si>
  <si>
    <t>Delitos contra la administración de justicia - En materia de amparo</t>
  </si>
  <si>
    <t>Delitos contra la administración de justicia - Otros delitos contra la administración de justicia</t>
  </si>
  <si>
    <t>Delitos contra la administración de justicia - No identificado</t>
  </si>
  <si>
    <t>Delitos en materia fiscal</t>
  </si>
  <si>
    <t>Delitos electorales</t>
  </si>
  <si>
    <t>Otros delitos contra la administración del Estado</t>
  </si>
  <si>
    <t>Falsedad</t>
  </si>
  <si>
    <t>Falsificación</t>
  </si>
  <si>
    <t>Delitos contra el medio ambiente, el equilibrio ecológico y la gestión ambiental - Tráfico de flora o fauna silvestres en peligro de extinción, amenazadas o sujetas a protección</t>
  </si>
  <si>
    <t>Delitos contra el medio ambiente, el equilibrio ecológico y la gestión ambiental - Comercialización de flora o fauna silvestres en peligro de extinción, amenazadas o sujetas a protección</t>
  </si>
  <si>
    <t>Delitos contra el medio ambiente, el equilibrio ecológico y la gestión ambiental - Caza, pesca o tala ilegal de flora o fauna silvestres en peligro de extinción, amenazadas o sujetas a protección</t>
  </si>
  <si>
    <t>Delitos contra el medio ambiente, el equilibrio ecológico y la gestión ambiental - Transporte o manejo de residuos peligrosos</t>
  </si>
  <si>
    <t>Delitos contra el medio ambiente, el equilibrio ecológico y la gestión ambiental - Daños a los ecosistemas o sus elementos</t>
  </si>
  <si>
    <t>Delitos contra el medio ambiente, el equilibrio ecológico y la gestión ambiental - Otros delitos contra el medio ambiente, el equilibrio ecológico y la gestión ambiental</t>
  </si>
  <si>
    <t>Delitos contra el medio ambiente, el equilibrio ecológico y la gestión ambiental - No identificado</t>
  </si>
  <si>
    <t>Delitos en materia de vías de comunicación y correspondencia</t>
  </si>
  <si>
    <t>Delitos en materia de migración - Tráfico de indocumentados</t>
  </si>
  <si>
    <t>Delitos en materia de migración - Otros delitos en materia de migración</t>
  </si>
  <si>
    <t>Delitos en materia de migración - No identificado</t>
  </si>
  <si>
    <t>Delitos en materia de derechos de autor</t>
  </si>
  <si>
    <t>Delitos en materia de instituciones de crédito, inversión, fianzas y seguros</t>
  </si>
  <si>
    <t>Delitos en materia de propiedad industrial</t>
  </si>
  <si>
    <t>Delitos contra la salud no relacionados con narcóticos</t>
  </si>
  <si>
    <t>Encubrimiento</t>
  </si>
  <si>
    <t>Operaciones con recursos de procedencia ilícita</t>
  </si>
  <si>
    <t>Tortura</t>
  </si>
  <si>
    <t>Suplantación y usurpación de identidad</t>
  </si>
  <si>
    <t>Delitos contra la seguridad de los datos y/o sistemas o equipos informáticos - Acceso ilícito a sistemas o equipos informáticos</t>
  </si>
  <si>
    <t>Delitos contra la seguridad de los datos y/o sistemas o equipos informáticos - Daños a datos informáticos</t>
  </si>
  <si>
    <t>Delitos contra la seguridad de los datos y/o sistemas o equipos informáticos - Interferir en el buen funcionamiento de sistemas o equipos informáticos</t>
  </si>
  <si>
    <t>Delitos contra la seguridad de los datos y/o sistemas o equipos informáticos - Otros delitos contra la seguridad de los datos y/o sistemas o equipos informáticos</t>
  </si>
  <si>
    <t>Delitos contra la seguridad de los datos y/o sistemas o equipos informáticos - No identificado</t>
  </si>
  <si>
    <t>Tratos o penas crueles, inhumanos o degradantes</t>
  </si>
  <si>
    <t>Otros delitos</t>
  </si>
  <si>
    <t>No identificado</t>
  </si>
  <si>
    <t>Robo a persona en un lugar privado</t>
  </si>
  <si>
    <t>Robo a transportista</t>
  </si>
  <si>
    <t>Robo en transporte público individual</t>
  </si>
  <si>
    <t>Robo en transporte público colectivo</t>
  </si>
  <si>
    <t>Robo a institución bancaria</t>
  </si>
  <si>
    <t>Robo a negocio</t>
  </si>
  <si>
    <t>Robo de ganado</t>
  </si>
  <si>
    <t>Robo de maquinaria</t>
  </si>
  <si>
    <t>Otros robos</t>
  </si>
  <si>
    <t>Extorsión</t>
  </si>
  <si>
    <t>Narcomenudeo</t>
  </si>
  <si>
    <t>No especificado</t>
  </si>
  <si>
    <t>Otros delitos contra el patrimonio</t>
  </si>
  <si>
    <t>Otros delitos del Fuero Común</t>
  </si>
  <si>
    <t>Otros delitos que atentan contra la libertad y seguridad sexual</t>
  </si>
  <si>
    <t>Robo a casa habitación</t>
  </si>
  <si>
    <t>Robo a transeúnte en espacio abierto al público</t>
  </si>
  <si>
    <t>Robo a transeúnte en vía pública</t>
  </si>
  <si>
    <t>Robo de vehículo</t>
  </si>
  <si>
    <t>Robo en transporte individual</t>
  </si>
  <si>
    <t>Secuestro</t>
  </si>
  <si>
    <t>Secuestro express</t>
  </si>
  <si>
    <t>Trata de personas</t>
  </si>
  <si>
    <t>Violación equiparada</t>
  </si>
  <si>
    <t>Violación simple</t>
  </si>
  <si>
    <t>Corrupción de menores</t>
  </si>
  <si>
    <t>No especificado delito del fuero común</t>
  </si>
  <si>
    <t>Conductas antisociales del Fuero Federal</t>
  </si>
  <si>
    <t>Robo de autopartes</t>
  </si>
  <si>
    <t>Secuestro exprés</t>
  </si>
  <si>
    <t>Contra el medio ambiente y equilibrio ecológico</t>
  </si>
  <si>
    <t>Otros delitos del fuero común</t>
  </si>
  <si>
    <t>Secuestro - No especificado</t>
  </si>
  <si>
    <t>Violación - No especificado</t>
  </si>
  <si>
    <t>Robo - No especificado</t>
  </si>
  <si>
    <t>Delitos en materia de hidrocarburos y sus derivados - No especificado</t>
  </si>
  <si>
    <t>Extorsión - No especificado</t>
  </si>
  <si>
    <t>Delitos contra el libre desarrollo de la personalidad - No especificado</t>
  </si>
  <si>
    <t>Trata de personas - No especificado</t>
  </si>
  <si>
    <t>Delitos contra la salud relacionados con narcóticos en su modalidad de narcomenudeo - No especificado</t>
  </si>
  <si>
    <t>Delitos federales contra la salud relacionados con narcóticos - No especificado</t>
  </si>
  <si>
    <t>Delitos en materia de armas, explosivos y otros materiales destructivos - No especificado</t>
  </si>
  <si>
    <t>Delitos por hechos de corrupción - No especificado</t>
  </si>
  <si>
    <t>Delitos contra la administración de justicia - No especificado</t>
  </si>
  <si>
    <t>Delitos contra el medio ambiente, el equilibrio ecológico y la gestión ambiental - No especificado</t>
  </si>
  <si>
    <t>Delitos en materia de migración - No especificado</t>
  </si>
  <si>
    <t>Delitos contra la seguridad de los datos y/o sistemas o equipos informáticos - No especificado</t>
  </si>
  <si>
    <t>Daño en la propiedad</t>
  </si>
  <si>
    <t>Homicidio culposo</t>
  </si>
  <si>
    <t>Homicidio doloso</t>
  </si>
  <si>
    <t>Lesiones culposas</t>
  </si>
  <si>
    <t>Lesiones dolosas</t>
  </si>
  <si>
    <t xml:space="preserve">Otros delitos contra la libertad </t>
  </si>
  <si>
    <t>Otros delitos que atenten contra el patrimonio</t>
  </si>
  <si>
    <t>Otros delitos sexuales</t>
  </si>
  <si>
    <t>Robo a instituciones bancarias</t>
  </si>
  <si>
    <t>Robo a transeúnte</t>
  </si>
  <si>
    <t>Robo en carretera</t>
  </si>
  <si>
    <t>Violación equiparada por introducir cualquier elemento, instrumento o cualquier parte del cuerpo humano, distinto al pene</t>
  </si>
  <si>
    <t>Violación equiparada en contra de menores e incapaces</t>
  </si>
  <si>
    <t>Otro tipo de violación</t>
  </si>
  <si>
    <t>Robo simple</t>
  </si>
  <si>
    <t>Robo de energía eléctrica</t>
  </si>
  <si>
    <t>Sustracción de hidrocarburos y sus derivados</t>
  </si>
  <si>
    <t>Posesión ilícita de hidrocarburos y sus derivados</t>
  </si>
  <si>
    <t>Otros delitos en materia de hidrocarburos y sus derivados</t>
  </si>
  <si>
    <t>Extorsión cometida por vía telefónica o cualquier otro medio electrónico o de comunicación</t>
  </si>
  <si>
    <t>Otro tipo de extorsión</t>
  </si>
  <si>
    <t>Corrupción de menores e incapaces</t>
  </si>
  <si>
    <t>Prostitución de menores e incapaces</t>
  </si>
  <si>
    <t>Pornografía infantil</t>
  </si>
  <si>
    <t>Turismo sexual</t>
  </si>
  <si>
    <t>Pederastia</t>
  </si>
  <si>
    <t>Otros delitos contra el libre desarrollo de la personalidad</t>
  </si>
  <si>
    <t>Trata de personas con fines de explotación sexual</t>
  </si>
  <si>
    <t>Trata de personas con fines de trabajo o servicios forzados</t>
  </si>
  <si>
    <t>Trata de personas con fines de tráfico de órganos</t>
  </si>
  <si>
    <t>Trata de personas con otros fines</t>
  </si>
  <si>
    <t>Delitos contra la salud relacionados con narcóticos en su modalidad de narcomenudeo - Posesión con fines de comercio o suminist</t>
  </si>
  <si>
    <t>Delitos contra la salud relacionados con narcóticos en su modalidad de narcomenudeo - Otros</t>
  </si>
  <si>
    <t>Delitos federales contra la salud relacionados con narcóticos - Otros</t>
  </si>
  <si>
    <t>Portación ilícita de armas</t>
  </si>
  <si>
    <t>Posesión ilícita de armas, cartuchos y cargadores</t>
  </si>
  <si>
    <t>Tráfico ilícito de armas, explosivos y otros materiales destructivos</t>
  </si>
  <si>
    <t>Otros delitos en materia de armas, explosivos y otros materiales destructivos</t>
  </si>
  <si>
    <t>Ejercicio indebido del servicio público</t>
  </si>
  <si>
    <t>Cohecho</t>
  </si>
  <si>
    <t>Peculado</t>
  </si>
  <si>
    <t>Enriquecimiento ilícito</t>
  </si>
  <si>
    <t>Ejercicio abusivo de funciones</t>
  </si>
  <si>
    <t>Tráfico de influencias</t>
  </si>
  <si>
    <t>Otros delitos por hechos de corrupción</t>
  </si>
  <si>
    <t>En materia de amparo</t>
  </si>
  <si>
    <t>Otros delitos contra la administración de justicia</t>
  </si>
  <si>
    <t>Tráfico de flora o fauna silvestres en peligro de extinción, amenazadas o sujetas a protección</t>
  </si>
  <si>
    <t>Comercialización de flora o fauna silvestres en peligro de extinción, amenazadas o sujetas a protección</t>
  </si>
  <si>
    <t>Caza, pesca o tala ilegal de flora o fauna silvestres en peligro de extinción, amenazadas o sujetas a protección</t>
  </si>
  <si>
    <t>Transporte o manejo de residuos peligrosos</t>
  </si>
  <si>
    <t>Daños a los ecosistemas o sus elementos</t>
  </si>
  <si>
    <t>Otros delitos contra el medio ambiente, el equilibrio ecológico y la gestión ambiental</t>
  </si>
  <si>
    <t>Tráfico de indocumentados</t>
  </si>
  <si>
    <t>Otros delitos en materia de migración</t>
  </si>
  <si>
    <t>Daños a datos informáticos</t>
  </si>
  <si>
    <t>Interferir en el buen funcionamiento de sistemas o equipos informáticos</t>
  </si>
  <si>
    <t>Otros delitos contra la seguridad de los datos y/o sistemas o equipos informáticos</t>
  </si>
  <si>
    <t>Secuestro extorsivo</t>
  </si>
  <si>
    <t>Secuestro en calidad de rehén</t>
  </si>
  <si>
    <t>Secuestro para causar daño</t>
  </si>
  <si>
    <t>Otro tipo de secuestro</t>
  </si>
  <si>
    <t>Robo</t>
  </si>
  <si>
    <t>Narcomenudeo en modalidad de posesión simple</t>
  </si>
  <si>
    <t>Narcomenudeo en modalidad de posesión con fines de venta y suministro</t>
  </si>
  <si>
    <t>Narcomenudeo en modalidad de venta o suministro</t>
  </si>
  <si>
    <t>Narcomenudeo en modalidad distinta a las anteriores</t>
  </si>
  <si>
    <t>Armas y objetos prohibidos</t>
  </si>
  <si>
    <t>Otros delitos contra la seguridad pública</t>
  </si>
  <si>
    <t>Cometidos contra servidores públicos</t>
  </si>
  <si>
    <t>Otros delitos que privan de la vida</t>
  </si>
  <si>
    <t>Otros delitos que atentan contra la integridad corporal</t>
  </si>
  <si>
    <t>Trafico de menores</t>
  </si>
  <si>
    <t>Robo de menor</t>
  </si>
  <si>
    <t>Otros delitos sexuales sin realización de cópula</t>
  </si>
  <si>
    <t>Violación</t>
  </si>
  <si>
    <t>Otros delitos sexuales con realización de cópula</t>
  </si>
  <si>
    <t>Posesión simple de narcóticos</t>
  </si>
  <si>
    <t>Posesión con fines de comercio o suministro de narcóticos</t>
  </si>
  <si>
    <t>Comercio de narcóticos</t>
  </si>
  <si>
    <t>Otros delitos contra la salud relacionados con narcóticos en su modalidad de narcomenudeo</t>
  </si>
  <si>
    <t>Transporte de narcóticos</t>
  </si>
  <si>
    <t>Posesión de narcóticos</t>
  </si>
  <si>
    <t>Otros delitos federales contra la salud relacionados con narcóticos</t>
  </si>
  <si>
    <t>Secuestro con calidad de rehén</t>
  </si>
  <si>
    <t>Secuestro para causar daños</t>
  </si>
  <si>
    <t>Otro tipo de secuestros</t>
  </si>
  <si>
    <t>Posesión simple</t>
  </si>
  <si>
    <t>Posesión  con fines de comercio o suministro</t>
  </si>
  <si>
    <t>Suministro de narcóticos</t>
  </si>
  <si>
    <t xml:space="preserve">Delitos contra la salud relacionados con narcóticos en su modalidad de narcomenudeo - Suministro de narcóticos </t>
  </si>
  <si>
    <t xml:space="preserve">Delitos contra el medio ambiente, el equilibrio ecológico y la gestión ambiental - Tráfico de flora o fauna silvestres en peligro de extinción, amenazadas o sujetas a protección </t>
  </si>
  <si>
    <t xml:space="preserve">Delitos contra el medio ambiente, el equilibrio ecológico y la gestión ambiental - Comercialización de flora o fauna silvestres en peligro de extinción, amenazadas o sujetas a protección </t>
  </si>
  <si>
    <t xml:space="preserve">Encubrimiento </t>
  </si>
  <si>
    <t xml:space="preserve">Tortura </t>
  </si>
  <si>
    <t xml:space="preserve">Otros delitos </t>
  </si>
  <si>
    <t xml:space="preserve">Delitos contra la salud relacionados con narcóticos en su modalidad de narcomenudeo - Comercio de narcóticos </t>
  </si>
  <si>
    <t>Delitos en materia de hidrocarburos y sus derivados</t>
  </si>
  <si>
    <t>Delitos contra el libre desarrollo de la personalidad</t>
  </si>
  <si>
    <t>Delitos contra la salud relacionados con narcóticos en su modalidad de narcomenudeo</t>
  </si>
  <si>
    <t>Delitos federales contra la salud relacionados con narcóticos</t>
  </si>
  <si>
    <t>Delitos en materia de armas, explosivos y otros materiales destructivos</t>
  </si>
  <si>
    <t>Delitos por hechos de corrupción</t>
  </si>
  <si>
    <t>Delitos contra la administración de justicia</t>
  </si>
  <si>
    <t>Delitos contra el medio ambiente, el equilibrio ecológico y la gestión ambiental</t>
  </si>
  <si>
    <t>Delitos en materia de migración</t>
  </si>
  <si>
    <t>Delitos contra la seguridad de los datos y/o sistemas o equipos informáticos</t>
  </si>
  <si>
    <t>Centros SI / NO</t>
  </si>
  <si>
    <t>NO</t>
  </si>
  <si>
    <t>Delitos de personas en Centros penitenciarios</t>
  </si>
  <si>
    <t>Ley de Migración</t>
  </si>
  <si>
    <t>Comercio de Narcóticos</t>
  </si>
  <si>
    <t>Cometidos contra la Administración de Justicia</t>
  </si>
  <si>
    <t>Cometidos por Servidores Públicos</t>
  </si>
  <si>
    <t>Cometidos por servidores públicos</t>
  </si>
  <si>
    <t>Contra de las Personas en su Patrimonio</t>
  </si>
  <si>
    <t>Contra el Ambiente y la Gestión Ambiental</t>
  </si>
  <si>
    <t>Contra el Derecho Internacional</t>
  </si>
  <si>
    <t>Contra el Libre Desarrollo de la Personalidad</t>
  </si>
  <si>
    <t>Contra el libre desarrollo de la personalidad - No especificado</t>
  </si>
  <si>
    <t>Contra la Autoridad</t>
  </si>
  <si>
    <t>Contra la Economía Pública</t>
  </si>
  <si>
    <t>Contra la Humanidad</t>
  </si>
  <si>
    <t>Contra la Libertad y el Normal Desarrollo Psicosexual</t>
  </si>
  <si>
    <t>Contra la Paz y Seguridad de las Personas</t>
  </si>
  <si>
    <t>Contra la Salud - No especificado</t>
  </si>
  <si>
    <t>Contra la Salud en su modalidad de Narcomenudeo</t>
  </si>
  <si>
    <t>Contra la Seguridad Pública</t>
  </si>
  <si>
    <t>Contra la Seguridad de la Nación</t>
  </si>
  <si>
    <t>Contra la Vida y la Integridad Corporal</t>
  </si>
  <si>
    <t>Código Fiscal de la Federación</t>
  </si>
  <si>
    <t>Código de Justicia Militar</t>
  </si>
  <si>
    <t>Delitos Contra la Dignidad de las Personas (Capítulo Único, Discriminación)</t>
  </si>
  <si>
    <t>Desaparición forzada</t>
  </si>
  <si>
    <t>Electorales</t>
  </si>
  <si>
    <t>Electorales y en Materia de Registro Nacional de Ciudadanos</t>
  </si>
  <si>
    <t>En Materia de Derechos de Autor</t>
  </si>
  <si>
    <t>En Materia de Inhumaciones y Exhumaciones</t>
  </si>
  <si>
    <t>En Materia de Vías de Comunicación y Correspondencia</t>
  </si>
  <si>
    <t>Encubrimiento y Operaciones con Recursos de Procedencia Ilícita</t>
  </si>
  <si>
    <t>Ley Federal contra la Delincuencia Organizada</t>
  </si>
  <si>
    <t>Ley Federal de Armas de Fuego y Explosivos</t>
  </si>
  <si>
    <t>Ley Federal del Derecho de Autor</t>
  </si>
  <si>
    <t>Ley de Vías Generales de Comunicación</t>
  </si>
  <si>
    <t>Narcomenudeo - No especificado</t>
  </si>
  <si>
    <t>Otras Modalidades distintas a las anteriores relacionadas con Narcóticos</t>
  </si>
  <si>
    <t>Otros Delitos contenidos en el Código Penal Federal</t>
  </si>
  <si>
    <t>Otros delitos cometidos contra el servicio público</t>
  </si>
  <si>
    <t>Otros delitos contra la salud</t>
  </si>
  <si>
    <t>Otros delitos previstos en la Ley General de Salud</t>
  </si>
  <si>
    <t>Posesión de Narcóticos</t>
  </si>
  <si>
    <t>Privación Ilegal de la Libertad y de otras Garantías</t>
  </si>
  <si>
    <t>Producción de Narcóticos</t>
  </si>
  <si>
    <t>Revelación de secretos y acceso ilícito a sistemas y equipos de informática</t>
  </si>
  <si>
    <t>Suministro de Narcóticos</t>
  </si>
  <si>
    <t>Transporte de Narcóticos</t>
  </si>
  <si>
    <t>Trata de personas con otros fines de explotación</t>
  </si>
  <si>
    <t>Tráfico de Narcóticos</t>
  </si>
  <si>
    <t>Caza, pesca o tala ilegal de flora o fauna silvestres</t>
  </si>
  <si>
    <t>Comercio de narcóticos 1</t>
  </si>
  <si>
    <t>Delitos cometidos por miembros de la delincuencia organizada</t>
  </si>
  <si>
    <t>Delitos contra la seguridad de los sistemas y/o equipos informáticos</t>
  </si>
  <si>
    <t>Delitos en materia de armas de fuego, explosivos y otros materiales destructivos</t>
  </si>
  <si>
    <t>Otros delitos contra el medio ambiente,  el equilibrio ecológico y la gestión ambiental</t>
  </si>
  <si>
    <t>Suministro de narcóticos 1</t>
  </si>
  <si>
    <t>Sustracción de hidrocarburos</t>
  </si>
  <si>
    <t>Tortura y otros tratos o penas crueles inhumanos o degradantes</t>
  </si>
  <si>
    <t>Trata de personas con fines de  trabajo o servicios forzados</t>
  </si>
  <si>
    <t>Tráfico de influencia</t>
  </si>
  <si>
    <t>Legislación de Instituciones de Crédito, Inversión, Fianzas y Seguros</t>
  </si>
  <si>
    <t>Ley Federal sobre Monumentos y Zonas Arqueológicos, Artísticos e Históricos</t>
  </si>
  <si>
    <t>Ley sobre Delitos de Imprenta</t>
  </si>
  <si>
    <t>Otros delitos que atentan contra la libertad personal sin fines de lucro</t>
  </si>
  <si>
    <t>Otros delitos que atentan contra la libertad personal con fines de lucro</t>
  </si>
  <si>
    <t>Robo en transporte publico individual</t>
  </si>
  <si>
    <t>Robo en transporte publico colectivo</t>
  </si>
  <si>
    <t>Incumplimiento de obligaciones de asistencia familiar</t>
  </si>
  <si>
    <t>Corrupción de menores incapaces</t>
  </si>
  <si>
    <t>Violencia de genero en todas sus modalidades</t>
  </si>
  <si>
    <t>Responsabilidad de servidores públicos</t>
  </si>
  <si>
    <t>Delitos contra la Seguridad de la Nación</t>
  </si>
  <si>
    <t>Delitos Contra el Derecho Internacional</t>
  </si>
  <si>
    <t>Delitos Contra la Seguridad Pública</t>
  </si>
  <si>
    <t>Delitos Contra la Autoridad</t>
  </si>
  <si>
    <t>Delitos Contra la Salud</t>
  </si>
  <si>
    <t>Delitos Contra el libre desarrollo de la personalidad</t>
  </si>
  <si>
    <t>Delitos Cometidos por Servidores Públicos</t>
  </si>
  <si>
    <t>Delitos Cometidos contra la administración de justicia</t>
  </si>
  <si>
    <t>Responsabilidad Profesional</t>
  </si>
  <si>
    <t>Delitos Contra la Economía Pública</t>
  </si>
  <si>
    <t>Delitos Contra la Libertad y el Normal Desarrollo Psicosexual</t>
  </si>
  <si>
    <t>Delitos en Materia de Inhumaciones y Exhumaciones</t>
  </si>
  <si>
    <t>Delitos Contra la Paz y Seguridad de las Personas</t>
  </si>
  <si>
    <t>Delitos Contra la Vida y la Integridad Corporal</t>
  </si>
  <si>
    <t>Delitos Contra el Honor</t>
  </si>
  <si>
    <t>Delitos en Contra de las Personas en su Patrimonio</t>
  </si>
  <si>
    <t>Delitos Electorales y en Materia de Registro Nacional de Ciudadanos</t>
  </si>
  <si>
    <t>Delitos Contra el Ambiente y la Gestión Ambiental</t>
  </si>
  <si>
    <t>De los Delitos en Materia de Derechos de Autor</t>
  </si>
  <si>
    <t>Delitos Previstos en el Código Fiscal de la Federación</t>
  </si>
  <si>
    <t>Delitos Previstos en la Ley General de Población</t>
  </si>
  <si>
    <t>Delitos Previstos en la Ley de Migración</t>
  </si>
  <si>
    <t>Delitos Previstos en la Ley Federal de Armas de Fuego y Explosivos</t>
  </si>
  <si>
    <t>Delitos Previstos en la Ley de Concursos Mercantiles</t>
  </si>
  <si>
    <t>Delitos Previstos en la Ley Federal Contra la Delincuencia Organizada</t>
  </si>
  <si>
    <t>Delitos Previstos en las Leyes en materia de delitos bancarios y financieros</t>
  </si>
  <si>
    <t>Delitos Previstos en las Leyes en materia de invenciones y marcas</t>
  </si>
  <si>
    <t>Delitos Previstos en las Leyes en materia de propiedad intelectual</t>
  </si>
  <si>
    <t>Delitos Previstos en la Ley Federal sobre Monumentos y Zonas Arqueológicos, Artísticos e Históricos</t>
  </si>
  <si>
    <t>Delitos Previstos en la Ley sobre Delitos de Imprenta</t>
  </si>
  <si>
    <t>Delitos Contra la Humanidad</t>
  </si>
  <si>
    <t>Delitos Contra el Estado Civil y Bigamia</t>
  </si>
  <si>
    <t>Otros delitos que atenten contra la Seguridad Pública</t>
  </si>
  <si>
    <t>Ataque a las vías de comunicación</t>
  </si>
  <si>
    <t>Falsedad de declaraciones</t>
  </si>
  <si>
    <t>Falsificación de documentos</t>
  </si>
  <si>
    <t>Otros delitos de falsedad</t>
  </si>
  <si>
    <t>Delitos ambientales (Previstos en el Código Penal Federal y en la Ley General del Equilibrio Ecológico y la Protección al Ambie</t>
  </si>
  <si>
    <t>Delitos electorales (Previstos en el Código Penal Federal y en el Código Federal de Instituciones y Procedimientos Electorales</t>
  </si>
  <si>
    <t>Delitos contra la salud en todas sus modalidades (Previstos en el Código Penal Federal y en la Ley General de Salud)</t>
  </si>
  <si>
    <t>Delitos previstos en la Ley Federal del Derecho de Autor</t>
  </si>
  <si>
    <t>Otros delitos contra la libertad personal</t>
  </si>
  <si>
    <t>Otros delitos que atentan contra la seguridad pública</t>
  </si>
  <si>
    <t>Ataque a  las vías de comunicación</t>
  </si>
  <si>
    <t>Delitos ambientales</t>
  </si>
  <si>
    <t>Delitos en contra de la salud en todas sus modalidades</t>
  </si>
  <si>
    <t>Delitos previstos  en la Ley Federal de Armas de Fuego y Explosivos</t>
  </si>
  <si>
    <t>Delitos de población señalada</t>
  </si>
  <si>
    <t>Contra el servicio público - No especificado</t>
  </si>
  <si>
    <t>Robo a transeúnte en un lugar privado</t>
  </si>
  <si>
    <t>Violencia de género en todas sus modalidades</t>
  </si>
  <si>
    <t>Incidentes ocurridos en Centros de tratamiento o internamiento para adolescentes</t>
  </si>
  <si>
    <t>Fuga  o evasión  de personas adolescentes  internadas</t>
  </si>
  <si>
    <t>Intento de fuga  o evasión  de personas  adolescentes internadas</t>
  </si>
  <si>
    <t>Motines</t>
  </si>
  <si>
    <t>Riñas</t>
  </si>
  <si>
    <t>Manifestación de  inconformidades (huelga de hambre,  quema de ropa o  colchones, etc.)</t>
  </si>
  <si>
    <t>Daños a la  infraestructura  penitenciaria</t>
  </si>
  <si>
    <t>Otro</t>
  </si>
  <si>
    <t>Mujeres en Centros de tratamiento o internamiento para adolescentes</t>
  </si>
  <si>
    <t>Embarazadas y/o en periodo de lactancia</t>
  </si>
  <si>
    <t>Embarazadas</t>
  </si>
  <si>
    <t>En periodo  de lactancia</t>
  </si>
  <si>
    <t>Embarazadas  y en periodo  de lactancia</t>
  </si>
  <si>
    <t>Con hijas  y/o hijos  de 0 a 5 años</t>
  </si>
  <si>
    <t>Mujeres en Centros penitenciarios</t>
  </si>
  <si>
    <t>Nacionalidad</t>
  </si>
  <si>
    <t>Mexicana</t>
  </si>
  <si>
    <t>Estadounidense</t>
  </si>
  <si>
    <t>Canadiense</t>
  </si>
  <si>
    <t>Beliceña</t>
  </si>
  <si>
    <t>Costarricense</t>
  </si>
  <si>
    <t>Guatemalteca</t>
  </si>
  <si>
    <t>Hondureña</t>
  </si>
  <si>
    <t>Nicaragüense</t>
  </si>
  <si>
    <t>Panameña</t>
  </si>
  <si>
    <t>Salvadoreña</t>
  </si>
  <si>
    <t>Argentina</t>
  </si>
  <si>
    <t>Brasileña</t>
  </si>
  <si>
    <t>Colombiana</t>
  </si>
  <si>
    <t>Otras nacionalidades de Sudamérica</t>
  </si>
  <si>
    <t>De algún país del Caribe*</t>
  </si>
  <si>
    <t>De algún país Europeo</t>
  </si>
  <si>
    <t>De algún país Asiático</t>
  </si>
  <si>
    <t>De algún país Africano</t>
  </si>
  <si>
    <t>De algún país de Oceanía</t>
  </si>
  <si>
    <t>Otras nacionalidades sudamericanas</t>
  </si>
  <si>
    <t>De algún país caribeño*</t>
  </si>
  <si>
    <t>De algún país de oceánico</t>
  </si>
  <si>
    <t>Nivel de escolaridad</t>
  </si>
  <si>
    <t>Ninguno</t>
  </si>
  <si>
    <t>Preescolar o primaria</t>
  </si>
  <si>
    <t>Secundaria</t>
  </si>
  <si>
    <t>Preparatoria</t>
  </si>
  <si>
    <t>Carrera técnica o carrera comercial</t>
  </si>
  <si>
    <t>Licenciatura</t>
  </si>
  <si>
    <t>Maestría</t>
  </si>
  <si>
    <t>Doctorado</t>
  </si>
  <si>
    <t>Largo</t>
  </si>
  <si>
    <t>CENTRO PENITENCIARIO ESTATAL AGUASCALIENTES</t>
  </si>
  <si>
    <t>CENTRO PENITENCIARIO ESTATAL EL LLANO</t>
  </si>
  <si>
    <t>CENTRO PENITENCIARIO ESTATAL DE MUJERES</t>
  </si>
  <si>
    <t>CENTRO ESTATAL PARA EL DESARROLLO DEL ADOLESCENTE</t>
  </si>
  <si>
    <t>Centros</t>
  </si>
  <si>
    <t>Estados</t>
  </si>
  <si>
    <t>Estados Unidos Mexicanos</t>
  </si>
  <si>
    <t>Centros penitenciarios federales</t>
  </si>
  <si>
    <t>CENTRO FEDERAL DE READAPTACION SOCIAL NUMERO 1 ALTIPLANO</t>
  </si>
  <si>
    <t>CENTRO FEDERAL DE READAPTACION SOCIAL NUMERO 4 NOROESTE</t>
  </si>
  <si>
    <t>CENTRO FEDERAL DE READAPTACION SOCIAL NUMERO 5 ORIENTE</t>
  </si>
  <si>
    <t>CENTRO FEDERAL DE READAPTACION SOCIAL NUMERO 7 NOR-NOROESTE</t>
  </si>
  <si>
    <t>CENTRO FEDERAL DE READAPTACION SOCIAL NUMERO 8 NOR-PONIENTE</t>
  </si>
  <si>
    <t>CENTRO PENITENCIARIO FEDERAL NUMERO 10 NOR-NORESTE2</t>
  </si>
  <si>
    <t>CENTRO FEDERAL DE READAPTACION SOCIAL NUMERO 11 CPS SONORA</t>
  </si>
  <si>
    <t>CENTRO FEDERAL DE READAPTACION SOCIAL NUMERO 12 CPS GUANAJUATO</t>
  </si>
  <si>
    <t>CENTRO FEDERAL DE READAPTACION SOCIAL NUMERO 13 CPS OAXACA</t>
  </si>
  <si>
    <t>CENTRO FEDERAL DE READAPTACION SOCIAL NUMERO 14 CPS DURANGO</t>
  </si>
  <si>
    <t>CENTRO FEDERAL DE READAPTACION SOCIAL NUMERO 15 CPS CHIAPAS</t>
  </si>
  <si>
    <t>CENTRO FEDERAL DE READAPTACION SOCIAL NUMERO 16 CPS FEMENIL MORELOS</t>
  </si>
  <si>
    <t>CENTRO FEDERAL DE READAPTACION SOCIAL NUMERO 17 CPS MICHOACAN</t>
  </si>
  <si>
    <t>CENTRO PENITENCIARIO FEDERAL NUMERO 18 CPS COAHUILA</t>
  </si>
  <si>
    <t>CENTRO FEDERAL DE REHABILITACION PSICOSOCIAL</t>
  </si>
  <si>
    <t>Aguascalientes</t>
  </si>
  <si>
    <t>Baja California</t>
  </si>
  <si>
    <t>CERESO MEXICALI</t>
  </si>
  <si>
    <t>CERESO TIJUANA</t>
  </si>
  <si>
    <t>CERESO ENSENADA</t>
  </si>
  <si>
    <t>CERESO EL HONGO</t>
  </si>
  <si>
    <t>CERESO EL HONGO II</t>
  </si>
  <si>
    <t>CIA MEXICALI</t>
  </si>
  <si>
    <t>CIA TIJUANA</t>
  </si>
  <si>
    <t>CIA ENSENADA</t>
  </si>
  <si>
    <t>Baja California Sur</t>
  </si>
  <si>
    <t>CENTRO PENITENCIARIO LA PAZ</t>
  </si>
  <si>
    <t>CENTRO PENITENCIARIO SAN JOSE DEL CABO</t>
  </si>
  <si>
    <t>CENTRO PENITENCIARIO CIUDAD CONSTITUCION</t>
  </si>
  <si>
    <t>CENTRO PENITENCIARIO SANTA ROSALIA</t>
  </si>
  <si>
    <t>CENTRO DE INTERNAMIENTO ESPECIALIZADO PARA ADOLESCENTES</t>
  </si>
  <si>
    <t>Campeche</t>
  </si>
  <si>
    <t>CENTRO PENITENCIARIO SAN FRANCISCO KOBEN</t>
  </si>
  <si>
    <t>CENTRO PENITENCIARIO CARMEN</t>
  </si>
  <si>
    <t>CENTRO DE INTERNAMIENTO PARA ADOLESCENTES</t>
  </si>
  <si>
    <t>Coahuila de Zaragoza</t>
  </si>
  <si>
    <t>CENTRO PENITENCIARIO FEMENIL PIEDRAS NEGRAS</t>
  </si>
  <si>
    <t>CENTRO PENITENCIARIO PIEDRAS NEGRAS</t>
  </si>
  <si>
    <t>CENTRO PENITENCIARIO FEMENIL SALTILLO</t>
  </si>
  <si>
    <t>CENTRO PENITENCIARIO VARONIL SALTILLO</t>
  </si>
  <si>
    <t>CENTRO PENITENCIARIO TORREON</t>
  </si>
  <si>
    <t>CENTRO PENITENCIARIO FEMENIL DE LA CIUDAD DE SAN PEDRO</t>
  </si>
  <si>
    <t>CENTRO DE INTERNAMIENTO ESPECIALIZADO PARA ADOLESCENTES VARONIL SALTILLO</t>
  </si>
  <si>
    <t>CENTRO DE INTERNAMIENTO ESPECIALIZADO PARA ADOLESCENTES FEMENIL SALTILLO</t>
  </si>
  <si>
    <t>Colima</t>
  </si>
  <si>
    <t>RECLUSORIO PREVENTIVO DEL ESTADO EN TECOMAN</t>
  </si>
  <si>
    <t>CENTRO DE REINSERCION SOCIAL DE MANZANILLO</t>
  </si>
  <si>
    <t>CENTRO FEMENIL DE REINSERCION SOCIAL DEL ESTADO DE COLIMA</t>
  </si>
  <si>
    <t>CENTRO DE REINSERCION SOCIAL DE COLIMA</t>
  </si>
  <si>
    <t>INSTITUTO ESPECIALIZADO EN LA EJECUCION DE MEDIDAS PARA ADOLESCENTES</t>
  </si>
  <si>
    <t>Chiapas</t>
  </si>
  <si>
    <t>CENTRO ESTATAL PREVENTIVO NUMERO 1 EL CANELO CHIAPA DE CORZO</t>
  </si>
  <si>
    <t>CENTRO ESTATAL DE REINSERCION SOCIAL DE SENTENCIADOS NUMERO 3 TAPACHULA</t>
  </si>
  <si>
    <t>CENTRO ESTATAL DE REINSERCION SOCIAL DE SENTENCIADOS NUMERO 4 TAPACHULA</t>
  </si>
  <si>
    <t>CENTRO ESTATAL DE REINSERCION SOCIAL DE SENTENCIADOS NUMERO 5 SAN CRISTOBAL DE LAS CASAS</t>
  </si>
  <si>
    <t>CENTRO ESTATAL DE REINSERCION SOCIAL DE SENTENCIADOS NUMERO 7 HUIXTLA</t>
  </si>
  <si>
    <t>CENTRO ESTATAL DE REINSERCION SOCIAL DE SENTENCIADOS NUMERO 8 VILLAFLORES</t>
  </si>
  <si>
    <t>CENTRO ESTATAL DE REINSERCION SOCIAL DE SENTENCIADOS NUMERO 10 COMITAN DE DOMINGUEZ</t>
  </si>
  <si>
    <t>CENTRO ESTATAL DE REINSERCION SOCIAL DE SENTENCIADOS NUMERO 11 PICHUCALCO</t>
  </si>
  <si>
    <t>CENTRO ESTATAL DE REINSERCION SOCIAL DE SENTENCIADOS NUMERO 12 YAJALON</t>
  </si>
  <si>
    <t>CENTRO ESTATAL DE REINSERCION SOCIAL DE SENTENCIADOS NUMERO 13 TONALA</t>
  </si>
  <si>
    <t>CENTRO ESTATAL DE REINSERCION SOCIAL DE SENTENCIADOS NUMERO 14 EL AMATE CINTALAPA</t>
  </si>
  <si>
    <t>CENTRO ESTATAL DE REINSERCION SOCIAL DE SENTENCIADOS NUMERO 15 COPAINALA</t>
  </si>
  <si>
    <t>CENTRO ESTATAL DE REINSERCION SOCIAL DE SENTENCIADOS NUMERO 16 EL ENCINO OCOSINGO</t>
  </si>
  <si>
    <t>CENTRO ESTATAL DE REINSERCION SOCIAL DE SENTENCIADOS NUMERO 17 EL BAMBU CATAZAJA</t>
  </si>
  <si>
    <t>CENTRO DE INTERNAMIENTO ESPECIALIZADO PARA ADOLESCENTES VILLA CRISOL</t>
  </si>
  <si>
    <t>CENTRO DE INTERNAMIENTO ESPECIALIZADO PARA ADOLESCENTES ZONA COSTA</t>
  </si>
  <si>
    <t>Chihuahua</t>
  </si>
  <si>
    <t>CENTRO DE REINSERCION SOCIAL ESTATAL NO 1</t>
  </si>
  <si>
    <t>CENTRO DE REINSERCION SOCIAL ESTATAL NO 2</t>
  </si>
  <si>
    <t>CENTRO DE REINSERCION SOCIAL ESTATAL NO 3</t>
  </si>
  <si>
    <t>CENTRO DE REINSERCION SOCIAL ESTATAL NO 4</t>
  </si>
  <si>
    <t>CENTRO DE REINSERCION SOCIAL ESTATAL NO 5</t>
  </si>
  <si>
    <t>CENTRO DE REINSERCION SOCIAL ESTATAL NO 7</t>
  </si>
  <si>
    <t>CENTRO DE REINSERCION SOCIAL ESTATAL NO 8</t>
  </si>
  <si>
    <t>CENTRO DE REINSERCION SOCIAL ESTATAL FEMENIL NO 1</t>
  </si>
  <si>
    <t>CENTRO DE REINSERCION SOCIAL ESTATAL FEMENIL NO 2</t>
  </si>
  <si>
    <t>CENTRO ESPECIALIZADO EN REINSERCION SOCIAL PARA ADOLESCENTES INFRACTORES NO 1</t>
  </si>
  <si>
    <t>CENTRO ESPECIALIZADO EN REINSERCION SOCIAL PARA ADOLESCENTES INFRACTORES NO 3</t>
  </si>
  <si>
    <t>Ciudad de México</t>
  </si>
  <si>
    <t>RECLUSORIO PREVENTIVO VARONIL NORTE</t>
  </si>
  <si>
    <t>RECLUSORIO PREVENTIVO VARONIL ORIENTE</t>
  </si>
  <si>
    <t>RECLUSORIO PREVENTIVO VARONIL SUR</t>
  </si>
  <si>
    <t>PENITENCIARIA DE LA CIUDAD DE MEXICO</t>
  </si>
  <si>
    <t>CENTRO VARONIL DE REINSERCION SOCIAL SANTA MARTHA ACATITLA</t>
  </si>
  <si>
    <t>CENTRO VARONIL DE REHABILITACION PSICOSOCIAL DE LA CIUDAD DE MEXICO</t>
  </si>
  <si>
    <t>CENTRO FEMENIL DE REINSERCION SOCIAL SANTA MARTHA ACATITLA</t>
  </si>
  <si>
    <t>CENTRO FEMENIL DE REINSERCION SOCIAL DE LA CIUDAD DE MEXICO</t>
  </si>
  <si>
    <t>CENTRO DE EJECUCION DE SANCIONES PENALES VARONIL NORTE</t>
  </si>
  <si>
    <t>CENTRO DE EJECUCION DE SANCIONES PENALES VARONIL ORIENTE</t>
  </si>
  <si>
    <t>CENTRO VARONIL DE SEGURIDAD PENITENCIARIA I</t>
  </si>
  <si>
    <t>CENTRO VARONIL DE SEGURIDAD PENITENCIARIA II</t>
  </si>
  <si>
    <t>INSTITUCION ABIERTA CASA DE MEDIO CAMINO</t>
  </si>
  <si>
    <t>CENTRO ESPECIALIZADO PARA MUJERES ADOLESCENTES</t>
  </si>
  <si>
    <t>CENTRO ESPECIALIZADO PARA ADOLESCENTES SAN FERNANDO</t>
  </si>
  <si>
    <t>CENTRO ESPECIALIZADO DE INTERNAMIENTO PREVENTIVO PARA ADOLESCENTES</t>
  </si>
  <si>
    <t>CENTRO ESPECIALIZADO PARA ADOLESCENTES DOCTOR ALFONSO QUIROZ CUARON</t>
  </si>
  <si>
    <t>Durango</t>
  </si>
  <si>
    <t>CENTRO DE REINSERCION SOCIAL NUMERO 1 DURANGO</t>
  </si>
  <si>
    <t>CENTRO DISTRITAL DE REINSERCION SOCIAL NUMERO 1 EL SALTO PUEBLO NUEVO</t>
  </si>
  <si>
    <t>CENTRO DISTRITAL DE REINSERCION SOCIAL NUMERO 2 SANTIAGO PAPASQUIARO</t>
  </si>
  <si>
    <t>CENTRO ESPECIALIZADO DE REINTEGRACION Y TRATAMIENTO PARA MENORES INFRACTORES NUMERO 1 DURANGO</t>
  </si>
  <si>
    <t>CENTRO ESPECIALIZADO DE REINTEGRACION Y TRATAMIENTO PARA MENORES INFRACTORES NUMERO 2 GOMEZ PALACIO</t>
  </si>
  <si>
    <t>Guanajuato</t>
  </si>
  <si>
    <t>CENTRO ESTATAL DE PREVENCION Y REINSERCION SOCIAL DE ACAMBARO</t>
  </si>
  <si>
    <t>CENTRO ESTATAL DE PREVENCION SOCIAL DE CELAYA</t>
  </si>
  <si>
    <t>CENTRO ESTATAL DE PREVENCION Y REINSERCION SOCIAL DE GUANAJUATO</t>
  </si>
  <si>
    <t>CENTRO ESTATAL DE PREVENCION SOCIAL DE IRAPUATO</t>
  </si>
  <si>
    <t>CENTRO ESTATAL DE PREVENCION Y REINSERCION SOCIAL DE LEON</t>
  </si>
  <si>
    <t>CENTRO ESTATAL DE PREVENCION DE REINSERCION SOCIAL DE PENJAMO</t>
  </si>
  <si>
    <t>CENTRO ESTATAL DE PREVENCION Y DE REINSERCION SOCIAL SALAMANCA</t>
  </si>
  <si>
    <t>CENTRO ESTATAL DE PREVENCION Y DE REINSERCION SAN FELIPE</t>
  </si>
  <si>
    <t>CENTRO ESTATAL DE PREVENCION Y DE REINSERCION SOCIAL DE SAN MIGUEL DE ALLENDE</t>
  </si>
  <si>
    <t>CENTRO ESTATAL DE PREVENCION Y REINSERCION SOCIAL VARONIL VALLE DE SANTIAGO</t>
  </si>
  <si>
    <t>CENTRO ESTATAL DE PREVENCION Y REINSERCION SOCIAL FEMENIL VALLE DE SANTIAGO</t>
  </si>
  <si>
    <t>CENTRO DE INTERNAMIENTO PARA ADOLESCENTES DE GUANAJUATO</t>
  </si>
  <si>
    <t>Guerrero</t>
  </si>
  <si>
    <t>CERESO ACAPULCO</t>
  </si>
  <si>
    <t>CERESO CHILPANCINGO</t>
  </si>
  <si>
    <t>CERESO IGUALA</t>
  </si>
  <si>
    <t>CERESO TLAPA</t>
  </si>
  <si>
    <t>CERESO LA UNION</t>
  </si>
  <si>
    <t>CERESO AYUTLA</t>
  </si>
  <si>
    <t>CERESO COYUCA DE CATALAN</t>
  </si>
  <si>
    <t>CERESO CHILAPA</t>
  </si>
  <si>
    <t>CERESO OMETEPEC</t>
  </si>
  <si>
    <t>CERESO TAXCO</t>
  </si>
  <si>
    <t>CERESO TECPAN</t>
  </si>
  <si>
    <t>CERESO ZIHUATANEJO</t>
  </si>
  <si>
    <t>CENTRO DE EJECUCION DE MEDIDAS PARA ADOLESCENTES</t>
  </si>
  <si>
    <t>Hidalgo</t>
  </si>
  <si>
    <t>CENTRO DE REINSERCION SOCIAL ACTOPAN</t>
  </si>
  <si>
    <t>CENTRO DE REINSERCION SOCIAL APAN</t>
  </si>
  <si>
    <t>CENTRO DE REINSERCION SOCIAL HUASTECA</t>
  </si>
  <si>
    <t>CENTRO DE REINSERCION SOCIAL HUICHAPAN</t>
  </si>
  <si>
    <t>CENTRO DE REINSERCION SOCIAL IXMIQUILPAN</t>
  </si>
  <si>
    <t>CENTRO DE REINSERCION SOCIAL JACALA</t>
  </si>
  <si>
    <t>CENTRO DE REINSERCION SOCIAL MIXQUIAHUALA</t>
  </si>
  <si>
    <t>CENTRO DE REINSERCION SOCIAL MOLANGO</t>
  </si>
  <si>
    <t>CENTRO DE REINSERCION SOCIAL PACHUCA</t>
  </si>
  <si>
    <t>CENTRO DE REINSERCION SOCIAL TENANGO</t>
  </si>
  <si>
    <t>CENTRO DE REINSERCION SOCIAL TULA</t>
  </si>
  <si>
    <t>CENTRO DE REINSERCION SOCIAL TULANCINGO</t>
  </si>
  <si>
    <t>CENTRO DE INTERNAMIENTO PARA ADOLESCENTES DEL ESTADO DE HIDALGO</t>
  </si>
  <si>
    <t>Jalisco</t>
  </si>
  <si>
    <t>COMISARIA DE PRISION PREVENTIVA</t>
  </si>
  <si>
    <t>COMISARIA DE SENTENCIADOS</t>
  </si>
  <si>
    <t>COMISARIA DEL RECLUSORIO FEMENIL</t>
  </si>
  <si>
    <t>COMISARIA DEL RECLUSORIO METROPOLITANO</t>
  </si>
  <si>
    <t>RECLUSORIO PUERTO VALLARTA</t>
  </si>
  <si>
    <t>RECLUSORIO CIUDAD GUZMAN</t>
  </si>
  <si>
    <t>CENTRO INTEGRAL DE JUSTICIA REGIONAL TEPATITLAN</t>
  </si>
  <si>
    <t>CENTRO INTEGRAL DE JUSTICIA REGIONAL TEQUILA</t>
  </si>
  <si>
    <t>CENTRO INTEGRAL DE JUSTICIA REGIONAL AMECA</t>
  </si>
  <si>
    <t>CENTRO INTEGRAL DE JUSTICIA REGIONAL LAGOS DE MORENO</t>
  </si>
  <si>
    <t>CENTRO INTEGRAL DE JUSTICIA REGIONAL CHAPALA</t>
  </si>
  <si>
    <t>CENTRO INTEGRAL DE JUSTICIA REGIONAL AUTLAN</t>
  </si>
  <si>
    <t>CENTRO DE OBSERVACION CLASIFICACION Y DIAGNOSTICO</t>
  </si>
  <si>
    <t>CENTRO DE ATENCION INTEGRAL JUVENIL DEL ESTADO</t>
  </si>
  <si>
    <t>México</t>
  </si>
  <si>
    <t>CENTRO PENITENCIARIO Y DE REINSERCION SOCIAL CUAUTITLAN</t>
  </si>
  <si>
    <t>CENTRO PENITENCIARIO Y DE REINSERCION SOCIAL CHALCO</t>
  </si>
  <si>
    <t>CENTRO PENITENCIARIO Y DE REINSERCION SOCIAL ECATEPEC</t>
  </si>
  <si>
    <t>CENTRO PENITENCIARIO Y DE REINSERCION SOCIAL EL ORO</t>
  </si>
  <si>
    <t>CENTRO PENITENCIARIO Y DE REINSERCION SOCIAL IXTLAHUACA</t>
  </si>
  <si>
    <t>CENTRO PENITENCIARIO Y DE REINSERCION SOCIAL JILOTEPEC</t>
  </si>
  <si>
    <t>CENTRO PENITENCIARIO Y DE REINSERCION SOCIAL LERMA</t>
  </si>
  <si>
    <t>CENTRO PENITENCIARIO Y DE REINSERCION SOCIAL NEZAHUALCOYOTL BORDO XOCHIACA</t>
  </si>
  <si>
    <t>CENTRO PENITENCIARIO Y DE REINSERCION SOCIAL NEZAHUALCOYOTL NORTE</t>
  </si>
  <si>
    <t>CENTRO PENITENCIARIO Y DE REINSERCION SOCIAL NEZAHUALCOYOTL SUR</t>
  </si>
  <si>
    <t>CENTRO PENITENCIARIO Y DE REINSERCION SOCIAL OTUMBA TEPACHICO</t>
  </si>
  <si>
    <t>CENTRO PENITENCIARIO Y DE REINSERCION SOCIAL SANTIAGUITO</t>
  </si>
  <si>
    <t>CENTRO PENITENCIARIO Y DE REINSERCION SOCIAL SULTEPEC</t>
  </si>
  <si>
    <t>CENTRO PENITENCIARIO Y DE REINSERCION SOCIAL TENANCINGO</t>
  </si>
  <si>
    <t>CENTRO PENITENCIARIO Y DE REINSERCION SOCIAL TENANCINGO SUR</t>
  </si>
  <si>
    <t>CENTRO PENITENCIARIO Y DE REINSERCION SOCIAL TENANGO DEL VALLE</t>
  </si>
  <si>
    <t>CENTRO PENITENCIARIO Y DE REINSERCION SOCIAL TEXCOCO</t>
  </si>
  <si>
    <t>CENTRO PENITENCIARIO Y DE REINSERCION SOCIAL TLALNEPANTLA</t>
  </si>
  <si>
    <t>CENTRO PENITENCIARIO Y DE REINSERCION SOCIAL VALLE DE BRAVO</t>
  </si>
  <si>
    <t>CENTRO PENITENCIARIO Y DE REINSERCION SOCIAL ZUMPANGO</t>
  </si>
  <si>
    <t>DIRECCION DE PENITENCIARIA MODELO</t>
  </si>
  <si>
    <t>CENTRO DE INTERNAMIENTO PARA ADOLESCENTES QUINTA DEL BOSQUE</t>
  </si>
  <si>
    <t>Michoacán de Ocampo</t>
  </si>
  <si>
    <t>CENTRO PENITENCIARIO DE ALTA SEGURIDAD PARA DELITOS DE ALTO IMPACTO NUMERO 1</t>
  </si>
  <si>
    <t>CENTRO DE REINSERCION SOCIAL EN MORELIA LICENCIADO DAVID FRANCO RODRIGUEZ</t>
  </si>
  <si>
    <t>CENTRO DE REINSERCION SOCIAL EN URUAPAN LICENCIADO EDUARDO RUIZ</t>
  </si>
  <si>
    <t>CENTRO DE REINSERCION SOCIAL LA PIEDAD</t>
  </si>
  <si>
    <t>CENTRO DE REINSERCION SOCIAL EN ZITACUARO HERMANOS LOPEZ RAYON</t>
  </si>
  <si>
    <t>CENTRO DE REINSERCION SOCIAL SAHUAYO LAZARO CARDENAS</t>
  </si>
  <si>
    <t>CENTRO DE REINSERCION SOCIAL MARAVATIO</t>
  </si>
  <si>
    <t>CENTRO DE REINSERCION SOCIAL ZAMORA</t>
  </si>
  <si>
    <t>CENTRO DE REINSERCION SOCIAL TACAMBARO</t>
  </si>
  <si>
    <t>CENTRO DE REINSERCION SOCIAL LAZARO CARDENAS LA MIRA</t>
  </si>
  <si>
    <t>CENTRO PREVENTIVO DE REINSERCION SOCIAL APATZINGAN</t>
  </si>
  <si>
    <t>UNIDAD ESPECIALIZADA PARA ADOLESCENTES Y ADULTOS JOVENES</t>
  </si>
  <si>
    <t>Morelos</t>
  </si>
  <si>
    <t>CENTRO DE REINSERCION SOCIAL ATLACHOLOAYA</t>
  </si>
  <si>
    <t>CENTRO DE REINSERCION SOCIAL FEMENIL ATLACHOLOAYA</t>
  </si>
  <si>
    <t>CENTRO ESTATAL DE REINSERCION SOCIAL VARONIL DE CUAUTLA</t>
  </si>
  <si>
    <t>CENTRO ESTATAL DE REINSERCION SOCIAL VARONIL DE JOJUTLA</t>
  </si>
  <si>
    <t>CARCEL DISTRITAL JONACATEPEC</t>
  </si>
  <si>
    <t>CENTRO ESPECIALIZADO DE EJECUCION DE MEDIDAS PRIVATIVAS DE LA LIBERTAD PARA ADOLESCENTES</t>
  </si>
  <si>
    <t>Nayarit</t>
  </si>
  <si>
    <t>CENTRO DE REINSERCION SOCIAL VENUSTIANO CARRANZA</t>
  </si>
  <si>
    <t>CENTRO DE REINSERCION SOCIAL BUCERIAS</t>
  </si>
  <si>
    <t>CENTRO DE REINSERCION SOCIAL FEMENIL LA ESPERANZA</t>
  </si>
  <si>
    <t>CENTRO DE INTERNAMIENTO PARA PERSONAS ADOLESCENTES DEL ESTADO DE NAYARIT</t>
  </si>
  <si>
    <t>Nuevo León</t>
  </si>
  <si>
    <t>CENTRO DE REINSERCION SOCIAL NUMERO 1 NORTE</t>
  </si>
  <si>
    <t>CENTRO DE REINSERCION SOCIAL NUMERO 2 NORTE</t>
  </si>
  <si>
    <t>CENTRO DE REINSERCION SOCIAL NUMERO 3 ORIENTE</t>
  </si>
  <si>
    <t>CENTRO DE REINSERCION SOCIAL FEMENIL</t>
  </si>
  <si>
    <t>CENTRO DE INTERNAMIENTO Y ADAPTACION PARA ADOLESCENTES</t>
  </si>
  <si>
    <t>Oaxaca</t>
  </si>
  <si>
    <t>CENTRO PENITENCIARIO VARONIL DE SAN FRANCISCO TANIVET</t>
  </si>
  <si>
    <t>CENTRO PENITENCIARIO FEMENIL DE SAN FRANCISCO TANIVET</t>
  </si>
  <si>
    <t>CENTRO ESPECIALIZADO EN PACIENTES PSIQUIATRICOS TANIVET</t>
  </si>
  <si>
    <t>CENTRO PENITENCIARIO DE VILLA DE ETLA</t>
  </si>
  <si>
    <t>CENTRO PENITENCIARIO DE SANTO DOMINGO TEHUANTEPEC</t>
  </si>
  <si>
    <t>CENTRO PENITENCIARIO DE SAN JUAN BAUTISTA TUXTEPEC</t>
  </si>
  <si>
    <t>CENTRO PENITENCIARIO DE MIAHUATLAN DE PORFIRIO DIAZ</t>
  </si>
  <si>
    <t>CENTRO PENITENCIARIO DE SANTA CATARINA JUQUILA</t>
  </si>
  <si>
    <t>CENTRO PENITENCIARIO DE SAN JUAN BAUTISTA CUICATLAN</t>
  </si>
  <si>
    <t>DIRECCION DE EJECUCION DE MEDIDAS PARA ADOLESCENTES</t>
  </si>
  <si>
    <t>Puebla</t>
  </si>
  <si>
    <t>CENTRO PENITENCIARIO DE PUEBLA</t>
  </si>
  <si>
    <t>CENTRO PENITENCIARIO DE TEPEXI DE RODRIGUEZ</t>
  </si>
  <si>
    <t>CENTRO PENITENCIARIO DE CIUDAD SERDAN</t>
  </si>
  <si>
    <t>Querétaro</t>
  </si>
  <si>
    <t>CENTRO PENITENCIARIO CP1 VARONIL</t>
  </si>
  <si>
    <t>CENTRO PENITENCIARIO CP2 FEMENIL</t>
  </si>
  <si>
    <t>CENTRO PENITENCIARIO CP3 VARONIL</t>
  </si>
  <si>
    <t>CENTRO PENITENCIARIO CP4 VARONIL</t>
  </si>
  <si>
    <t>CENTRO DE INTERNAMIENTO DE LA AUTORIDAD DE EJECUCION DE MEDIDAS DEL SISTEMA INTEGRAL DE JUSTICIA PENAL PARA ADOLESCENTES DEL ESTADO DE QUERETARO</t>
  </si>
  <si>
    <t>Quintana Roo</t>
  </si>
  <si>
    <t>CENTRO DE REINSERCION SOCIAL DE CHETUMAL</t>
  </si>
  <si>
    <t>CENTRO DE REINSERCION SOCIAL DE CANCUN</t>
  </si>
  <si>
    <t>CENTRO DE REINSERCION SOCIAL DE COZUMEL</t>
  </si>
  <si>
    <t>San Luis Potosí</t>
  </si>
  <si>
    <t>CENTRO ESTATAL DE REINSERCION SOCIAL DE SAN LUIS POTOSI</t>
  </si>
  <si>
    <t>CENTRO ESTATAL DE REINSERCION SOCIAL DE MATEHUALA</t>
  </si>
  <si>
    <t>CENTRO ESTATAL DE REINSERCION SOCIAL DE CIUDAD VALLES</t>
  </si>
  <si>
    <t>CENTRO ESTATAL DE REINSERCION SOCIAL DE RIOVERDE</t>
  </si>
  <si>
    <t>CENTRO ESTATAL DE REINSERCION SOCIAL DE TAMAZUNCHALE</t>
  </si>
  <si>
    <t>CENTRO ESTATAL DE REINSERCION SOCIAL DE TANCANHUITZ</t>
  </si>
  <si>
    <t>DIRECCION GENERAL DE EJECUCION DE MEDIDAS PARA MENORES DEL ESTADO DE SAN LUIS POTOSI</t>
  </si>
  <si>
    <t>Sinaloa</t>
  </si>
  <si>
    <t>CENTRO PENITENCIARIO AGUARUTO</t>
  </si>
  <si>
    <t>CENTRO PENITENCIARIO EL CASTILLO</t>
  </si>
  <si>
    <t>CENTRO PENITENCIARIO GOROS II</t>
  </si>
  <si>
    <t>CENTRO PENITENCIARIO REGION DEL EVORA</t>
  </si>
  <si>
    <t>CENTRO DE INTERNAMIENTO DE ADOLESCENTES</t>
  </si>
  <si>
    <t>Sonora</t>
  </si>
  <si>
    <t>AGUA PRIETA</t>
  </si>
  <si>
    <t>CABORCA</t>
  </si>
  <si>
    <t>CD OBREGON</t>
  </si>
  <si>
    <t>GUAYMAS</t>
  </si>
  <si>
    <t>HERMOSILLO I</t>
  </si>
  <si>
    <t>HERMOSILLO II</t>
  </si>
  <si>
    <t>HUATABAMPO</t>
  </si>
  <si>
    <t>MAGDALENA</t>
  </si>
  <si>
    <t>NOGALES FEMENIL</t>
  </si>
  <si>
    <t>NOGALES VARONIL</t>
  </si>
  <si>
    <t>PUERTO PEÑASCO</t>
  </si>
  <si>
    <t>SAN LUIS RIO COLORADO</t>
  </si>
  <si>
    <t>NAVOJOA</t>
  </si>
  <si>
    <t>CENTRO ESPECIALIZADO DE INTERNAMIENTO PARA ADOLESCENTES HERMOSILLO I</t>
  </si>
  <si>
    <t>CENTRO ESPECIALIZADO DE INTERNAMIENTO PARA ADOLESCENTES HERMOSILLO II FEMENIL</t>
  </si>
  <si>
    <t>CENTRO ESPECIALIZADO DE INTERNAMIENTO PARA ADOLESCENTES COCORIT</t>
  </si>
  <si>
    <t>CENTRO ESPECIALIZADO DE INTERNAMIENTO Y EXTERNAMIENTO PARA ADOLESCENTES SAN LUIS RIO COLORADO</t>
  </si>
  <si>
    <t>CENTRO ESPECIALIZADO DE INTERNAMIENTO DE CORTA ESTANCIA PARA ADOLESCENTES NOGALES</t>
  </si>
  <si>
    <t>CENTRO ESPECIALIZADO DE INTERNAMIENTO PARA ADOLESCENTES LIC MARCO ANTONIO SALAZAR SIQUEIROS</t>
  </si>
  <si>
    <t>Tabasco</t>
  </si>
  <si>
    <t>CENTRO DE REINSERCION SOCIAL DE TABASCO CREST</t>
  </si>
  <si>
    <t>CENTRO DE REINSERCION SOCIAL DE CARDENAS</t>
  </si>
  <si>
    <t>CENTRO DE REINSERCION SOCIAL DE COMALCALCO</t>
  </si>
  <si>
    <t>CENTRO DE REINSERCION SOCIAL DE HUIMANGUILLO</t>
  </si>
  <si>
    <t>CENTRO DE REINSERCION SOCIAL DE MACUSPANA</t>
  </si>
  <si>
    <t>CENTRO DE REINSERCION SOCIAL DE TENOSIQUE</t>
  </si>
  <si>
    <t>CENTRO REGIONAL DE CUNDUACAN</t>
  </si>
  <si>
    <t>CENTRO REGIONAL DE TACOTALPA</t>
  </si>
  <si>
    <t>DIRECCION ADMINISTRATIVA ESPECIALIZADA EN JUSTICIA PARA ADOLESCENTES</t>
  </si>
  <si>
    <t>Tamaulipas</t>
  </si>
  <si>
    <t>CEDES ALTAMIRA</t>
  </si>
  <si>
    <t>CEDES NUEVO LAREDO</t>
  </si>
  <si>
    <t>CEDES TULA</t>
  </si>
  <si>
    <t>CEDES VICTORIA</t>
  </si>
  <si>
    <t>CEDES REYNOSA</t>
  </si>
  <si>
    <t>CEDES MATAMOROS</t>
  </si>
  <si>
    <t>CENTRO LAREDO</t>
  </si>
  <si>
    <t>CENTRO REYNOSA</t>
  </si>
  <si>
    <t>CENTRO MATAMOROS</t>
  </si>
  <si>
    <t>CENTRO GUEMEZ</t>
  </si>
  <si>
    <t>CENTRO ALTAMIRA</t>
  </si>
  <si>
    <t>Tlaxcala</t>
  </si>
  <si>
    <t>CENTRO DE REINSERCION SOCIAL TLAXCALA</t>
  </si>
  <si>
    <t>CENTRO DE REINSERCION SOCIAL APIZACO</t>
  </si>
  <si>
    <t>CENTRO DE REINSERCION SOCIAL FEMENIL DEL ESTADO DE TLAXCALA</t>
  </si>
  <si>
    <t>CENTRO DE INTERNAMIENTO DE LA COORDINACION ESTATAL DE MEDIDAS PARA ADOLESCENTES DEL ESTADO DE TLAXCALA</t>
  </si>
  <si>
    <t>Veracruz de Ignacio de la Llave</t>
  </si>
  <si>
    <t>CENTRO DE REINSERCION SOCIAL PANUCO</t>
  </si>
  <si>
    <t>CENTRO DE REINSERCION SOCIAL OZULUAMA</t>
  </si>
  <si>
    <t>CENTRO DE REINSERCION SOCIAL TANTOYUCA</t>
  </si>
  <si>
    <t>CENTRO DE REINSERCION SOCIAL CHICONTEPEC</t>
  </si>
  <si>
    <t>CENTRO DE REINSERCION SOCIAL TUXPAN</t>
  </si>
  <si>
    <t>CENTRO DE REINSERCION SOCIAL POZA RICA DE HIDALGO</t>
  </si>
  <si>
    <t>CENTRO DE REINSERCION SOCIAL HUAYACOCOTLA</t>
  </si>
  <si>
    <t>CENTRO DE REINSERCION SOCIAL PAPANTLA</t>
  </si>
  <si>
    <t>CENTRO DE REINSERCION SOCIAL MISANTLA</t>
  </si>
  <si>
    <t>CENTRO DE REINSERCION SOCIAL JALACINGO</t>
  </si>
  <si>
    <t>CENTRO DE REINSERCION SOCIAL XALAPA PACHO VIEJO</t>
  </si>
  <si>
    <t>CENTRO DE REINSERCION SOCIAL AMATLAN</t>
  </si>
  <si>
    <t>CENTRO DE REINSERCION SOCIAL ZONGOLICA</t>
  </si>
  <si>
    <t>CENTRO DE REINSERCION SOCIAL COSAMALOAPAN</t>
  </si>
  <si>
    <t>CENTRO DE REINSERCION SOCIAL SAN ANDRES TUXTLA</t>
  </si>
  <si>
    <t>CENTRO DE REINSERCION SOCIAL ACAYUCAN</t>
  </si>
  <si>
    <t>CENTRO DE REINSERCION SOCIAL COATZACOALCOS</t>
  </si>
  <si>
    <t>MODULO DE PRISION PREVENTIVA VERACRUZ</t>
  </si>
  <si>
    <t>CENTRO DE INTERNAMIENTO ESPECIAL PARA ADOLESCENTES</t>
  </si>
  <si>
    <t>Yucatán</t>
  </si>
  <si>
    <t>CENTRO DE REINSERCION SOCIAL DE MERIDA</t>
  </si>
  <si>
    <t>CENTRO DE REINSERCION SOCIAL DE TEKAX</t>
  </si>
  <si>
    <t>CENTRO DE REINSERCION SOCIAL DE VALLADOLID</t>
  </si>
  <si>
    <t>CENTRO ESPECIALIZADO EN LA APLICACION DE MEDIDAS PARA ADOLESCENTES</t>
  </si>
  <si>
    <t>Zacatecas</t>
  </si>
  <si>
    <t>CENTRO REGIONAL DE REINSERCION SOCIAL VARONIL CIENEGUILLAS</t>
  </si>
  <si>
    <t>CENTRO REGIONAL DE REINSERCION SOCIAL FRESNILLO</t>
  </si>
  <si>
    <t>CENTRO PENITENCIARIO DISTRITAL JEREZ</t>
  </si>
  <si>
    <t>CENTRO PENITENCIARIO DISTRITAL RIO GRANDE</t>
  </si>
  <si>
    <t>CENTRO ESTATAL DE REINSERCION SOCIAL FEMENIL CIENEGUILLAS</t>
  </si>
  <si>
    <t>CENTRO PENITENCIARIO DISTRITAL PINOS</t>
  </si>
  <si>
    <t>CENTRO PENITENCIARIO DISTRITAL OJOCALIENTE</t>
  </si>
  <si>
    <t>CENTRO PENITENCIARIO DISTRITAL CALERA</t>
  </si>
  <si>
    <t>CENTRO PENITENCIARIO DISTRITAL SOMBRERETE</t>
  </si>
  <si>
    <t>CENTRO PENITENCIARIO DISTRITAL JALPA</t>
  </si>
  <si>
    <t>CENTRO PENITENCIARIO DISTRITAL TLALTENANGO</t>
  </si>
  <si>
    <t>CENTRO PENITENCIARIO DISTRITAL VALPARAISO</t>
  </si>
  <si>
    <t>CENTRO PENITENCIARIO DISTRITAL CONCEPCION DEL ORO</t>
  </si>
  <si>
    <t>CENTRO DE INTERNAMIENTO Y ATENCION INTEGRAL JUVENIL</t>
  </si>
  <si>
    <t>CENTRO PENITENCIARIO FEDERAL NUMERO 10 NOR-NORESTE3</t>
  </si>
  <si>
    <t>CREMA DE NUEVO LAREDO</t>
  </si>
  <si>
    <t>CREMA DE REYNOSA</t>
  </si>
  <si>
    <t>CREMA DE MATAMOROS</t>
  </si>
  <si>
    <t>CREMA DE ALTAMIRA</t>
  </si>
  <si>
    <t>CENTRO DE INTERNAMIENTO DE LA COORDINACION ESTATAL DE MEDIDAS PARA ADOLESCENTES</t>
  </si>
  <si>
    <t>CENTRO DE REINSERCION SOCIAL NO 2</t>
  </si>
  <si>
    <t>CENTRO DE REINSERCION SOCIAL AYUTLA</t>
  </si>
  <si>
    <t>CENTRO FEDERAL DE READAPTACION SOCIAL NUM 15 CPS CHIAPAS</t>
  </si>
  <si>
    <t>CENTRO FEDERAL DE READAPTACION SOCIAL NUM 7 NOR-NOROESTE</t>
  </si>
  <si>
    <t>CENTRO FEDERAL DE READAPTACION SOCIAL NUM 8 NOR-PONIENTE</t>
  </si>
  <si>
    <t>CENTRO DE REINSERCION SOCIAL DISTRITAL DE TECALI DE HERRERA</t>
  </si>
  <si>
    <t>CENTRO DE REINSERCION SOCIAL DISTRITAL DE TETELA DE OCAMPO</t>
  </si>
  <si>
    <t>CENTRO DE REINSERCION SOCIAL LA UNION</t>
  </si>
  <si>
    <t>CENTRO PENITENCIARIO PARA PERSONAS ADULTAS MAYORES</t>
  </si>
  <si>
    <t>CENTRO DE REINSERCION SOCIAL COYUCA DE CATALAN</t>
  </si>
  <si>
    <t>CENTRO DE REINSERCION SOCIAL CHILAPA</t>
  </si>
  <si>
    <t>CENTRO PENITENCIARIO MARAVATIO</t>
  </si>
  <si>
    <t>CENTRO DE REINSERCION SOCIAL DISTRITAL DE XICOTEPEC</t>
  </si>
  <si>
    <t>CENTRO DE REINSERCION SOCIAL TAXCO</t>
  </si>
  <si>
    <t>CENTRO DE REINSERCION SOCIAL DISTRITAL DE ZACAPOAXTLA</t>
  </si>
  <si>
    <t>CENTRO DE REINSERCION SOCIAL DISTRITAL DE TLATLAUQUITEPEC</t>
  </si>
  <si>
    <t>CENTRO DE REINSERCION SOCIAL NO 8</t>
  </si>
  <si>
    <t>CENTRO DE REINSERCION SOCIAL DISTRITAL DE CHIGNAHUAPAN</t>
  </si>
  <si>
    <t>CENTRO DE REINSERCION SOCIAL TECPAN</t>
  </si>
  <si>
    <t>CENTRO FEDERAL DE READAPTACION SOCIAL NUM 5 ORIENTE</t>
  </si>
  <si>
    <t>CENTRO FEDERAL DE READAPTACION SOCIAL NUM 4 NOROESTE</t>
  </si>
  <si>
    <t>CENTRO PENITENCIARIO TACAMBARO</t>
  </si>
  <si>
    <t>CENTRO DE REINSERCION SOCIAL TLAPA</t>
  </si>
  <si>
    <t>CENTRO DE REINSERCION SOCIAL DISTRITAL DE LIBRES</t>
  </si>
  <si>
    <t>CENTRO DE REINSERCION SOCIAL DISTRITAL DE TEZIUTLAN</t>
  </si>
  <si>
    <t>CENTRO DE REINSERCION SOCIAL ZIHUATANEJO</t>
  </si>
  <si>
    <t>CENTRO DE REINSERCION SOCIAL OMETEPEC</t>
  </si>
  <si>
    <t>CENTRO DE REINSERCION SOCIAL DISTRITAL DE ACATLAN</t>
  </si>
  <si>
    <t>CENTRO DE REINSERCION SOCIAL DISTRITAL DE ZACATLAN</t>
  </si>
  <si>
    <t>CENTRO PENITENCIARIO LAZARO CARDENAS LA MIRA</t>
  </si>
  <si>
    <t>CENTRO FEDERAL DE READAPTACION SOCIAL NUM 17 CPS MICHOACAN</t>
  </si>
  <si>
    <t>CENTRO PENITENCIARIO LAZARO CARDENAS SAHUAYO</t>
  </si>
  <si>
    <t>NUEVO LAREDO</t>
  </si>
  <si>
    <t>CENTRO PENITENCIARIO LA PIEDAD</t>
  </si>
  <si>
    <t>CENTRO PENITENCIARIO FEMENIL SAN PEDRO</t>
  </si>
  <si>
    <t>CENTRO DE REINSERCION SOCIAL REGIONAL DE HUAUCHINANGO</t>
  </si>
  <si>
    <t>CENTRO PENITENCIARIO REGIONAL DE CUNDUACAN</t>
  </si>
  <si>
    <t>CENTRO DE REINSERCION SOCIAL DISTRITAL DE TECAMACHALCO</t>
  </si>
  <si>
    <t>CENTRO DE REINSERCION SOCIAL IGUALA</t>
  </si>
  <si>
    <t>CENTRO DE REINSERCION SOCIAL NO 5</t>
  </si>
  <si>
    <t>REGION DEL EVORA</t>
  </si>
  <si>
    <t>ALTAMIRA</t>
  </si>
  <si>
    <t>CENTRO DE REINSERCION SOCIAL DISTRITAL DE TEPEACA</t>
  </si>
  <si>
    <t>CENTRO PENITENCIARIO REGIONAL DE TACOTALPA</t>
  </si>
  <si>
    <t>CENTRO PENITENCIARIO DE ALTA SEGURIDAD PARA DELITO DE ALTO IMPACTO NO 1</t>
  </si>
  <si>
    <t>CENTRO FEDERAL DE READAPTACION SOCIAL NUM 1 ALTIPLANO</t>
  </si>
  <si>
    <t>CENTRO PENITENCIARIO VARONIL MONCLOVA</t>
  </si>
  <si>
    <t>CENTRO PENITENCIARIO APATZINGAN</t>
  </si>
  <si>
    <t>CENTRO PENITENCIARIO HERMANOS LOPEZ RAYON</t>
  </si>
  <si>
    <t>MATAMOROS</t>
  </si>
  <si>
    <t>CENTRO DE REINSERCION SOCIAL DISTRITAL DE HUEJOTZINGO</t>
  </si>
  <si>
    <t>CENTRO DE REINSERCION SOCIAL FEMENIL NO 1</t>
  </si>
  <si>
    <t>REYNOSA</t>
  </si>
  <si>
    <t>CENTRO PENITENCIARIO ZAMORA</t>
  </si>
  <si>
    <t>CENTRO PENITENCIARIO LIC EDUARDO RUIZ URUAPAN</t>
  </si>
  <si>
    <t>CENTRO FEDERAL DE READAPTACION SOCIAL NUM 16 CPS FEMENIL MORELOS</t>
  </si>
  <si>
    <t>CENTRO DE REINSERCION SOCIAL CHILPANCINGO</t>
  </si>
  <si>
    <t>VICTORIA</t>
  </si>
  <si>
    <t>CENTRO DE REINSERCION SOCIAL REGIONAL DE SAN PEDRO CHOLULA</t>
  </si>
  <si>
    <t>CENTRO DE REINSERCION SOCIAL NO 7</t>
  </si>
  <si>
    <t>CENTRO DE REINSERCION SOCIAL NO 4</t>
  </si>
  <si>
    <t>CENTRO FEDERAL DE READAPTACION SOCIAL NUM 13 CPS OAXACA</t>
  </si>
  <si>
    <t>CENTRO DE REINSERCION SOCIAL FEMENIL NO 2</t>
  </si>
  <si>
    <t>GOROS II</t>
  </si>
  <si>
    <t>EL CASTILLO</t>
  </si>
  <si>
    <t>CENTRO DE REINSERCION SOCIAL ACAPULCO</t>
  </si>
  <si>
    <t>CENTRO FEDERAL DE READAPTACION SOCIAL NUM 11 CPS SONORA</t>
  </si>
  <si>
    <t>CENTRO PENITENCIARIO FEDERAL NUM 18 CPS COAHUILA</t>
  </si>
  <si>
    <t>CENTRO FEDERAL DE READAPTACION SOCIAL NUM 14 CPS DURANGO</t>
  </si>
  <si>
    <t>CENTRO DE REINSERCION SOCIAL REGIONAL DE TEHUACAN</t>
  </si>
  <si>
    <t>CENTRO FEDERAL DE READAPTACION SOCIAL NUM 12 CPS GUANAJUATO</t>
  </si>
  <si>
    <t>AGUARUTO</t>
  </si>
  <si>
    <t>CENTRO PENITENCIARIO LIC DAVID FRANCO RODRIGUEZ</t>
  </si>
  <si>
    <t>CIUDAD OBREGON</t>
  </si>
  <si>
    <t>CENTRO DE RETENCION MUNICIPAL DE SOLIDARIDAD</t>
  </si>
  <si>
    <t>CENTRO DE REINSERCION SOCIAL NO 1</t>
  </si>
  <si>
    <t>CENTRO PENITENCIARIO VARONIL PIEDRAS NEGRAS</t>
  </si>
  <si>
    <t>CENTRO PENITENCIARIO VARONIL TORREON</t>
  </si>
  <si>
    <t>CENTRO DE REINSERCION SOCIAL NO 3</t>
  </si>
  <si>
    <t>UNIDAD ADMINISTRATIVA PARA ADOLESCENTES</t>
  </si>
  <si>
    <t>CENTRO ESPECIALIZADO DE REINSERCION SOCIAL PARA ADOLESCENTES INFRACTORES NUMERO 1</t>
  </si>
  <si>
    <t>CREMA DE GUEMEZ</t>
  </si>
  <si>
    <t>CENTRO DE INTERNAMIENTO PARA ADOLESCENTES MEXICALI</t>
  </si>
  <si>
    <t>COORDINACION ESPECIALIZADA EN JUSTICIA PENAL PARA ADOLESCENTES</t>
  </si>
  <si>
    <t>CENTRO ESPECIALIZADO DE EJECUCION DE MEDIDAS PARA ADOLESCENTES</t>
  </si>
  <si>
    <t>CENTRO ESPECIALIZADO DE REINSERCION SOCIAL PARA ADOLESCENTES INFRACTORES NUMERO 3</t>
  </si>
  <si>
    <t>CENTRO DE INTERNAMIENTO PARA ADOLESCENTES ENSENADA</t>
  </si>
  <si>
    <t>CENTRO DE INTERNAMIENTO PARA ADOLESCENTES TIJUANA</t>
  </si>
  <si>
    <t>CENTRO ESPECIALIZADO DE REINSERCION SOCIAL PARA ADOLESCENTES NUMERO 2</t>
  </si>
  <si>
    <t>CENTRO ESPECIALIZADO DE REINSERCION SOCIAL PARA ADOLESCENTES NUMERO 1</t>
  </si>
  <si>
    <t>CENTRO DE INTERNAMIENTO ESPECIALIZADO EN ADOLESCENTES FEMENIL SALTILLO</t>
  </si>
  <si>
    <t>CENTRO DE INTERNAMIENTO ESPECIALIZADO EN ADOLESCENTES VARONIL SALTILLO</t>
  </si>
  <si>
    <t>CENTRO DE EJECUCION DE MEDIDAS PRIVATIVAS DE LA LIBERTAD PARA ADOLESCENTES</t>
  </si>
  <si>
    <t>CENTRO DE INTERNAMIENTO Y DE ADAPTACION DE ADOLESCENTES INFRACTORES</t>
  </si>
  <si>
    <t>CENTRO ESPECIALIZADO DE INTERNAMIENTO PARA ADOLESCENTES NOGALES</t>
  </si>
  <si>
    <t>CENTRO ESPECIALIZADO DE INTERNAMIENTO PARA ADOLESCENTES HERMOSILLO II</t>
  </si>
  <si>
    <t>CENTRO REGIONAL DE EJECUCION DE MEDIDAS PARA ADOLESCENTES DE ALTAMIRA</t>
  </si>
  <si>
    <t>CENTRO REGIONAL DE EJECUCION DE MEDIDAS PARA ADOLESCENTES DE GUEMEZ</t>
  </si>
  <si>
    <t>CENTRO REGIONAL DE EJECUCION DE MEDIDAS PARA ADOLESCENTES DE MATAMOROS</t>
  </si>
  <si>
    <t>CENTRO REGIONAL DE EJECUCION DE MEDIDAS PARA ADOLESCENTES DE REYNOSA</t>
  </si>
  <si>
    <t>CENTRO REGIONAL DE EJECUCION DE MEDIDAS PARA ADOLESCENTES DE NUEVO LAREDO</t>
  </si>
  <si>
    <t>LARGO</t>
  </si>
  <si>
    <t>id</t>
  </si>
  <si>
    <t>country_id</t>
  </si>
  <si>
    <t>name</t>
  </si>
  <si>
    <t>demonym</t>
  </si>
  <si>
    <t>iso_code</t>
  </si>
  <si>
    <t>status</t>
  </si>
  <si>
    <t>Aguascalentenses</t>
  </si>
  <si>
    <t>AGU</t>
  </si>
  <si>
    <t>Bajacalifornianos</t>
  </si>
  <si>
    <t>BCN</t>
  </si>
  <si>
    <t>BCS</t>
  </si>
  <si>
    <t>Campechanos</t>
  </si>
  <si>
    <t>CAM</t>
  </si>
  <si>
    <t>Chiapasenses</t>
  </si>
  <si>
    <t>CHP</t>
  </si>
  <si>
    <t>Chihuahuenses</t>
  </si>
  <si>
    <t>CHH</t>
  </si>
  <si>
    <t>Capitalinos</t>
  </si>
  <si>
    <t>CMX</t>
  </si>
  <si>
    <t>Coahuilenses</t>
  </si>
  <si>
    <t>COA</t>
  </si>
  <si>
    <t>Colimenses</t>
  </si>
  <si>
    <t>COL</t>
  </si>
  <si>
    <t>Duranguenses</t>
  </si>
  <si>
    <t>DUR</t>
  </si>
  <si>
    <t>Guanajuatenses</t>
  </si>
  <si>
    <t>GUA</t>
  </si>
  <si>
    <t>Guerrerenses</t>
  </si>
  <si>
    <t>GRO</t>
  </si>
  <si>
    <t>Hidalguenses</t>
  </si>
  <si>
    <t>HID</t>
  </si>
  <si>
    <t>Jaliscienses</t>
  </si>
  <si>
    <t>JAL</t>
  </si>
  <si>
    <t>Mexiquenses</t>
  </si>
  <si>
    <t>MEX</t>
  </si>
  <si>
    <t>Michoacanos</t>
  </si>
  <si>
    <t>MIC</t>
  </si>
  <si>
    <t>Morelenses</t>
  </si>
  <si>
    <t>MOR</t>
  </si>
  <si>
    <t>Nayaritas</t>
  </si>
  <si>
    <t>NAY</t>
  </si>
  <si>
    <t>Neoleoneses</t>
  </si>
  <si>
    <t>NLE</t>
  </si>
  <si>
    <t>Oaxaqueños</t>
  </si>
  <si>
    <t>OAX</t>
  </si>
  <si>
    <t>Poblanos</t>
  </si>
  <si>
    <t>PUE</t>
  </si>
  <si>
    <t>Queretanos</t>
  </si>
  <si>
    <t>QUE</t>
  </si>
  <si>
    <t>Quintanarroenses</t>
  </si>
  <si>
    <t>ROO</t>
  </si>
  <si>
    <t>Potosinos</t>
  </si>
  <si>
    <t>SLP</t>
  </si>
  <si>
    <t>Sinaloenses</t>
  </si>
  <si>
    <t>SIN</t>
  </si>
  <si>
    <t>Sonorenses</t>
  </si>
  <si>
    <t>SON</t>
  </si>
  <si>
    <t>Tabasqueños</t>
  </si>
  <si>
    <t>TAB</t>
  </si>
  <si>
    <t>Tamaulipecos</t>
  </si>
  <si>
    <t>TAM</t>
  </si>
  <si>
    <t>Tlaxcaltecas</t>
  </si>
  <si>
    <t>TLA</t>
  </si>
  <si>
    <t>Veracruzanos</t>
  </si>
  <si>
    <t>VER</t>
  </si>
  <si>
    <t>Yucatecos</t>
  </si>
  <si>
    <t>YUC</t>
  </si>
  <si>
    <t>Zacatecanos</t>
  </si>
  <si>
    <t>ZAC</t>
  </si>
  <si>
    <t>Año</t>
  </si>
  <si>
    <t>Población</t>
  </si>
  <si>
    <t>Agrupación social</t>
  </si>
  <si>
    <t>Sexo</t>
  </si>
  <si>
    <t>Entidad</t>
  </si>
  <si>
    <t>Cantidad</t>
  </si>
  <si>
    <t>Porcentaje</t>
  </si>
  <si>
    <t>Tasa</t>
  </si>
  <si>
    <t>QUERY</t>
  </si>
  <si>
    <t>id_2</t>
  </si>
  <si>
    <t>state_id</t>
  </si>
  <si>
    <t>gender_id</t>
  </si>
  <si>
    <t>year_id</t>
  </si>
  <si>
    <t>indicator_id</t>
  </si>
  <si>
    <t>id_1</t>
  </si>
  <si>
    <t>ID_2</t>
  </si>
  <si>
    <t>ID</t>
  </si>
  <si>
    <t>category_id</t>
  </si>
  <si>
    <t>center_id</t>
  </si>
  <si>
    <t>indicador</t>
  </si>
  <si>
    <t>categoría</t>
  </si>
  <si>
    <t>Abuso de confianza y falsedad</t>
  </si>
  <si>
    <t>Delitos de delincuencia organizada y tipificados en Convención de Palermo</t>
  </si>
  <si>
    <t>Mujer</t>
  </si>
  <si>
    <t>Hombre</t>
  </si>
  <si>
    <t>centros</t>
  </si>
  <si>
    <t>Agrupación</t>
  </si>
  <si>
    <t>PI</t>
  </si>
  <si>
    <t>clave</t>
  </si>
  <si>
    <t>CLAVE PI</t>
  </si>
  <si>
    <t>CLAVE PS</t>
  </si>
  <si>
    <t>PS</t>
  </si>
  <si>
    <t>TIPO_P</t>
  </si>
  <si>
    <t>P1</t>
  </si>
  <si>
    <t>P2</t>
  </si>
  <si>
    <t>Abuso, acoso y hostigamiento sexual</t>
  </si>
  <si>
    <t>categoria</t>
  </si>
  <si>
    <t>año</t>
  </si>
  <si>
    <t>sexo</t>
  </si>
  <si>
    <t>centro</t>
  </si>
  <si>
    <t>estado</t>
  </si>
  <si>
    <t>DDD</t>
  </si>
  <si>
    <t>💚</t>
  </si>
  <si>
    <t>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</si>
</sst>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/>
    <xf numFmtId="0" fontId="1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/>
    <xf numFmtId="0" fontId="3" fillId="0" borderId="5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19" xfId="0" applyBorder="1"/>
    <xf numFmtId="0" fontId="0" fillId="0" borderId="13" xfId="0" applyBorder="1"/>
    <xf numFmtId="0" fontId="0" fillId="0" borderId="20" xfId="0" applyBorder="1"/>
    <xf numFmtId="0" fontId="0" fillId="0" borderId="15" xfId="0" applyBorder="1"/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1" fillId="0" borderId="26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4" fillId="3" borderId="21" xfId="0" applyFont="1" applyFill="1" applyBorder="1" applyAlignment="1">
      <alignment vertical="center"/>
    </xf>
    <xf numFmtId="0" fontId="0" fillId="3" borderId="22" xfId="0" applyFill="1" applyBorder="1" applyAlignment="1">
      <alignment horizontal="center" vertical="center"/>
    </xf>
    <xf numFmtId="0" fontId="4" fillId="3" borderId="28" xfId="0" applyFont="1" applyFill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0" fontId="4" fillId="3" borderId="26" xfId="0" applyFont="1" applyFill="1" applyBorder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1" fillId="0" borderId="0" xfId="0" applyFont="1"/>
    <xf numFmtId="0" fontId="3" fillId="0" borderId="32" xfId="0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0" fontId="0" fillId="3" borderId="33" xfId="0" applyFill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5" fillId="0" borderId="10" xfId="0" applyFont="1" applyBorder="1"/>
    <xf numFmtId="0" fontId="1" fillId="0" borderId="11" xfId="0" applyFont="1" applyBorder="1" applyAlignment="1">
      <alignment horizontal="center" vertical="center"/>
    </xf>
    <xf numFmtId="0" fontId="5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1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52"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</font>
      <numFmt numFmtId="0" formatCode="General"/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606434-4C81-431A-857E-C551D7A8CC16}" name="Tabla6" displayName="Tabla6" ref="A1:D27" totalsRowShown="0">
  <autoFilter ref="A1:D27" xr:uid="{EF606434-4C81-431A-857E-C551D7A8CC16}"/>
  <tableColumns count="4">
    <tableColumn id="1" xr3:uid="{3D4CFB37-57F4-4D68-AE12-FC9F545B6EE1}" name="id"/>
    <tableColumn id="2" xr3:uid="{5801FEC3-F83D-4BE8-8FDF-A071F9C3927E}" name="name"/>
    <tableColumn id="4" xr3:uid="{BC832CD9-8670-4508-AB72-A0D77BF42D16}" name="id_2"/>
    <tableColumn id="3" xr3:uid="{3122D543-D0DD-44B8-B754-24BAE3C4413A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E7F482-CFD2-40C8-9412-D30A6BF92C52}" name="Tabla3" displayName="Tabla3" ref="A1:H33" totalsRowShown="0">
  <autoFilter ref="A1:H33" xr:uid="{7EE7F482-CFD2-40C8-9412-D30A6BF92C52}"/>
  <tableColumns count="8">
    <tableColumn id="1" xr3:uid="{FA0391B8-ED0D-49A0-B0FA-D514CA8582A9}" name="id"/>
    <tableColumn id="2" xr3:uid="{234439FB-3ECB-4E64-B842-567F55210291}" name="country_id"/>
    <tableColumn id="3" xr3:uid="{73BA5EF0-2229-4836-AE54-409B5DFA28DE}" name="name"/>
    <tableColumn id="8" xr3:uid="{BF672509-1E3C-4E12-91FB-528F20675371}" name="ID_2"/>
    <tableColumn id="4" xr3:uid="{78C20AD7-A250-41CF-A056-0BEEC7CA5AA6}" name="demonym"/>
    <tableColumn id="5" xr3:uid="{EE9029E4-498D-4CCE-91B4-BC6AAE9FA690}" name="iso_code"/>
    <tableColumn id="7" xr3:uid="{49DC6C4F-4DDB-4C37-9459-52C919259FCA}" name="state_id"/>
    <tableColumn id="6" xr3:uid="{26E9E047-8239-40FA-BCF0-0C9282A1AF72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F45E37-D1CA-4AE2-AB43-650DE51CBC3E}" name="Tabla8" displayName="Tabla8" ref="A1:D6" totalsRowShown="0">
  <autoFilter ref="A1:D6" xr:uid="{44F45E37-D1CA-4AE2-AB43-650DE51CBC3E}"/>
  <tableColumns count="4">
    <tableColumn id="1" xr3:uid="{923EB274-6EE0-4A4B-95D6-6CB234738464}" name="id"/>
    <tableColumn id="2" xr3:uid="{6088755E-09E5-4AC4-A35D-0208752B0ABF}" name="name"/>
    <tableColumn id="3" xr3:uid="{603D33E4-F8C9-45DF-8822-947AB904BB4D}" name="gender_id"/>
    <tableColumn id="4" xr3:uid="{86688916-13D6-46A7-A95E-9CA83471566F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779FAC-E2C1-4E1E-A93F-554CB1A16E27}" name="Tabla5" displayName="Tabla5" ref="A1:E18" totalsRowShown="0">
  <autoFilter ref="A1:E18" xr:uid="{2D779FAC-E2C1-4E1E-A93F-554CB1A16E27}"/>
  <tableColumns count="5">
    <tableColumn id="1" xr3:uid="{4C99E144-E72B-4E1E-A1B0-6EE3FE3B2E9B}" name="id"/>
    <tableColumn id="2" xr3:uid="{CBDB27F7-41A9-4DE8-99D7-AA066A31FC28}" name="indicator_id"/>
    <tableColumn id="3" xr3:uid="{81FB6481-665F-4EC2-B18A-967202B37711}" name="name"/>
    <tableColumn id="5" xr3:uid="{46338BF2-A82D-4F1D-96E4-4E00C8A1B2C6}" name="id_1"/>
    <tableColumn id="4" xr3:uid="{5C408E3F-7EA0-4A74-9045-F0386B32748F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ABD45-52FF-47F2-9800-CECF01EE8CC6}" name="Tabla2" displayName="Tabla2" ref="B1:E421" totalsRowShown="0" dataDxfId="51">
  <autoFilter ref="B1:E421" xr:uid="{56FABD45-52FF-47F2-9800-CECF01EE8CC6}"/>
  <sortState xmlns:xlrd2="http://schemas.microsoft.com/office/spreadsheetml/2017/richdata2" ref="B2:E421">
    <sortCondition ref="C1:C421"/>
  </sortState>
  <tableColumns count="4">
    <tableColumn id="1" xr3:uid="{8AF95AAF-7C97-4030-8813-E5F15884669B}" name="Estados" dataDxfId="50"/>
    <tableColumn id="2" xr3:uid="{B4C15FDA-B2EC-4A1D-A81E-4B2725E564AF}" name="Centros" dataDxfId="49"/>
    <tableColumn id="4" xr3:uid="{17CD0285-B341-43C7-8ACD-65A35D973F9E}" name="ID" dataDxfId="48"/>
    <tableColumn id="3" xr3:uid="{A0FEF947-428C-44F8-B2A5-5E3ECB03347F}" name="LARGO" dataDxfId="47">
      <calculatedColumnFormula>LEN(Tabla2[[#This Row],[Centros]])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6C383E-D9C6-4A13-AE27-6FD462CC2D15}" name="Tabla4" displayName="Tabla4" ref="A1:P33" totalsRowShown="0" headerRowDxfId="46" headerRowBorderDxfId="45" tableBorderDxfId="44" totalsRowBorderDxfId="43">
  <autoFilter ref="A1:P33" xr:uid="{F56C383E-D9C6-4A13-AE27-6FD462CC2D15}"/>
  <sortState xmlns:xlrd2="http://schemas.microsoft.com/office/spreadsheetml/2017/richdata2" ref="A2:P19">
    <sortCondition ref="A1:A19"/>
  </sortState>
  <tableColumns count="16">
    <tableColumn id="1" xr3:uid="{390C7731-19DC-4EFF-876D-39841F3AEDD2}" name="Año" dataDxfId="42"/>
    <tableColumn id="2" xr3:uid="{0CB5CA81-988E-4F97-BB11-8B48ABBB9654}" name="Población" dataDxfId="41"/>
    <tableColumn id="3" xr3:uid="{15047A13-D527-4FF6-BF19-A3D6F0F87F1F}" name="Agrupación social" dataDxfId="40"/>
    <tableColumn id="4" xr3:uid="{5A9301CD-C9FB-427F-8910-4C4F80F11CA4}" name="Sexo" dataDxfId="39"/>
    <tableColumn id="5" xr3:uid="{19CFEF7A-3FE4-4E57-8AFE-E1DB1A2C07B4}" name="Entidad" dataDxfId="38"/>
    <tableColumn id="6" xr3:uid="{498A1FCD-7ED4-4A18-9300-2DF473DA8DD0}" name="centros" dataDxfId="37"/>
    <tableColumn id="7" xr3:uid="{0CF34FE6-DEE6-48BD-A06E-1B1900E10662}" name="Total" dataDxfId="36"/>
    <tableColumn id="8" xr3:uid="{875E9C03-E5C8-4C24-BDB3-3555491E0B0F}" name="Cantidad" dataDxfId="35"/>
    <tableColumn id="9" xr3:uid="{3DCD7CA6-AB42-4251-8476-9B604204379A}" name="Porcentaje" dataDxfId="34"/>
    <tableColumn id="10" xr3:uid="{C457D2F8-809B-4F13-A244-1103EA44F8AE}" name="Tasa" dataDxfId="33"/>
    <tableColumn id="17" xr3:uid="{545DFE0D-5E6C-4105-8B05-EE8E6428B50D}" name="year_id" dataDxfId="32">
      <calculatedColumnFormula>VLOOKUP(Tabla4[[#This Row],[Año]],Tabla6[[#All],[name]:[id_2]],2)</calculatedColumnFormula>
    </tableColumn>
    <tableColumn id="19" xr3:uid="{B3FF9074-5129-4ECB-84A0-0C75088A77BA}" name="category_id" dataDxfId="31">
      <calculatedColumnFormula>VLOOKUP(Tabla4[[#This Row],[Agrupación social]],Tabla5[[#All],[name]:[id_1]],2,FALSE)</calculatedColumnFormula>
    </tableColumn>
    <tableColumn id="18" xr3:uid="{28F90810-C2F7-4AC5-877E-98D99181F5E4}" name="gender_id" dataDxfId="30">
      <calculatedColumnFormula>VLOOKUP(Tabla4[[#This Row],[Sexo]],Tabla8[[#All],[name]:[gender_id]],2,FALSE)</calculatedColumnFormula>
    </tableColumn>
    <tableColumn id="20" xr3:uid="{33D1819C-0D35-4F5C-A16B-EE259B2BC252}" name="state_id" dataDxfId="29">
      <calculatedColumnFormula>VLOOKUP(Tabla4[[#This Row],[Entidad]],Tabla3[[#All],[name]:[ID_2]],2,FALSE)</calculatedColumnFormula>
    </tableColumn>
    <tableColumn id="22" xr3:uid="{49416656-C4D0-495F-BBEC-F8342A8D8658}" name="center_id" dataDxfId="28">
      <calculatedColumnFormula>IF(LEN(Tabla4[[#This Row],[centros]])&gt;0,VLOOKUP(Tabla4[[#This Row],[centros]],Tabla2[[#All],[Centros]:[ID]],2,FALSE),"")</calculatedColumnFormula>
    </tableColumn>
    <tableColumn id="11" xr3:uid="{1654D801-6FF6-4433-BC44-0601B51422F9}" name="QUERY" dataDxfId="27">
      <calculatedColumnFormula>"INSERT INTO indicator_category_details (indicator_category_id, year_id, gender_id, center_id, quantity, status) VALUES ("
&amp;L2&amp;", "&amp;K2&amp;", "&amp;M2&amp;", "&amp;O2&amp;", "&amp;H2&amp;", 1);"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570E36-ED56-43E9-A032-6F5A8ED76CED}" name="Tabla1" displayName="Tabla1" ref="B1:E1066" totalsRowShown="0">
  <autoFilter ref="B1:E1066" xr:uid="{F9652C54-3661-49AD-8E68-AF1055E81155}"/>
  <sortState xmlns:xlrd2="http://schemas.microsoft.com/office/spreadsheetml/2017/richdata2" ref="B66:E722">
    <sortCondition ref="C1:C1066"/>
  </sortState>
  <tableColumns count="4">
    <tableColumn id="1" xr3:uid="{4E7AB22E-2139-4C46-A35C-86CD1C92EFC2}" name="Indicador"/>
    <tableColumn id="2" xr3:uid="{2A872D93-7120-4062-B58B-D72B862299BA}" name="Categorías"/>
    <tableColumn id="3" xr3:uid="{40E6B992-74E1-494A-B433-4766F3499AE8}" name="Centros SI / NO"/>
    <tableColumn id="4" xr3:uid="{1DC62B9C-B6A3-4529-9029-32D9F43A5C98}" name="Largo" dataDxfId="26">
      <calculatedColumnFormula>LEN(Tabla1[[#This Row],[Categorías]])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602AF6-BEE0-4F46-91EC-080130A9DC1B}" name="Tabla7" displayName="Tabla7" ref="A1:B5" totalsRowShown="0">
  <autoFilter ref="A1:B5" xr:uid="{9F602AF6-BEE0-4F46-91EC-080130A9DC1B}"/>
  <tableColumns count="2">
    <tableColumn id="1" xr3:uid="{CD48FF9F-1463-45E3-A061-F997D6BB0AD4}" name="indicador" dataDxfId="25"/>
    <tableColumn id="2" xr3:uid="{301821CC-9751-4A67-8C42-44E2B8F7C62C}" name="categorí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C00C4E-73F1-4642-8118-20AD61557C35}" name="Tabla10" displayName="Tabla10" ref="A1:L129" totalsRowShown="0" headerRowBorderDxfId="24">
  <autoFilter ref="A1:L129" xr:uid="{EAC00C4E-73F1-4642-8118-20AD61557C35}"/>
  <tableColumns count="12">
    <tableColumn id="11" xr3:uid="{19713AA2-F325-47E1-A12C-4A21FD0E56CB}" name="clave" dataDxfId="23">
      <calculatedColumnFormula>Tabla10[[#This Row],[TIPO_P]] &amp; "|" &amp;Tabla10[[#This Row],[Agrupación]] &amp; "|" &amp; Tabla10[[#This Row],[Sexo]] &amp; "|" &amp; Tabla10[[#This Row],[Entidad]]</calculatedColumnFormula>
    </tableColumn>
    <tableColumn id="12" xr3:uid="{DA2CE0C4-C7A0-4D81-AA4F-D198764FED54}" name="TIPO_P" dataDxfId="22"/>
    <tableColumn id="1" xr3:uid="{020B40CA-F4A7-468D-87B2-7AD625927556}" name="Año" dataDxfId="21"/>
    <tableColumn id="2" xr3:uid="{362E8219-D32B-4178-A0D4-875664E60251}" name="Población"/>
    <tableColumn id="3" xr3:uid="{A1D9FC23-B816-4FEC-B8DB-A89182E353F0}" name="Agrupación"/>
    <tableColumn id="4" xr3:uid="{4A4D8101-E3B3-414D-A713-01CAA87604F7}" name="Sexo"/>
    <tableColumn id="5" xr3:uid="{71C611FD-B9E1-471A-9B90-FD09808DC13B}" name="Entidad"/>
    <tableColumn id="6" xr3:uid="{538D1E0A-1B62-44B2-A0FD-C64E9A4A3B70}" name="centros"/>
    <tableColumn id="7" xr3:uid="{BFBBD779-2EB3-480F-97EC-C758DDFEC4B6}" name="Total"/>
    <tableColumn id="8" xr3:uid="{2A3EBBAA-9DCC-40BE-98F7-2730C2949A1B}" name="Cantidad"/>
    <tableColumn id="9" xr3:uid="{25DE1D46-732B-4615-98E2-1B4763AA49C4}" name="Porcentaje"/>
    <tableColumn id="10" xr3:uid="{47FD65EA-A48D-453A-8475-6BC4D2D276FE}" name="Tas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BBBEA02-30E1-4A51-AEA8-CDDB4D390B03}" name="Tabla410" displayName="Tabla410" ref="A2:Q66" totalsRowShown="0" headerRowDxfId="20" headerRowBorderDxfId="19" tableBorderDxfId="18" totalsRowBorderDxfId="17">
  <autoFilter ref="A2:Q66" xr:uid="{F56C383E-D9C6-4A13-AE27-6FD462CC2D15}"/>
  <sortState xmlns:xlrd2="http://schemas.microsoft.com/office/spreadsheetml/2017/richdata2" ref="A3:Q34">
    <sortCondition ref="F2:F34"/>
  </sortState>
  <tableColumns count="17">
    <tableColumn id="1" xr3:uid="{36B6AD1F-D0D6-47D3-A33A-6C3F20CC3B8B}" name="Año" dataDxfId="16"/>
    <tableColumn id="7" xr3:uid="{331A649C-88C6-439B-9544-91B76EFFB31D}" name="P1" dataDxfId="15"/>
    <tableColumn id="2" xr3:uid="{0F9E1E44-85C7-46E0-810E-F6CCB4FCD38B}" name="P2" dataDxfId="14"/>
    <tableColumn id="3" xr3:uid="{3C360704-A620-4712-9DFB-D18F18E1FFAA}" name="Agrupación" dataDxfId="13"/>
    <tableColumn id="4" xr3:uid="{B9C9E24E-431A-4E02-BD27-D9E2FED9D866}" name="Sexo" dataDxfId="12"/>
    <tableColumn id="5" xr3:uid="{A5539537-BC8F-4361-A685-E9D9E0D8D391}" name="Entidad" dataDxfId="11"/>
    <tableColumn id="6" xr3:uid="{7CF3C25D-B790-43EE-86CC-A8FE6753FAE7}" name="centros" dataDxfId="10"/>
    <tableColumn id="12" xr3:uid="{F98FBCDE-6892-487E-9494-975576D9AC0F}" name="CLAVE PI" dataDxfId="9">
      <calculatedColumnFormula>Tabla410[[#This Row],[P1]] &amp; "|" &amp;Tabla410[[#This Row],[Agrupación]] &amp; "|" &amp; Tabla410[[#This Row],[Sexo]] &amp; "|" &amp; Tabla410[[#This Row],[Entidad]]</calculatedColumnFormula>
    </tableColumn>
    <tableColumn id="13" xr3:uid="{45D84198-86DD-489A-80EB-6C69661FFB46}" name="CLAVE PS" dataDxfId="8">
      <calculatedColumnFormula>Tabla410[[#This Row],[P2]] &amp; "|" &amp;Tabla410[[#This Row],[Agrupación]] &amp; "|" &amp; Tabla410[[#This Row],[Sexo]] &amp; "|" &amp; Tabla410[[#This Row],[Entidad]]</calculatedColumnFormula>
    </tableColumn>
    <tableColumn id="19" xr3:uid="{1F439AF8-7D30-4309-B5ED-942819B0E864}" name="category_id" dataDxfId="7">
      <calculatedColumnFormula>VLOOKUP(Tabla410[[#This Row],[Agrupación]],Tabla5[[#All],[name]:[id_1]],2,FALSE)</calculatedColumnFormula>
    </tableColumn>
    <tableColumn id="17" xr3:uid="{4E0CDD5E-747E-42EB-82D7-D375E8508F69}" name="year_id" dataDxfId="6">
      <calculatedColumnFormula>VLOOKUP(Tabla410[[#This Row],[Año]],Tabla6[[#All],[name]:[id_2]],2)</calculatedColumnFormula>
    </tableColumn>
    <tableColumn id="18" xr3:uid="{0F028C54-C26A-4FB1-AD19-C4819ED71F29}" name="gender_id" dataDxfId="5">
      <calculatedColumnFormula>VLOOKUP(Tabla410[[#This Row],[Sexo]],Tabla8[[#All],[name]:[gender_id]],2,FALSE)</calculatedColumnFormula>
    </tableColumn>
    <tableColumn id="22" xr3:uid="{127CB7B9-68C0-4B60-B118-CF52F42DA41C}" name="center_id" dataDxfId="4">
      <calculatedColumnFormula>IF(LEN(Tabla410[[#This Row],[centros]])&gt;0,VLOOKUP(Tabla410[[#This Row],[centros]],Tabla2[[#All],[Centros]:[ID]],2,FALSE),"NULL")</calculatedColumnFormula>
    </tableColumn>
    <tableColumn id="20" xr3:uid="{ED0DA87A-07F6-4B1E-B289-7108469E3867}" name="state_id" dataDxfId="3">
      <calculatedColumnFormula>VLOOKUP(Tabla410[[#This Row],[Entidad]],Tabla3[[#All],[name]:[ID_2]],2,FALSE)</calculatedColumnFormula>
    </tableColumn>
    <tableColumn id="8" xr3:uid="{04CA0156-0EBF-49BA-A619-A63810C9E4E0}" name="PI" dataDxfId="2">
      <calculatedColumnFormula>IFERROR(VLOOKUP(Tabla410[[#This Row],[CLAVE PI]], Tabla10[], 10, FALSE), 0)</calculatedColumnFormula>
    </tableColumn>
    <tableColumn id="9" xr3:uid="{9948CB1D-EA2E-464A-9025-644D9051E5F1}" name="PS" dataDxfId="1">
      <calculatedColumnFormula>IFERROR(VLOOKUP(Tabla410[[#This Row],[CLAVE PS]], Tabla10[], 10, FALSE), 0)</calculatedColumnFormula>
    </tableColumn>
    <tableColumn id="11" xr3:uid="{1158E333-374D-491A-AFD7-0959D2BB943E}" name="QUERY" dataDxfId="0">
      <calculatedColumnFormula>"INSERT INTO indicator_category_details (category_id, year_id, gender_id, center_id, state_id, PI, PS, status) VALUES ("
&amp;J3&amp;", "&amp;K3&amp;", "&amp;L3&amp;", "&amp;M3&amp;", "&amp;N3&amp;", "&amp;O3&amp;", "&amp;P3&amp;", 1);"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5F34-C99D-4CCD-8FD4-642B1320360C}">
  <sheetPr>
    <tabColor theme="4" tint="0.39997558519241921"/>
  </sheetPr>
  <dimension ref="A1:D27"/>
  <sheetViews>
    <sheetView workbookViewId="0">
      <selection activeCell="F10" sqref="F10"/>
    </sheetView>
  </sheetViews>
  <sheetFormatPr baseColWidth="10" defaultRowHeight="14.4" x14ac:dyDescent="0.3"/>
  <sheetData>
    <row r="1" spans="1:4" x14ac:dyDescent="0.3">
      <c r="A1" t="s">
        <v>950</v>
      </c>
      <c r="B1" t="s">
        <v>952</v>
      </c>
      <c r="C1" t="s">
        <v>1028</v>
      </c>
      <c r="D1" t="s">
        <v>955</v>
      </c>
    </row>
    <row r="2" spans="1:4" x14ac:dyDescent="0.3">
      <c r="A2">
        <v>1</v>
      </c>
      <c r="B2">
        <v>2000</v>
      </c>
      <c r="C2">
        <v>1</v>
      </c>
      <c r="D2">
        <v>1</v>
      </c>
    </row>
    <row r="3" spans="1:4" x14ac:dyDescent="0.3">
      <c r="A3">
        <v>2</v>
      </c>
      <c r="B3">
        <v>2001</v>
      </c>
      <c r="C3">
        <v>2</v>
      </c>
      <c r="D3">
        <v>1</v>
      </c>
    </row>
    <row r="4" spans="1:4" x14ac:dyDescent="0.3">
      <c r="A4">
        <v>3</v>
      </c>
      <c r="B4">
        <v>2002</v>
      </c>
      <c r="C4">
        <v>3</v>
      </c>
      <c r="D4">
        <v>1</v>
      </c>
    </row>
    <row r="5" spans="1:4" x14ac:dyDescent="0.3">
      <c r="A5">
        <v>4</v>
      </c>
      <c r="B5">
        <v>2003</v>
      </c>
      <c r="C5">
        <v>4</v>
      </c>
      <c r="D5">
        <v>1</v>
      </c>
    </row>
    <row r="6" spans="1:4" x14ac:dyDescent="0.3">
      <c r="A6">
        <v>5</v>
      </c>
      <c r="B6">
        <v>2004</v>
      </c>
      <c r="C6">
        <v>5</v>
      </c>
      <c r="D6">
        <v>1</v>
      </c>
    </row>
    <row r="7" spans="1:4" x14ac:dyDescent="0.3">
      <c r="A7">
        <v>6</v>
      </c>
      <c r="B7">
        <v>2005</v>
      </c>
      <c r="C7">
        <v>6</v>
      </c>
      <c r="D7">
        <v>1</v>
      </c>
    </row>
    <row r="8" spans="1:4" x14ac:dyDescent="0.3">
      <c r="A8">
        <v>7</v>
      </c>
      <c r="B8">
        <v>2006</v>
      </c>
      <c r="C8">
        <v>7</v>
      </c>
      <c r="D8">
        <v>1</v>
      </c>
    </row>
    <row r="9" spans="1:4" x14ac:dyDescent="0.3">
      <c r="A9">
        <v>8</v>
      </c>
      <c r="B9">
        <v>2007</v>
      </c>
      <c r="C9">
        <v>8</v>
      </c>
      <c r="D9">
        <v>1</v>
      </c>
    </row>
    <row r="10" spans="1:4" x14ac:dyDescent="0.3">
      <c r="A10">
        <v>9</v>
      </c>
      <c r="B10">
        <v>2008</v>
      </c>
      <c r="C10">
        <v>9</v>
      </c>
      <c r="D10">
        <v>1</v>
      </c>
    </row>
    <row r="11" spans="1:4" x14ac:dyDescent="0.3">
      <c r="A11">
        <v>10</v>
      </c>
      <c r="B11">
        <v>2009</v>
      </c>
      <c r="C11">
        <v>10</v>
      </c>
      <c r="D11">
        <v>1</v>
      </c>
    </row>
    <row r="12" spans="1:4" x14ac:dyDescent="0.3">
      <c r="A12">
        <v>11</v>
      </c>
      <c r="B12">
        <v>2010</v>
      </c>
      <c r="C12">
        <v>11</v>
      </c>
      <c r="D12">
        <v>1</v>
      </c>
    </row>
    <row r="13" spans="1:4" x14ac:dyDescent="0.3">
      <c r="A13">
        <v>12</v>
      </c>
      <c r="B13">
        <v>2011</v>
      </c>
      <c r="C13">
        <v>12</v>
      </c>
      <c r="D13">
        <v>1</v>
      </c>
    </row>
    <row r="14" spans="1:4" x14ac:dyDescent="0.3">
      <c r="A14">
        <v>13</v>
      </c>
      <c r="B14">
        <v>2012</v>
      </c>
      <c r="C14">
        <v>13</v>
      </c>
      <c r="D14">
        <v>1</v>
      </c>
    </row>
    <row r="15" spans="1:4" x14ac:dyDescent="0.3">
      <c r="A15">
        <v>14</v>
      </c>
      <c r="B15">
        <v>2013</v>
      </c>
      <c r="C15">
        <v>14</v>
      </c>
      <c r="D15">
        <v>1</v>
      </c>
    </row>
    <row r="16" spans="1:4" x14ac:dyDescent="0.3">
      <c r="A16">
        <v>15</v>
      </c>
      <c r="B16">
        <v>2014</v>
      </c>
      <c r="C16">
        <v>15</v>
      </c>
      <c r="D16">
        <v>1</v>
      </c>
    </row>
    <row r="17" spans="1:4" x14ac:dyDescent="0.3">
      <c r="A17">
        <v>16</v>
      </c>
      <c r="B17">
        <v>2015</v>
      </c>
      <c r="C17">
        <v>16</v>
      </c>
      <c r="D17">
        <v>1</v>
      </c>
    </row>
    <row r="18" spans="1:4" x14ac:dyDescent="0.3">
      <c r="A18">
        <v>17</v>
      </c>
      <c r="B18">
        <v>2016</v>
      </c>
      <c r="C18">
        <v>17</v>
      </c>
      <c r="D18">
        <v>1</v>
      </c>
    </row>
    <row r="19" spans="1:4" x14ac:dyDescent="0.3">
      <c r="A19">
        <v>18</v>
      </c>
      <c r="B19">
        <v>2017</v>
      </c>
      <c r="C19">
        <v>18</v>
      </c>
      <c r="D19">
        <v>1</v>
      </c>
    </row>
    <row r="20" spans="1:4" x14ac:dyDescent="0.3">
      <c r="A20">
        <v>19</v>
      </c>
      <c r="B20">
        <v>2018</v>
      </c>
      <c r="C20">
        <v>19</v>
      </c>
      <c r="D20">
        <v>1</v>
      </c>
    </row>
    <row r="21" spans="1:4" x14ac:dyDescent="0.3">
      <c r="A21">
        <v>20</v>
      </c>
      <c r="B21">
        <v>2019</v>
      </c>
      <c r="C21">
        <v>20</v>
      </c>
      <c r="D21">
        <v>1</v>
      </c>
    </row>
    <row r="22" spans="1:4" x14ac:dyDescent="0.3">
      <c r="A22">
        <v>21</v>
      </c>
      <c r="B22">
        <v>2020</v>
      </c>
      <c r="C22">
        <v>21</v>
      </c>
      <c r="D22">
        <v>1</v>
      </c>
    </row>
    <row r="23" spans="1:4" x14ac:dyDescent="0.3">
      <c r="A23">
        <v>22</v>
      </c>
      <c r="B23">
        <v>2021</v>
      </c>
      <c r="C23">
        <v>22</v>
      </c>
      <c r="D23">
        <v>1</v>
      </c>
    </row>
    <row r="24" spans="1:4" x14ac:dyDescent="0.3">
      <c r="A24">
        <v>23</v>
      </c>
      <c r="B24">
        <v>2022</v>
      </c>
      <c r="C24">
        <v>23</v>
      </c>
      <c r="D24">
        <v>1</v>
      </c>
    </row>
    <row r="25" spans="1:4" x14ac:dyDescent="0.3">
      <c r="A25">
        <v>24</v>
      </c>
      <c r="B25">
        <v>2023</v>
      </c>
      <c r="C25">
        <v>24</v>
      </c>
      <c r="D25">
        <v>1</v>
      </c>
    </row>
    <row r="26" spans="1:4" x14ac:dyDescent="0.3">
      <c r="A26">
        <v>25</v>
      </c>
      <c r="B26">
        <v>2024</v>
      </c>
      <c r="C26">
        <v>25</v>
      </c>
      <c r="D26">
        <v>1</v>
      </c>
    </row>
    <row r="27" spans="1:4" x14ac:dyDescent="0.3">
      <c r="A27">
        <v>26</v>
      </c>
      <c r="B27">
        <v>2025</v>
      </c>
      <c r="C27">
        <v>26</v>
      </c>
      <c r="D2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2D74-F8DC-4CB2-B76E-14EBC6EB5D5A}">
  <sheetPr>
    <tabColor theme="4" tint="0.39997558519241921"/>
  </sheetPr>
  <dimension ref="A1:H33"/>
  <sheetViews>
    <sheetView zoomScale="130" zoomScaleNormal="130" workbookViewId="0">
      <selection activeCell="A2" sqref="A2"/>
    </sheetView>
  </sheetViews>
  <sheetFormatPr baseColWidth="10" defaultRowHeight="14.4" x14ac:dyDescent="0.3"/>
  <cols>
    <col min="3" max="3" width="30.5546875" customWidth="1"/>
    <col min="4" max="4" width="9.109375" customWidth="1"/>
    <col min="5" max="5" width="28.44140625" customWidth="1"/>
  </cols>
  <sheetData>
    <row r="1" spans="1:8" x14ac:dyDescent="0.3">
      <c r="A1" t="s">
        <v>950</v>
      </c>
      <c r="B1" t="s">
        <v>951</v>
      </c>
      <c r="C1" t="s">
        <v>952</v>
      </c>
      <c r="D1" t="s">
        <v>1034</v>
      </c>
      <c r="E1" t="s">
        <v>953</v>
      </c>
      <c r="F1" t="s">
        <v>954</v>
      </c>
      <c r="G1" t="s">
        <v>1029</v>
      </c>
      <c r="H1" t="s">
        <v>955</v>
      </c>
    </row>
    <row r="2" spans="1:8" x14ac:dyDescent="0.3">
      <c r="A2">
        <v>1</v>
      </c>
      <c r="B2">
        <v>1</v>
      </c>
      <c r="C2" t="s">
        <v>518</v>
      </c>
      <c r="D2">
        <v>1</v>
      </c>
      <c r="E2" t="s">
        <v>956</v>
      </c>
      <c r="F2" t="s">
        <v>957</v>
      </c>
      <c r="G2">
        <v>1</v>
      </c>
      <c r="H2">
        <v>1</v>
      </c>
    </row>
    <row r="3" spans="1:8" x14ac:dyDescent="0.3">
      <c r="A3">
        <v>2</v>
      </c>
      <c r="B3">
        <v>1</v>
      </c>
      <c r="C3" t="s">
        <v>519</v>
      </c>
      <c r="D3">
        <v>2</v>
      </c>
      <c r="E3" t="s">
        <v>958</v>
      </c>
      <c r="F3" t="s">
        <v>959</v>
      </c>
      <c r="G3">
        <v>2</v>
      </c>
      <c r="H3">
        <v>1</v>
      </c>
    </row>
    <row r="4" spans="1:8" x14ac:dyDescent="0.3">
      <c r="A4">
        <v>3</v>
      </c>
      <c r="B4">
        <v>1</v>
      </c>
      <c r="C4" t="s">
        <v>528</v>
      </c>
      <c r="D4">
        <v>3</v>
      </c>
      <c r="E4" t="s">
        <v>958</v>
      </c>
      <c r="F4" t="s">
        <v>960</v>
      </c>
      <c r="G4">
        <v>3</v>
      </c>
      <c r="H4">
        <v>1</v>
      </c>
    </row>
    <row r="5" spans="1:8" x14ac:dyDescent="0.3">
      <c r="A5">
        <v>4</v>
      </c>
      <c r="B5">
        <v>1</v>
      </c>
      <c r="C5" t="s">
        <v>534</v>
      </c>
      <c r="D5">
        <v>4</v>
      </c>
      <c r="E5" t="s">
        <v>961</v>
      </c>
      <c r="F5" t="s">
        <v>962</v>
      </c>
      <c r="G5">
        <v>4</v>
      </c>
      <c r="H5">
        <v>1</v>
      </c>
    </row>
    <row r="6" spans="1:8" x14ac:dyDescent="0.3">
      <c r="A6">
        <v>5</v>
      </c>
      <c r="B6">
        <v>1</v>
      </c>
      <c r="C6" t="s">
        <v>553</v>
      </c>
      <c r="D6">
        <v>5</v>
      </c>
      <c r="E6" t="s">
        <v>963</v>
      </c>
      <c r="F6" t="s">
        <v>964</v>
      </c>
      <c r="G6">
        <v>5</v>
      </c>
      <c r="H6">
        <v>1</v>
      </c>
    </row>
    <row r="7" spans="1:8" x14ac:dyDescent="0.3">
      <c r="A7">
        <v>6</v>
      </c>
      <c r="B7">
        <v>1</v>
      </c>
      <c r="C7" t="s">
        <v>570</v>
      </c>
      <c r="D7">
        <v>6</v>
      </c>
      <c r="E7" t="s">
        <v>965</v>
      </c>
      <c r="F7" t="s">
        <v>966</v>
      </c>
      <c r="G7">
        <v>6</v>
      </c>
      <c r="H7">
        <v>1</v>
      </c>
    </row>
    <row r="8" spans="1:8" x14ac:dyDescent="0.3">
      <c r="A8">
        <v>7</v>
      </c>
      <c r="B8">
        <v>1</v>
      </c>
      <c r="C8" t="s">
        <v>582</v>
      </c>
      <c r="D8">
        <v>7</v>
      </c>
      <c r="E8" t="s">
        <v>967</v>
      </c>
      <c r="F8" t="s">
        <v>968</v>
      </c>
      <c r="G8">
        <v>7</v>
      </c>
      <c r="H8">
        <v>1</v>
      </c>
    </row>
    <row r="9" spans="1:8" x14ac:dyDescent="0.3">
      <c r="A9">
        <v>8</v>
      </c>
      <c r="B9">
        <v>1</v>
      </c>
      <c r="C9" t="s">
        <v>538</v>
      </c>
      <c r="D9">
        <v>8</v>
      </c>
      <c r="E9" t="s">
        <v>969</v>
      </c>
      <c r="F9" t="s">
        <v>970</v>
      </c>
      <c r="G9">
        <v>8</v>
      </c>
      <c r="H9">
        <v>1</v>
      </c>
    </row>
    <row r="10" spans="1:8" x14ac:dyDescent="0.3">
      <c r="A10">
        <v>9</v>
      </c>
      <c r="B10">
        <v>1</v>
      </c>
      <c r="C10" t="s">
        <v>547</v>
      </c>
      <c r="D10">
        <v>9</v>
      </c>
      <c r="E10" t="s">
        <v>971</v>
      </c>
      <c r="F10" t="s">
        <v>972</v>
      </c>
      <c r="G10">
        <v>9</v>
      </c>
      <c r="H10">
        <v>1</v>
      </c>
    </row>
    <row r="11" spans="1:8" x14ac:dyDescent="0.3">
      <c r="A11">
        <v>10</v>
      </c>
      <c r="B11">
        <v>1</v>
      </c>
      <c r="C11" t="s">
        <v>600</v>
      </c>
      <c r="D11">
        <v>10</v>
      </c>
      <c r="E11" t="s">
        <v>973</v>
      </c>
      <c r="F11" t="s">
        <v>974</v>
      </c>
      <c r="G11">
        <v>10</v>
      </c>
      <c r="H11">
        <v>1</v>
      </c>
    </row>
    <row r="12" spans="1:8" x14ac:dyDescent="0.3">
      <c r="A12">
        <v>11</v>
      </c>
      <c r="B12">
        <v>1</v>
      </c>
      <c r="C12" t="s">
        <v>606</v>
      </c>
      <c r="D12">
        <v>11</v>
      </c>
      <c r="E12" t="s">
        <v>975</v>
      </c>
      <c r="F12" t="s">
        <v>976</v>
      </c>
      <c r="G12">
        <v>11</v>
      </c>
      <c r="H12">
        <v>1</v>
      </c>
    </row>
    <row r="13" spans="1:8" x14ac:dyDescent="0.3">
      <c r="A13">
        <v>12</v>
      </c>
      <c r="B13">
        <v>1</v>
      </c>
      <c r="C13" t="s">
        <v>619</v>
      </c>
      <c r="D13">
        <v>12</v>
      </c>
      <c r="E13" t="s">
        <v>977</v>
      </c>
      <c r="F13" t="s">
        <v>978</v>
      </c>
      <c r="G13">
        <v>12</v>
      </c>
      <c r="H13">
        <v>1</v>
      </c>
    </row>
    <row r="14" spans="1:8" x14ac:dyDescent="0.3">
      <c r="A14">
        <v>13</v>
      </c>
      <c r="B14">
        <v>1</v>
      </c>
      <c r="C14" t="s">
        <v>633</v>
      </c>
      <c r="D14">
        <v>13</v>
      </c>
      <c r="E14" t="s">
        <v>979</v>
      </c>
      <c r="F14" t="s">
        <v>980</v>
      </c>
      <c r="G14">
        <v>13</v>
      </c>
      <c r="H14">
        <v>1</v>
      </c>
    </row>
    <row r="15" spans="1:8" x14ac:dyDescent="0.3">
      <c r="A15">
        <v>14</v>
      </c>
      <c r="B15">
        <v>1</v>
      </c>
      <c r="C15" t="s">
        <v>647</v>
      </c>
      <c r="D15">
        <v>14</v>
      </c>
      <c r="E15" t="s">
        <v>981</v>
      </c>
      <c r="F15" t="s">
        <v>982</v>
      </c>
      <c r="G15">
        <v>14</v>
      </c>
      <c r="H15">
        <v>1</v>
      </c>
    </row>
    <row r="16" spans="1:8" x14ac:dyDescent="0.3">
      <c r="A16">
        <v>15</v>
      </c>
      <c r="B16">
        <v>1</v>
      </c>
      <c r="C16" t="s">
        <v>662</v>
      </c>
      <c r="D16">
        <v>15</v>
      </c>
      <c r="E16" t="s">
        <v>983</v>
      </c>
      <c r="F16" t="s">
        <v>984</v>
      </c>
      <c r="G16">
        <v>15</v>
      </c>
      <c r="H16">
        <v>1</v>
      </c>
    </row>
    <row r="17" spans="1:8" x14ac:dyDescent="0.3">
      <c r="A17">
        <v>16</v>
      </c>
      <c r="B17">
        <v>1</v>
      </c>
      <c r="C17" t="s">
        <v>685</v>
      </c>
      <c r="D17">
        <v>16</v>
      </c>
      <c r="E17" t="s">
        <v>985</v>
      </c>
      <c r="F17" t="s">
        <v>986</v>
      </c>
      <c r="G17">
        <v>16</v>
      </c>
      <c r="H17">
        <v>1</v>
      </c>
    </row>
    <row r="18" spans="1:8" x14ac:dyDescent="0.3">
      <c r="A18">
        <v>17</v>
      </c>
      <c r="B18">
        <v>1</v>
      </c>
      <c r="C18" t="s">
        <v>698</v>
      </c>
      <c r="D18">
        <v>17</v>
      </c>
      <c r="E18" t="s">
        <v>987</v>
      </c>
      <c r="F18" t="s">
        <v>988</v>
      </c>
      <c r="G18">
        <v>17</v>
      </c>
      <c r="H18">
        <v>1</v>
      </c>
    </row>
    <row r="19" spans="1:8" x14ac:dyDescent="0.3">
      <c r="A19">
        <v>18</v>
      </c>
      <c r="B19">
        <v>1</v>
      </c>
      <c r="C19" t="s">
        <v>705</v>
      </c>
      <c r="D19">
        <v>18</v>
      </c>
      <c r="E19" t="s">
        <v>989</v>
      </c>
      <c r="F19" t="s">
        <v>990</v>
      </c>
      <c r="G19">
        <v>18</v>
      </c>
      <c r="H19">
        <v>1</v>
      </c>
    </row>
    <row r="20" spans="1:8" x14ac:dyDescent="0.3">
      <c r="A20">
        <v>19</v>
      </c>
      <c r="B20">
        <v>1</v>
      </c>
      <c r="C20" t="s">
        <v>710</v>
      </c>
      <c r="D20">
        <v>19</v>
      </c>
      <c r="E20" t="s">
        <v>991</v>
      </c>
      <c r="F20" t="s">
        <v>992</v>
      </c>
      <c r="G20">
        <v>19</v>
      </c>
      <c r="H20">
        <v>1</v>
      </c>
    </row>
    <row r="21" spans="1:8" x14ac:dyDescent="0.3">
      <c r="A21">
        <v>20</v>
      </c>
      <c r="B21">
        <v>1</v>
      </c>
      <c r="C21" t="s">
        <v>716</v>
      </c>
      <c r="D21">
        <v>20</v>
      </c>
      <c r="E21" t="s">
        <v>993</v>
      </c>
      <c r="F21" t="s">
        <v>994</v>
      </c>
      <c r="G21">
        <v>20</v>
      </c>
      <c r="H21">
        <v>1</v>
      </c>
    </row>
    <row r="22" spans="1:8" x14ac:dyDescent="0.3">
      <c r="A22">
        <v>21</v>
      </c>
      <c r="B22">
        <v>1</v>
      </c>
      <c r="C22" t="s">
        <v>727</v>
      </c>
      <c r="D22">
        <v>21</v>
      </c>
      <c r="E22" t="s">
        <v>995</v>
      </c>
      <c r="F22" t="s">
        <v>996</v>
      </c>
      <c r="G22">
        <v>21</v>
      </c>
      <c r="H22">
        <v>1</v>
      </c>
    </row>
    <row r="23" spans="1:8" x14ac:dyDescent="0.3">
      <c r="A23">
        <v>22</v>
      </c>
      <c r="B23">
        <v>1</v>
      </c>
      <c r="C23" t="s">
        <v>731</v>
      </c>
      <c r="D23">
        <v>22</v>
      </c>
      <c r="E23" t="s">
        <v>997</v>
      </c>
      <c r="F23" t="s">
        <v>998</v>
      </c>
      <c r="G23">
        <v>22</v>
      </c>
      <c r="H23">
        <v>1</v>
      </c>
    </row>
    <row r="24" spans="1:8" x14ac:dyDescent="0.3">
      <c r="A24">
        <v>23</v>
      </c>
      <c r="B24">
        <v>1</v>
      </c>
      <c r="C24" t="s">
        <v>737</v>
      </c>
      <c r="D24">
        <v>23</v>
      </c>
      <c r="E24" t="s">
        <v>999</v>
      </c>
      <c r="F24" t="s">
        <v>1000</v>
      </c>
      <c r="G24">
        <v>23</v>
      </c>
      <c r="H24">
        <v>1</v>
      </c>
    </row>
    <row r="25" spans="1:8" x14ac:dyDescent="0.3">
      <c r="A25">
        <v>24</v>
      </c>
      <c r="B25">
        <v>1</v>
      </c>
      <c r="C25" t="s">
        <v>741</v>
      </c>
      <c r="D25">
        <v>24</v>
      </c>
      <c r="E25" t="s">
        <v>1001</v>
      </c>
      <c r="F25" t="s">
        <v>1002</v>
      </c>
      <c r="G25">
        <v>24</v>
      </c>
      <c r="H25">
        <v>1</v>
      </c>
    </row>
    <row r="26" spans="1:8" x14ac:dyDescent="0.3">
      <c r="A26">
        <v>25</v>
      </c>
      <c r="B26">
        <v>1</v>
      </c>
      <c r="C26" t="s">
        <v>749</v>
      </c>
      <c r="D26">
        <v>25</v>
      </c>
      <c r="E26" t="s">
        <v>1003</v>
      </c>
      <c r="F26" t="s">
        <v>1004</v>
      </c>
      <c r="G26">
        <v>25</v>
      </c>
      <c r="H26">
        <v>1</v>
      </c>
    </row>
    <row r="27" spans="1:8" x14ac:dyDescent="0.3">
      <c r="A27">
        <v>26</v>
      </c>
      <c r="B27">
        <v>1</v>
      </c>
      <c r="C27" t="s">
        <v>755</v>
      </c>
      <c r="D27">
        <v>26</v>
      </c>
      <c r="E27" t="s">
        <v>1005</v>
      </c>
      <c r="F27" t="s">
        <v>1006</v>
      </c>
      <c r="G27">
        <v>26</v>
      </c>
      <c r="H27">
        <v>1</v>
      </c>
    </row>
    <row r="28" spans="1:8" x14ac:dyDescent="0.3">
      <c r="A28">
        <v>27</v>
      </c>
      <c r="B28">
        <v>1</v>
      </c>
      <c r="C28" t="s">
        <v>775</v>
      </c>
      <c r="D28">
        <v>27</v>
      </c>
      <c r="E28" t="s">
        <v>1007</v>
      </c>
      <c r="F28" t="s">
        <v>1008</v>
      </c>
      <c r="G28">
        <v>27</v>
      </c>
      <c r="H28">
        <v>1</v>
      </c>
    </row>
    <row r="29" spans="1:8" x14ac:dyDescent="0.3">
      <c r="A29">
        <v>28</v>
      </c>
      <c r="B29">
        <v>1</v>
      </c>
      <c r="C29" t="s">
        <v>785</v>
      </c>
      <c r="D29">
        <v>28</v>
      </c>
      <c r="E29" t="s">
        <v>1009</v>
      </c>
      <c r="F29" t="s">
        <v>1010</v>
      </c>
      <c r="G29">
        <v>28</v>
      </c>
      <c r="H29">
        <v>1</v>
      </c>
    </row>
    <row r="30" spans="1:8" x14ac:dyDescent="0.3">
      <c r="A30">
        <v>29</v>
      </c>
      <c r="B30">
        <v>1</v>
      </c>
      <c r="C30" t="s">
        <v>797</v>
      </c>
      <c r="D30">
        <v>29</v>
      </c>
      <c r="E30" t="s">
        <v>1011</v>
      </c>
      <c r="F30" t="s">
        <v>1012</v>
      </c>
      <c r="G30">
        <v>29</v>
      </c>
      <c r="H30">
        <v>1</v>
      </c>
    </row>
    <row r="31" spans="1:8" x14ac:dyDescent="0.3">
      <c r="A31">
        <v>30</v>
      </c>
      <c r="B31">
        <v>1</v>
      </c>
      <c r="C31" t="s">
        <v>802</v>
      </c>
      <c r="D31">
        <v>30</v>
      </c>
      <c r="E31" t="s">
        <v>1013</v>
      </c>
      <c r="F31" t="s">
        <v>1014</v>
      </c>
      <c r="G31">
        <v>30</v>
      </c>
      <c r="H31">
        <v>1</v>
      </c>
    </row>
    <row r="32" spans="1:8" x14ac:dyDescent="0.3">
      <c r="A32">
        <v>31</v>
      </c>
      <c r="B32">
        <v>1</v>
      </c>
      <c r="C32" t="s">
        <v>822</v>
      </c>
      <c r="D32">
        <v>31</v>
      </c>
      <c r="E32" t="s">
        <v>1015</v>
      </c>
      <c r="F32" t="s">
        <v>1016</v>
      </c>
      <c r="G32">
        <v>31</v>
      </c>
      <c r="H32">
        <v>1</v>
      </c>
    </row>
    <row r="33" spans="1:8" x14ac:dyDescent="0.3">
      <c r="A33">
        <v>32</v>
      </c>
      <c r="B33">
        <v>1</v>
      </c>
      <c r="C33" t="s">
        <v>827</v>
      </c>
      <c r="D33">
        <v>32</v>
      </c>
      <c r="E33" t="s">
        <v>1017</v>
      </c>
      <c r="F33" t="s">
        <v>1018</v>
      </c>
      <c r="G33">
        <v>32</v>
      </c>
      <c r="H3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D7F6-5C09-4301-9E4F-43DF0417EB76}">
  <sheetPr>
    <tabColor theme="4" tint="0.39997558519241921"/>
  </sheetPr>
  <dimension ref="A1:D6"/>
  <sheetViews>
    <sheetView workbookViewId="0">
      <selection activeCell="E1" sqref="E1"/>
    </sheetView>
  </sheetViews>
  <sheetFormatPr baseColWidth="10" defaultRowHeight="14.4" x14ac:dyDescent="0.3"/>
  <cols>
    <col min="2" max="2" width="25.88671875" customWidth="1"/>
    <col min="3" max="3" width="11.6640625" customWidth="1"/>
  </cols>
  <sheetData>
    <row r="1" spans="1:4" x14ac:dyDescent="0.3">
      <c r="A1" t="s">
        <v>950</v>
      </c>
      <c r="B1" t="s">
        <v>952</v>
      </c>
      <c r="C1" t="s">
        <v>1030</v>
      </c>
      <c r="D1" t="s">
        <v>955</v>
      </c>
    </row>
    <row r="2" spans="1:4" x14ac:dyDescent="0.3">
      <c r="A2">
        <v>1</v>
      </c>
      <c r="B2" t="s">
        <v>1042</v>
      </c>
      <c r="C2">
        <v>1</v>
      </c>
      <c r="D2">
        <v>1</v>
      </c>
    </row>
    <row r="3" spans="1:4" x14ac:dyDescent="0.3">
      <c r="A3">
        <v>2</v>
      </c>
      <c r="B3" t="s">
        <v>1043</v>
      </c>
      <c r="C3">
        <v>2</v>
      </c>
      <c r="D3">
        <v>1</v>
      </c>
    </row>
    <row r="4" spans="1:4" x14ac:dyDescent="0.3">
      <c r="A4">
        <v>3</v>
      </c>
      <c r="B4" t="s">
        <v>180</v>
      </c>
      <c r="C4">
        <v>3</v>
      </c>
      <c r="D4">
        <v>1</v>
      </c>
    </row>
    <row r="5" spans="1:4" x14ac:dyDescent="0.3">
      <c r="A5">
        <v>4</v>
      </c>
      <c r="B5" t="s">
        <v>168</v>
      </c>
      <c r="C5">
        <v>4</v>
      </c>
      <c r="D5">
        <v>1</v>
      </c>
    </row>
    <row r="6" spans="1:4" x14ac:dyDescent="0.3">
      <c r="A6">
        <v>5</v>
      </c>
      <c r="B6" t="s">
        <v>454</v>
      </c>
      <c r="C6">
        <v>5</v>
      </c>
      <c r="D6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144E-8AC6-4507-B5FA-2170AE83786F}">
  <sheetPr>
    <tabColor theme="4" tint="0.39997558519241921"/>
  </sheetPr>
  <dimension ref="A1:G18"/>
  <sheetViews>
    <sheetView workbookViewId="0">
      <selection activeCell="G2" sqref="G2"/>
    </sheetView>
  </sheetViews>
  <sheetFormatPr baseColWidth="10" defaultRowHeight="14.4" x14ac:dyDescent="0.3"/>
  <cols>
    <col min="2" max="2" width="13.6640625" customWidth="1"/>
    <col min="3" max="3" width="47.6640625" customWidth="1"/>
    <col min="4" max="4" width="11.6640625" customWidth="1"/>
  </cols>
  <sheetData>
    <row r="1" spans="1:7" x14ac:dyDescent="0.3">
      <c r="A1" t="s">
        <v>950</v>
      </c>
      <c r="B1" t="s">
        <v>1032</v>
      </c>
      <c r="C1" t="s">
        <v>952</v>
      </c>
      <c r="D1" t="s">
        <v>1033</v>
      </c>
      <c r="E1" t="s">
        <v>955</v>
      </c>
    </row>
    <row r="2" spans="1:7" x14ac:dyDescent="0.3">
      <c r="A2" s="51">
        <v>1</v>
      </c>
      <c r="C2" s="51" t="s">
        <v>14</v>
      </c>
      <c r="D2">
        <v>1</v>
      </c>
      <c r="G2">
        <v>384</v>
      </c>
    </row>
    <row r="3" spans="1:7" x14ac:dyDescent="0.3">
      <c r="A3" s="51">
        <v>2</v>
      </c>
      <c r="C3" s="51" t="s">
        <v>16</v>
      </c>
      <c r="D3">
        <v>2</v>
      </c>
      <c r="G3">
        <v>378</v>
      </c>
    </row>
    <row r="4" spans="1:7" x14ac:dyDescent="0.3">
      <c r="A4">
        <v>3</v>
      </c>
      <c r="C4" s="51" t="s">
        <v>140</v>
      </c>
      <c r="D4">
        <v>3</v>
      </c>
      <c r="G4">
        <v>192</v>
      </c>
    </row>
    <row r="5" spans="1:7" x14ac:dyDescent="0.3">
      <c r="A5">
        <v>4</v>
      </c>
      <c r="C5" t="s">
        <v>1054</v>
      </c>
      <c r="D5">
        <v>4</v>
      </c>
      <c r="G5">
        <v>378</v>
      </c>
    </row>
    <row r="6" spans="1:7" x14ac:dyDescent="0.3">
      <c r="A6">
        <v>5</v>
      </c>
      <c r="C6" s="51" t="s">
        <v>17</v>
      </c>
      <c r="D6">
        <v>5</v>
      </c>
      <c r="G6">
        <v>320</v>
      </c>
    </row>
    <row r="7" spans="1:7" x14ac:dyDescent="0.3">
      <c r="A7">
        <v>6</v>
      </c>
      <c r="C7" s="51" t="s">
        <v>20</v>
      </c>
      <c r="D7">
        <v>6</v>
      </c>
    </row>
    <row r="8" spans="1:7" x14ac:dyDescent="0.3">
      <c r="A8">
        <v>7</v>
      </c>
      <c r="D8">
        <v>7</v>
      </c>
    </row>
    <row r="9" spans="1:7" x14ac:dyDescent="0.3">
      <c r="A9">
        <v>8</v>
      </c>
      <c r="D9">
        <v>8</v>
      </c>
    </row>
    <row r="10" spans="1:7" x14ac:dyDescent="0.3">
      <c r="A10">
        <v>9</v>
      </c>
      <c r="D10">
        <v>9</v>
      </c>
    </row>
    <row r="11" spans="1:7" x14ac:dyDescent="0.3">
      <c r="A11">
        <v>10</v>
      </c>
      <c r="D11">
        <v>10</v>
      </c>
    </row>
    <row r="12" spans="1:7" x14ac:dyDescent="0.3">
      <c r="A12">
        <v>11</v>
      </c>
      <c r="D12">
        <v>11</v>
      </c>
    </row>
    <row r="13" spans="1:7" x14ac:dyDescent="0.3">
      <c r="A13">
        <v>12</v>
      </c>
      <c r="D13">
        <v>12</v>
      </c>
    </row>
    <row r="14" spans="1:7" x14ac:dyDescent="0.3">
      <c r="A14">
        <v>13</v>
      </c>
      <c r="D14">
        <v>13</v>
      </c>
    </row>
    <row r="15" spans="1:7" x14ac:dyDescent="0.3">
      <c r="A15">
        <v>14</v>
      </c>
      <c r="D15">
        <v>14</v>
      </c>
    </row>
    <row r="16" spans="1:7" x14ac:dyDescent="0.3">
      <c r="A16">
        <v>15</v>
      </c>
      <c r="D16">
        <v>15</v>
      </c>
    </row>
    <row r="17" spans="1:4" x14ac:dyDescent="0.3">
      <c r="A17">
        <v>16</v>
      </c>
      <c r="D17">
        <v>16</v>
      </c>
    </row>
    <row r="18" spans="1:4" x14ac:dyDescent="0.3">
      <c r="A18">
        <v>17</v>
      </c>
      <c r="D18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F47F-E9DD-47FE-8A77-28B9CE7118A4}">
  <dimension ref="B1:E421"/>
  <sheetViews>
    <sheetView workbookViewId="0">
      <selection activeCell="B1" sqref="B1"/>
    </sheetView>
  </sheetViews>
  <sheetFormatPr baseColWidth="10" defaultRowHeight="14.4" x14ac:dyDescent="0.3"/>
  <cols>
    <col min="2" max="2" width="40" customWidth="1"/>
    <col min="3" max="3" width="80.33203125" customWidth="1"/>
    <col min="4" max="4" width="9.33203125" customWidth="1"/>
  </cols>
  <sheetData>
    <row r="1" spans="2:5" x14ac:dyDescent="0.3">
      <c r="B1" t="s">
        <v>500</v>
      </c>
      <c r="C1" t="s">
        <v>499</v>
      </c>
      <c r="D1" s="2" t="s">
        <v>1035</v>
      </c>
      <c r="E1" t="s">
        <v>949</v>
      </c>
    </row>
    <row r="2" spans="2:5" x14ac:dyDescent="0.3">
      <c r="B2" t="s">
        <v>755</v>
      </c>
      <c r="C2" t="s">
        <v>756</v>
      </c>
      <c r="E2">
        <f>LEN(Tabla2[[#This Row],[Centros]])</f>
        <v>11</v>
      </c>
    </row>
    <row r="3" spans="2:5" x14ac:dyDescent="0.3">
      <c r="B3" t="s">
        <v>749</v>
      </c>
      <c r="C3" t="s">
        <v>919</v>
      </c>
      <c r="E3">
        <f>LEN(Tabla2[[#This Row],[Centros]])</f>
        <v>8</v>
      </c>
    </row>
    <row r="4" spans="2:5" x14ac:dyDescent="0.3">
      <c r="B4" t="s">
        <v>785</v>
      </c>
      <c r="C4" t="s">
        <v>889</v>
      </c>
      <c r="E4">
        <f>LEN(Tabla2[[#This Row],[Centros]])</f>
        <v>8</v>
      </c>
    </row>
    <row r="5" spans="2:5" x14ac:dyDescent="0.3">
      <c r="B5" t="s">
        <v>755</v>
      </c>
      <c r="C5" t="s">
        <v>757</v>
      </c>
      <c r="E5">
        <f>LEN(Tabla2[[#This Row],[Centros]])</f>
        <v>7</v>
      </c>
    </row>
    <row r="6" spans="2:5" x14ac:dyDescent="0.3">
      <c r="B6" t="s">
        <v>698</v>
      </c>
      <c r="C6" t="s">
        <v>703</v>
      </c>
      <c r="E6">
        <f>LEN(Tabla2[[#This Row],[Centros]])</f>
        <v>28</v>
      </c>
    </row>
    <row r="7" spans="2:5" x14ac:dyDescent="0.3">
      <c r="B7" t="s">
        <v>755</v>
      </c>
      <c r="C7" t="s">
        <v>758</v>
      </c>
      <c r="E7">
        <f>LEN(Tabla2[[#This Row],[Centros]])</f>
        <v>10</v>
      </c>
    </row>
    <row r="8" spans="2:5" x14ac:dyDescent="0.3">
      <c r="B8" t="s">
        <v>785</v>
      </c>
      <c r="C8" t="s">
        <v>786</v>
      </c>
      <c r="E8">
        <f>LEN(Tabla2[[#This Row],[Centros]])</f>
        <v>14</v>
      </c>
    </row>
    <row r="9" spans="2:5" x14ac:dyDescent="0.3">
      <c r="B9" t="s">
        <v>785</v>
      </c>
      <c r="C9" t="s">
        <v>791</v>
      </c>
      <c r="E9">
        <f>LEN(Tabla2[[#This Row],[Centros]])</f>
        <v>15</v>
      </c>
    </row>
    <row r="10" spans="2:5" x14ac:dyDescent="0.3">
      <c r="B10" t="s">
        <v>785</v>
      </c>
      <c r="C10" t="s">
        <v>787</v>
      </c>
      <c r="E10">
        <f>LEN(Tabla2[[#This Row],[Centros]])</f>
        <v>18</v>
      </c>
    </row>
    <row r="11" spans="2:5" x14ac:dyDescent="0.3">
      <c r="B11" t="s">
        <v>785</v>
      </c>
      <c r="C11" t="s">
        <v>790</v>
      </c>
      <c r="E11">
        <f>LEN(Tabla2[[#This Row],[Centros]])</f>
        <v>13</v>
      </c>
    </row>
    <row r="12" spans="2:5" x14ac:dyDescent="0.3">
      <c r="B12" t="s">
        <v>785</v>
      </c>
      <c r="C12" t="s">
        <v>788</v>
      </c>
      <c r="E12">
        <f>LEN(Tabla2[[#This Row],[Centros]])</f>
        <v>10</v>
      </c>
    </row>
    <row r="13" spans="2:5" x14ac:dyDescent="0.3">
      <c r="B13" t="s">
        <v>785</v>
      </c>
      <c r="C13" t="s">
        <v>789</v>
      </c>
      <c r="E13">
        <f>LEN(Tabla2[[#This Row],[Centros]])</f>
        <v>14</v>
      </c>
    </row>
    <row r="14" spans="2:5" x14ac:dyDescent="0.3">
      <c r="B14" t="s">
        <v>785</v>
      </c>
      <c r="C14" t="s">
        <v>796</v>
      </c>
      <c r="E14">
        <f>LEN(Tabla2[[#This Row],[Centros]])</f>
        <v>15</v>
      </c>
    </row>
    <row r="15" spans="2:5" x14ac:dyDescent="0.3">
      <c r="B15" t="s">
        <v>647</v>
      </c>
      <c r="C15" t="s">
        <v>661</v>
      </c>
      <c r="E15">
        <f>LEN(Tabla2[[#This Row],[Centros]])</f>
        <v>46</v>
      </c>
    </row>
    <row r="16" spans="2:5" x14ac:dyDescent="0.3">
      <c r="B16" t="s">
        <v>619</v>
      </c>
      <c r="C16" t="s">
        <v>632</v>
      </c>
      <c r="E16">
        <f>LEN(Tabla2[[#This Row],[Centros]])</f>
        <v>48</v>
      </c>
    </row>
    <row r="17" spans="2:5" x14ac:dyDescent="0.3">
      <c r="B17" t="s">
        <v>698</v>
      </c>
      <c r="C17" t="s">
        <v>940</v>
      </c>
      <c r="E17">
        <f>LEN(Tabla2[[#This Row],[Centros]])</f>
        <v>74</v>
      </c>
    </row>
    <row r="18" spans="2:5" x14ac:dyDescent="0.3">
      <c r="B18" t="s">
        <v>582</v>
      </c>
      <c r="C18" t="s">
        <v>591</v>
      </c>
      <c r="E18">
        <f>LEN(Tabla2[[#This Row],[Centros]])</f>
        <v>54</v>
      </c>
    </row>
    <row r="19" spans="2:5" x14ac:dyDescent="0.3">
      <c r="B19" t="s">
        <v>582</v>
      </c>
      <c r="C19" t="s">
        <v>592</v>
      </c>
      <c r="E19">
        <f>LEN(Tabla2[[#This Row],[Centros]])</f>
        <v>56</v>
      </c>
    </row>
    <row r="20" spans="2:5" x14ac:dyDescent="0.3">
      <c r="B20" t="s">
        <v>749</v>
      </c>
      <c r="C20" t="s">
        <v>754</v>
      </c>
      <c r="E20">
        <f>LEN(Tabla2[[#This Row],[Centros]])</f>
        <v>39</v>
      </c>
    </row>
    <row r="21" spans="2:5" x14ac:dyDescent="0.3">
      <c r="B21" t="s">
        <v>731</v>
      </c>
      <c r="C21" t="s">
        <v>736</v>
      </c>
      <c r="E21">
        <f>LEN(Tabla2[[#This Row],[Centros]])</f>
        <v>144</v>
      </c>
    </row>
    <row r="22" spans="2:5" x14ac:dyDescent="0.3">
      <c r="B22" t="s">
        <v>797</v>
      </c>
      <c r="C22" t="s">
        <v>847</v>
      </c>
      <c r="E22">
        <f>LEN(Tabla2[[#This Row],[Centros]])</f>
        <v>79</v>
      </c>
    </row>
    <row r="23" spans="2:5" x14ac:dyDescent="0.3">
      <c r="B23" t="s">
        <v>797</v>
      </c>
      <c r="C23" t="s">
        <v>801</v>
      </c>
      <c r="E23">
        <f>LEN(Tabla2[[#This Row],[Centros]])</f>
        <v>102</v>
      </c>
    </row>
    <row r="24" spans="2:5" x14ac:dyDescent="0.3">
      <c r="B24" t="s">
        <v>802</v>
      </c>
      <c r="C24" t="s">
        <v>821</v>
      </c>
      <c r="E24">
        <f>LEN(Tabla2[[#This Row],[Centros]])</f>
        <v>50</v>
      </c>
    </row>
    <row r="25" spans="2:5" x14ac:dyDescent="0.3">
      <c r="B25" t="s">
        <v>538</v>
      </c>
      <c r="C25" t="s">
        <v>938</v>
      </c>
      <c r="E25">
        <f>LEN(Tabla2[[#This Row],[Centros]])</f>
        <v>70</v>
      </c>
    </row>
    <row r="26" spans="2:5" x14ac:dyDescent="0.3">
      <c r="B26" t="s">
        <v>538</v>
      </c>
      <c r="C26" t="s">
        <v>939</v>
      </c>
      <c r="E26">
        <f>LEN(Tabla2[[#This Row],[Centros]])</f>
        <v>70</v>
      </c>
    </row>
    <row r="27" spans="2:5" x14ac:dyDescent="0.3">
      <c r="B27" t="s">
        <v>528</v>
      </c>
      <c r="C27" t="s">
        <v>533</v>
      </c>
      <c r="E27">
        <f>LEN(Tabla2[[#This Row],[Centros]])</f>
        <v>55</v>
      </c>
    </row>
    <row r="28" spans="2:5" x14ac:dyDescent="0.3">
      <c r="B28" t="s">
        <v>538</v>
      </c>
      <c r="C28" t="s">
        <v>546</v>
      </c>
      <c r="E28">
        <f>LEN(Tabla2[[#This Row],[Centros]])</f>
        <v>72</v>
      </c>
    </row>
    <row r="29" spans="2:5" x14ac:dyDescent="0.3">
      <c r="B29" t="s">
        <v>538</v>
      </c>
      <c r="C29" t="s">
        <v>545</v>
      </c>
      <c r="E29">
        <f>LEN(Tabla2[[#This Row],[Centros]])</f>
        <v>72</v>
      </c>
    </row>
    <row r="30" spans="2:5" x14ac:dyDescent="0.3">
      <c r="B30" t="s">
        <v>553</v>
      </c>
      <c r="C30" t="s">
        <v>568</v>
      </c>
      <c r="E30">
        <f>LEN(Tabla2[[#This Row],[Centros]])</f>
        <v>68</v>
      </c>
    </row>
    <row r="31" spans="2:5" x14ac:dyDescent="0.3">
      <c r="B31" t="s">
        <v>553</v>
      </c>
      <c r="C31" t="s">
        <v>569</v>
      </c>
      <c r="E31">
        <f>LEN(Tabla2[[#This Row],[Centros]])</f>
        <v>66</v>
      </c>
    </row>
    <row r="32" spans="2:5" x14ac:dyDescent="0.3">
      <c r="B32" t="s">
        <v>534</v>
      </c>
      <c r="C32" t="s">
        <v>537</v>
      </c>
      <c r="E32">
        <f>LEN(Tabla2[[#This Row],[Centros]])</f>
        <v>41</v>
      </c>
    </row>
    <row r="33" spans="2:5" x14ac:dyDescent="0.3">
      <c r="B33" t="s">
        <v>606</v>
      </c>
      <c r="C33" t="s">
        <v>618</v>
      </c>
      <c r="E33">
        <f>LEN(Tabla2[[#This Row],[Centros]])</f>
        <v>55</v>
      </c>
    </row>
    <row r="34" spans="2:5" x14ac:dyDescent="0.3">
      <c r="B34" t="s">
        <v>633</v>
      </c>
      <c r="C34" t="s">
        <v>646</v>
      </c>
      <c r="E34">
        <f>LEN(Tabla2[[#This Row],[Centros]])</f>
        <v>63</v>
      </c>
    </row>
    <row r="35" spans="2:5" x14ac:dyDescent="0.3">
      <c r="B35" t="s">
        <v>519</v>
      </c>
      <c r="C35" t="s">
        <v>934</v>
      </c>
      <c r="E35">
        <f>LEN(Tabla2[[#This Row],[Centros]])</f>
        <v>50</v>
      </c>
    </row>
    <row r="36" spans="2:5" x14ac:dyDescent="0.3">
      <c r="B36" t="s">
        <v>519</v>
      </c>
      <c r="C36" t="s">
        <v>930</v>
      </c>
      <c r="E36">
        <f>LEN(Tabla2[[#This Row],[Centros]])</f>
        <v>50</v>
      </c>
    </row>
    <row r="37" spans="2:5" x14ac:dyDescent="0.3">
      <c r="B37" t="s">
        <v>662</v>
      </c>
      <c r="C37" t="s">
        <v>684</v>
      </c>
      <c r="E37">
        <f>LEN(Tabla2[[#This Row],[Centros]])</f>
        <v>59</v>
      </c>
    </row>
    <row r="38" spans="2:5" x14ac:dyDescent="0.3">
      <c r="B38" t="s">
        <v>519</v>
      </c>
      <c r="C38" t="s">
        <v>935</v>
      </c>
      <c r="E38">
        <f>LEN(Tabla2[[#This Row],[Centros]])</f>
        <v>49</v>
      </c>
    </row>
    <row r="39" spans="2:5" x14ac:dyDescent="0.3">
      <c r="B39" t="s">
        <v>705</v>
      </c>
      <c r="C39" t="s">
        <v>709</v>
      </c>
      <c r="E39">
        <f>LEN(Tabla2[[#This Row],[Centros]])</f>
        <v>72</v>
      </c>
    </row>
    <row r="40" spans="2:5" x14ac:dyDescent="0.3">
      <c r="B40" t="s">
        <v>710</v>
      </c>
      <c r="C40" t="s">
        <v>715</v>
      </c>
      <c r="E40">
        <f>LEN(Tabla2[[#This Row],[Centros]])</f>
        <v>54</v>
      </c>
    </row>
    <row r="41" spans="2:5" x14ac:dyDescent="0.3">
      <c r="B41" t="s">
        <v>827</v>
      </c>
      <c r="C41" t="s">
        <v>841</v>
      </c>
      <c r="E41">
        <f>LEN(Tabla2[[#This Row],[Centros]])</f>
        <v>51</v>
      </c>
    </row>
    <row r="42" spans="2:5" x14ac:dyDescent="0.3">
      <c r="B42" t="s">
        <v>710</v>
      </c>
      <c r="C42" t="s">
        <v>941</v>
      </c>
      <c r="E42">
        <f>LEN(Tabla2[[#This Row],[Centros]])</f>
        <v>67</v>
      </c>
    </row>
    <row r="43" spans="2:5" x14ac:dyDescent="0.3">
      <c r="B43" t="s">
        <v>647</v>
      </c>
      <c r="C43" t="s">
        <v>660</v>
      </c>
      <c r="E43">
        <f>LEN(Tabla2[[#This Row],[Centros]])</f>
        <v>49</v>
      </c>
    </row>
    <row r="44" spans="2:5" x14ac:dyDescent="0.3">
      <c r="B44" t="s">
        <v>619</v>
      </c>
      <c r="C44" t="s">
        <v>913</v>
      </c>
      <c r="E44">
        <f>LEN(Tabla2[[#This Row],[Centros]])</f>
        <v>37</v>
      </c>
    </row>
    <row r="45" spans="2:5" x14ac:dyDescent="0.3">
      <c r="B45" t="s">
        <v>802</v>
      </c>
      <c r="C45" t="s">
        <v>818</v>
      </c>
      <c r="E45">
        <f>LEN(Tabla2[[#This Row],[Centros]])</f>
        <v>37</v>
      </c>
    </row>
    <row r="46" spans="2:5" x14ac:dyDescent="0.3">
      <c r="B46" t="s">
        <v>633</v>
      </c>
      <c r="C46" t="s">
        <v>634</v>
      </c>
      <c r="E46">
        <f>LEN(Tabla2[[#This Row],[Centros]])</f>
        <v>36</v>
      </c>
    </row>
    <row r="47" spans="2:5" x14ac:dyDescent="0.3">
      <c r="B47" t="s">
        <v>802</v>
      </c>
      <c r="C47" t="s">
        <v>814</v>
      </c>
      <c r="E47">
        <f>LEN(Tabla2[[#This Row],[Centros]])</f>
        <v>36</v>
      </c>
    </row>
    <row r="48" spans="2:5" x14ac:dyDescent="0.3">
      <c r="B48" t="s">
        <v>633</v>
      </c>
      <c r="C48" t="s">
        <v>635</v>
      </c>
      <c r="E48">
        <f>LEN(Tabla2[[#This Row],[Centros]])</f>
        <v>33</v>
      </c>
    </row>
    <row r="49" spans="2:5" x14ac:dyDescent="0.3">
      <c r="B49" t="s">
        <v>797</v>
      </c>
      <c r="C49" t="s">
        <v>799</v>
      </c>
      <c r="E49">
        <f>LEN(Tabla2[[#This Row],[Centros]])</f>
        <v>36</v>
      </c>
    </row>
    <row r="50" spans="2:5" x14ac:dyDescent="0.3">
      <c r="B50" t="s">
        <v>698</v>
      </c>
      <c r="C50" t="s">
        <v>699</v>
      </c>
      <c r="E50">
        <f>LEN(Tabla2[[#This Row],[Centros]])</f>
        <v>41</v>
      </c>
    </row>
    <row r="51" spans="2:5" x14ac:dyDescent="0.3">
      <c r="B51" t="s">
        <v>619</v>
      </c>
      <c r="C51" t="s">
        <v>849</v>
      </c>
      <c r="E51">
        <f>LEN(Tabla2[[#This Row],[Centros]])</f>
        <v>35</v>
      </c>
    </row>
    <row r="52" spans="2:5" x14ac:dyDescent="0.3">
      <c r="B52" t="s">
        <v>705</v>
      </c>
      <c r="C52" t="s">
        <v>707</v>
      </c>
      <c r="E52">
        <f>LEN(Tabla2[[#This Row],[Centros]])</f>
        <v>37</v>
      </c>
    </row>
    <row r="53" spans="2:5" x14ac:dyDescent="0.3">
      <c r="B53" t="s">
        <v>802</v>
      </c>
      <c r="C53" t="s">
        <v>806</v>
      </c>
      <c r="E53">
        <f>LEN(Tabla2[[#This Row],[Centros]])</f>
        <v>40</v>
      </c>
    </row>
    <row r="54" spans="2:5" x14ac:dyDescent="0.3">
      <c r="B54" t="s">
        <v>619</v>
      </c>
      <c r="C54" t="s">
        <v>858</v>
      </c>
      <c r="E54">
        <f>LEN(Tabla2[[#This Row],[Centros]])</f>
        <v>36</v>
      </c>
    </row>
    <row r="55" spans="2:5" x14ac:dyDescent="0.3">
      <c r="B55" t="s">
        <v>619</v>
      </c>
      <c r="C55" t="s">
        <v>904</v>
      </c>
      <c r="E55">
        <f>LEN(Tabla2[[#This Row],[Centros]])</f>
        <v>41</v>
      </c>
    </row>
    <row r="56" spans="2:5" x14ac:dyDescent="0.3">
      <c r="B56" t="s">
        <v>802</v>
      </c>
      <c r="C56" t="s">
        <v>819</v>
      </c>
      <c r="E56">
        <f>LEN(Tabla2[[#This Row],[Centros]])</f>
        <v>42</v>
      </c>
    </row>
    <row r="57" spans="2:5" x14ac:dyDescent="0.3">
      <c r="B57" t="s">
        <v>802</v>
      </c>
      <c r="C57" t="s">
        <v>816</v>
      </c>
      <c r="E57">
        <f>LEN(Tabla2[[#This Row],[Centros]])</f>
        <v>41</v>
      </c>
    </row>
    <row r="58" spans="2:5" x14ac:dyDescent="0.3">
      <c r="B58" t="s">
        <v>619</v>
      </c>
      <c r="C58" t="s">
        <v>857</v>
      </c>
      <c r="E58">
        <f>LEN(Tabla2[[#This Row],[Centros]])</f>
        <v>46</v>
      </c>
    </row>
    <row r="59" spans="2:5" x14ac:dyDescent="0.3">
      <c r="B59" t="s">
        <v>737</v>
      </c>
      <c r="C59" t="s">
        <v>739</v>
      </c>
      <c r="E59">
        <f>LEN(Tabla2[[#This Row],[Centros]])</f>
        <v>38</v>
      </c>
    </row>
    <row r="60" spans="2:5" x14ac:dyDescent="0.3">
      <c r="B60" t="s">
        <v>775</v>
      </c>
      <c r="C60" t="s">
        <v>777</v>
      </c>
      <c r="E60">
        <f>LEN(Tabla2[[#This Row],[Centros]])</f>
        <v>40</v>
      </c>
    </row>
    <row r="61" spans="2:5" x14ac:dyDescent="0.3">
      <c r="B61" t="s">
        <v>737</v>
      </c>
      <c r="C61" t="s">
        <v>738</v>
      </c>
      <c r="E61">
        <f>LEN(Tabla2[[#This Row],[Centros]])</f>
        <v>40</v>
      </c>
    </row>
    <row r="62" spans="2:5" x14ac:dyDescent="0.3">
      <c r="B62" t="s">
        <v>547</v>
      </c>
      <c r="C62" t="s">
        <v>551</v>
      </c>
      <c r="E62">
        <f>LEN(Tabla2[[#This Row],[Centros]])</f>
        <v>38</v>
      </c>
    </row>
    <row r="63" spans="2:5" x14ac:dyDescent="0.3">
      <c r="B63" t="s">
        <v>775</v>
      </c>
      <c r="C63" t="s">
        <v>778</v>
      </c>
      <c r="E63">
        <f>LEN(Tabla2[[#This Row],[Centros]])</f>
        <v>42</v>
      </c>
    </row>
    <row r="64" spans="2:5" x14ac:dyDescent="0.3">
      <c r="B64" t="s">
        <v>737</v>
      </c>
      <c r="C64" t="s">
        <v>740</v>
      </c>
      <c r="E64">
        <f>LEN(Tabla2[[#This Row],[Centros]])</f>
        <v>39</v>
      </c>
    </row>
    <row r="65" spans="2:5" x14ac:dyDescent="0.3">
      <c r="B65" t="s">
        <v>775</v>
      </c>
      <c r="C65" t="s">
        <v>779</v>
      </c>
      <c r="E65">
        <f>LEN(Tabla2[[#This Row],[Centros]])</f>
        <v>44</v>
      </c>
    </row>
    <row r="66" spans="2:5" x14ac:dyDescent="0.3">
      <c r="B66" t="s">
        <v>775</v>
      </c>
      <c r="C66" t="s">
        <v>780</v>
      </c>
      <c r="E66">
        <f>LEN(Tabla2[[#This Row],[Centros]])</f>
        <v>41</v>
      </c>
    </row>
    <row r="67" spans="2:5" x14ac:dyDescent="0.3">
      <c r="B67" t="s">
        <v>547</v>
      </c>
      <c r="C67" t="s">
        <v>549</v>
      </c>
      <c r="E67">
        <f>LEN(Tabla2[[#This Row],[Centros]])</f>
        <v>42</v>
      </c>
    </row>
    <row r="68" spans="2:5" x14ac:dyDescent="0.3">
      <c r="B68" t="s">
        <v>822</v>
      </c>
      <c r="C68" t="s">
        <v>823</v>
      </c>
      <c r="E68">
        <f>LEN(Tabla2[[#This Row],[Centros]])</f>
        <v>38</v>
      </c>
    </row>
    <row r="69" spans="2:5" x14ac:dyDescent="0.3">
      <c r="B69" t="s">
        <v>775</v>
      </c>
      <c r="C69" t="s">
        <v>776</v>
      </c>
      <c r="E69">
        <f>LEN(Tabla2[[#This Row],[Centros]])</f>
        <v>45</v>
      </c>
    </row>
    <row r="70" spans="2:5" x14ac:dyDescent="0.3">
      <c r="B70" t="s">
        <v>822</v>
      </c>
      <c r="C70" t="s">
        <v>824</v>
      </c>
      <c r="E70">
        <f>LEN(Tabla2[[#This Row],[Centros]])</f>
        <v>37</v>
      </c>
    </row>
    <row r="71" spans="2:5" x14ac:dyDescent="0.3">
      <c r="B71" t="s">
        <v>775</v>
      </c>
      <c r="C71" t="s">
        <v>781</v>
      </c>
      <c r="E71">
        <f>LEN(Tabla2[[#This Row],[Centros]])</f>
        <v>41</v>
      </c>
    </row>
    <row r="72" spans="2:5" x14ac:dyDescent="0.3">
      <c r="B72" t="s">
        <v>822</v>
      </c>
      <c r="C72" t="s">
        <v>825</v>
      </c>
      <c r="E72">
        <f>LEN(Tabla2[[#This Row],[Centros]])</f>
        <v>42</v>
      </c>
    </row>
    <row r="73" spans="2:5" x14ac:dyDescent="0.3">
      <c r="B73" t="s">
        <v>727</v>
      </c>
      <c r="C73" t="s">
        <v>875</v>
      </c>
      <c r="E73">
        <f>LEN(Tabla2[[#This Row],[Centros]])</f>
        <v>49</v>
      </c>
    </row>
    <row r="74" spans="2:5" x14ac:dyDescent="0.3">
      <c r="B74" t="s">
        <v>727</v>
      </c>
      <c r="C74" t="s">
        <v>865</v>
      </c>
      <c r="E74">
        <f>LEN(Tabla2[[#This Row],[Centros]])</f>
        <v>54</v>
      </c>
    </row>
    <row r="75" spans="2:5" x14ac:dyDescent="0.3">
      <c r="B75" t="s">
        <v>727</v>
      </c>
      <c r="C75" t="s">
        <v>898</v>
      </c>
      <c r="E75">
        <f>LEN(Tabla2[[#This Row],[Centros]])</f>
        <v>53</v>
      </c>
    </row>
    <row r="76" spans="2:5" x14ac:dyDescent="0.3">
      <c r="B76" t="s">
        <v>727</v>
      </c>
      <c r="C76" t="s">
        <v>871</v>
      </c>
      <c r="E76">
        <f>LEN(Tabla2[[#This Row],[Centros]])</f>
        <v>48</v>
      </c>
    </row>
    <row r="77" spans="2:5" x14ac:dyDescent="0.3">
      <c r="B77" t="s">
        <v>727</v>
      </c>
      <c r="C77" t="s">
        <v>853</v>
      </c>
      <c r="E77">
        <f>LEN(Tabla2[[#This Row],[Centros]])</f>
        <v>59</v>
      </c>
    </row>
    <row r="78" spans="2:5" x14ac:dyDescent="0.3">
      <c r="B78" t="s">
        <v>727</v>
      </c>
      <c r="C78" t="s">
        <v>885</v>
      </c>
      <c r="E78">
        <f>LEN(Tabla2[[#This Row],[Centros]])</f>
        <v>54</v>
      </c>
    </row>
    <row r="79" spans="2:5" x14ac:dyDescent="0.3">
      <c r="B79" t="s">
        <v>727</v>
      </c>
      <c r="C79" t="s">
        <v>890</v>
      </c>
      <c r="E79">
        <f>LEN(Tabla2[[#This Row],[Centros]])</f>
        <v>49</v>
      </c>
    </row>
    <row r="80" spans="2:5" x14ac:dyDescent="0.3">
      <c r="B80" t="s">
        <v>727</v>
      </c>
      <c r="C80" t="s">
        <v>854</v>
      </c>
      <c r="E80">
        <f>LEN(Tabla2[[#This Row],[Centros]])</f>
        <v>58</v>
      </c>
    </row>
    <row r="81" spans="2:5" x14ac:dyDescent="0.3">
      <c r="B81" t="s">
        <v>727</v>
      </c>
      <c r="C81" t="s">
        <v>872</v>
      </c>
      <c r="E81">
        <f>LEN(Tabla2[[#This Row],[Centros]])</f>
        <v>51</v>
      </c>
    </row>
    <row r="82" spans="2:5" x14ac:dyDescent="0.3">
      <c r="B82" t="s">
        <v>727</v>
      </c>
      <c r="C82" t="s">
        <v>863</v>
      </c>
      <c r="E82">
        <f>LEN(Tabla2[[#This Row],[Centros]])</f>
        <v>57</v>
      </c>
    </row>
    <row r="83" spans="2:5" x14ac:dyDescent="0.3">
      <c r="B83" t="s">
        <v>727</v>
      </c>
      <c r="C83" t="s">
        <v>860</v>
      </c>
      <c r="E83">
        <f>LEN(Tabla2[[#This Row],[Centros]])</f>
        <v>51</v>
      </c>
    </row>
    <row r="84" spans="2:5" x14ac:dyDescent="0.3">
      <c r="B84" t="s">
        <v>727</v>
      </c>
      <c r="C84" t="s">
        <v>862</v>
      </c>
      <c r="E84">
        <f>LEN(Tabla2[[#This Row],[Centros]])</f>
        <v>53</v>
      </c>
    </row>
    <row r="85" spans="2:5" x14ac:dyDescent="0.3">
      <c r="B85" t="s">
        <v>727</v>
      </c>
      <c r="C85" t="s">
        <v>876</v>
      </c>
      <c r="E85">
        <f>LEN(Tabla2[[#This Row],[Centros]])</f>
        <v>50</v>
      </c>
    </row>
    <row r="86" spans="2:5" x14ac:dyDescent="0.3">
      <c r="B86" t="s">
        <v>685</v>
      </c>
      <c r="C86" t="s">
        <v>687</v>
      </c>
      <c r="E86">
        <f>LEN(Tabla2[[#This Row],[Centros]])</f>
        <v>73</v>
      </c>
    </row>
    <row r="87" spans="2:5" x14ac:dyDescent="0.3">
      <c r="B87" t="s">
        <v>685</v>
      </c>
      <c r="C87" t="s">
        <v>688</v>
      </c>
      <c r="E87">
        <f>LEN(Tabla2[[#This Row],[Centros]])</f>
        <v>63</v>
      </c>
    </row>
    <row r="88" spans="2:5" x14ac:dyDescent="0.3">
      <c r="B88" t="s">
        <v>685</v>
      </c>
      <c r="C88" t="s">
        <v>690</v>
      </c>
      <c r="E88">
        <f>LEN(Tabla2[[#This Row],[Centros]])</f>
        <v>62</v>
      </c>
    </row>
    <row r="89" spans="2:5" x14ac:dyDescent="0.3">
      <c r="B89" t="s">
        <v>570</v>
      </c>
      <c r="C89" t="s">
        <v>578</v>
      </c>
      <c r="E89">
        <f>LEN(Tabla2[[#This Row],[Centros]])</f>
        <v>49</v>
      </c>
    </row>
    <row r="90" spans="2:5" x14ac:dyDescent="0.3">
      <c r="B90" t="s">
        <v>570</v>
      </c>
      <c r="C90" t="s">
        <v>579</v>
      </c>
      <c r="E90">
        <f>LEN(Tabla2[[#This Row],[Centros]])</f>
        <v>49</v>
      </c>
    </row>
    <row r="91" spans="2:5" x14ac:dyDescent="0.3">
      <c r="B91" t="s">
        <v>570</v>
      </c>
      <c r="C91" t="s">
        <v>571</v>
      </c>
      <c r="E91">
        <f>LEN(Tabla2[[#This Row],[Centros]])</f>
        <v>41</v>
      </c>
    </row>
    <row r="92" spans="2:5" x14ac:dyDescent="0.3">
      <c r="B92" t="s">
        <v>570</v>
      </c>
      <c r="C92" t="s">
        <v>572</v>
      </c>
      <c r="E92">
        <f>LEN(Tabla2[[#This Row],[Centros]])</f>
        <v>41</v>
      </c>
    </row>
    <row r="93" spans="2:5" x14ac:dyDescent="0.3">
      <c r="B93" t="s">
        <v>570</v>
      </c>
      <c r="C93" t="s">
        <v>573</v>
      </c>
      <c r="E93">
        <f>LEN(Tabla2[[#This Row],[Centros]])</f>
        <v>41</v>
      </c>
    </row>
    <row r="94" spans="2:5" x14ac:dyDescent="0.3">
      <c r="B94" t="s">
        <v>570</v>
      </c>
      <c r="C94" t="s">
        <v>574</v>
      </c>
      <c r="E94">
        <f>LEN(Tabla2[[#This Row],[Centros]])</f>
        <v>41</v>
      </c>
    </row>
    <row r="95" spans="2:5" x14ac:dyDescent="0.3">
      <c r="B95" t="s">
        <v>570</v>
      </c>
      <c r="C95" t="s">
        <v>575</v>
      </c>
      <c r="E95">
        <f>LEN(Tabla2[[#This Row],[Centros]])</f>
        <v>41</v>
      </c>
    </row>
    <row r="96" spans="2:5" x14ac:dyDescent="0.3">
      <c r="B96" t="s">
        <v>570</v>
      </c>
      <c r="C96" t="s">
        <v>576</v>
      </c>
      <c r="E96">
        <f>LEN(Tabla2[[#This Row],[Centros]])</f>
        <v>41</v>
      </c>
    </row>
    <row r="97" spans="2:5" x14ac:dyDescent="0.3">
      <c r="B97" t="s">
        <v>570</v>
      </c>
      <c r="C97" t="s">
        <v>577</v>
      </c>
      <c r="E97">
        <f>LEN(Tabla2[[#This Row],[Centros]])</f>
        <v>41</v>
      </c>
    </row>
    <row r="98" spans="2:5" x14ac:dyDescent="0.3">
      <c r="B98" t="s">
        <v>710</v>
      </c>
      <c r="C98" t="s">
        <v>714</v>
      </c>
      <c r="E98">
        <f>LEN(Tabla2[[#This Row],[Centros]])</f>
        <v>36</v>
      </c>
    </row>
    <row r="99" spans="2:5" x14ac:dyDescent="0.3">
      <c r="B99" t="s">
        <v>698</v>
      </c>
      <c r="C99" t="s">
        <v>700</v>
      </c>
      <c r="E99">
        <f>LEN(Tabla2[[#This Row],[Centros]])</f>
        <v>49</v>
      </c>
    </row>
    <row r="100" spans="2:5" x14ac:dyDescent="0.3">
      <c r="B100" t="s">
        <v>797</v>
      </c>
      <c r="C100" t="s">
        <v>800</v>
      </c>
      <c r="E100">
        <f>LEN(Tabla2[[#This Row],[Centros]])</f>
        <v>59</v>
      </c>
    </row>
    <row r="101" spans="2:5" x14ac:dyDescent="0.3">
      <c r="B101" t="s">
        <v>705</v>
      </c>
      <c r="C101" t="s">
        <v>708</v>
      </c>
      <c r="E101">
        <f>LEN(Tabla2[[#This Row],[Centros]])</f>
        <v>49</v>
      </c>
    </row>
    <row r="102" spans="2:5" x14ac:dyDescent="0.3">
      <c r="B102" t="s">
        <v>570</v>
      </c>
      <c r="C102" t="s">
        <v>899</v>
      </c>
      <c r="E102">
        <f>LEN(Tabla2[[#This Row],[Centros]])</f>
        <v>41</v>
      </c>
    </row>
    <row r="103" spans="2:5" x14ac:dyDescent="0.3">
      <c r="B103" t="s">
        <v>570</v>
      </c>
      <c r="C103" t="s">
        <v>910</v>
      </c>
      <c r="E103">
        <f>LEN(Tabla2[[#This Row],[Centros]])</f>
        <v>41</v>
      </c>
    </row>
    <row r="104" spans="2:5" x14ac:dyDescent="0.3">
      <c r="B104" t="s">
        <v>633</v>
      </c>
      <c r="C104" t="s">
        <v>636</v>
      </c>
      <c r="E104">
        <f>LEN(Tabla2[[#This Row],[Centros]])</f>
        <v>37</v>
      </c>
    </row>
    <row r="105" spans="2:5" x14ac:dyDescent="0.3">
      <c r="B105" t="s">
        <v>802</v>
      </c>
      <c r="C105" t="s">
        <v>809</v>
      </c>
      <c r="E105">
        <f>LEN(Tabla2[[#This Row],[Centros]])</f>
        <v>41</v>
      </c>
    </row>
    <row r="106" spans="2:5" x14ac:dyDescent="0.3">
      <c r="B106" t="s">
        <v>633</v>
      </c>
      <c r="C106" t="s">
        <v>637</v>
      </c>
      <c r="E106">
        <f>LEN(Tabla2[[#This Row],[Centros]])</f>
        <v>38</v>
      </c>
    </row>
    <row r="107" spans="2:5" x14ac:dyDescent="0.3">
      <c r="B107" t="s">
        <v>619</v>
      </c>
      <c r="C107" t="s">
        <v>886</v>
      </c>
      <c r="E107">
        <f>LEN(Tabla2[[#This Row],[Centros]])</f>
        <v>35</v>
      </c>
    </row>
    <row r="108" spans="2:5" x14ac:dyDescent="0.3">
      <c r="B108" t="s">
        <v>633</v>
      </c>
      <c r="C108" t="s">
        <v>638</v>
      </c>
      <c r="E108">
        <f>LEN(Tabla2[[#This Row],[Centros]])</f>
        <v>40</v>
      </c>
    </row>
    <row r="109" spans="2:5" x14ac:dyDescent="0.3">
      <c r="B109" t="s">
        <v>633</v>
      </c>
      <c r="C109" t="s">
        <v>639</v>
      </c>
      <c r="E109">
        <f>LEN(Tabla2[[#This Row],[Centros]])</f>
        <v>35</v>
      </c>
    </row>
    <row r="110" spans="2:5" x14ac:dyDescent="0.3">
      <c r="B110" t="s">
        <v>802</v>
      </c>
      <c r="C110" t="s">
        <v>812</v>
      </c>
      <c r="E110">
        <f>LEN(Tabla2[[#This Row],[Centros]])</f>
        <v>38</v>
      </c>
    </row>
    <row r="111" spans="2:5" x14ac:dyDescent="0.3">
      <c r="B111" t="s">
        <v>685</v>
      </c>
      <c r="C111" t="s">
        <v>689</v>
      </c>
      <c r="E111">
        <f>LEN(Tabla2[[#This Row],[Centros]])</f>
        <v>38</v>
      </c>
    </row>
    <row r="112" spans="2:5" x14ac:dyDescent="0.3">
      <c r="B112" t="s">
        <v>619</v>
      </c>
      <c r="C112" t="s">
        <v>855</v>
      </c>
      <c r="E112">
        <f>LEN(Tabla2[[#This Row],[Centros]])</f>
        <v>37</v>
      </c>
    </row>
    <row r="113" spans="2:5" x14ac:dyDescent="0.3">
      <c r="B113" t="s">
        <v>685</v>
      </c>
      <c r="C113" t="s">
        <v>695</v>
      </c>
      <c r="E113">
        <f>LEN(Tabla2[[#This Row],[Centros]])</f>
        <v>52</v>
      </c>
    </row>
    <row r="114" spans="2:5" x14ac:dyDescent="0.3">
      <c r="B114" t="s">
        <v>685</v>
      </c>
      <c r="C114" t="s">
        <v>692</v>
      </c>
      <c r="E114">
        <f>LEN(Tabla2[[#This Row],[Centros]])</f>
        <v>38</v>
      </c>
    </row>
    <row r="115" spans="2:5" x14ac:dyDescent="0.3">
      <c r="B115" t="s">
        <v>802</v>
      </c>
      <c r="C115" t="s">
        <v>811</v>
      </c>
      <c r="E115">
        <f>LEN(Tabla2[[#This Row],[Centros]])</f>
        <v>37</v>
      </c>
    </row>
    <row r="116" spans="2:5" x14ac:dyDescent="0.3">
      <c r="B116" t="s">
        <v>633</v>
      </c>
      <c r="C116" t="s">
        <v>640</v>
      </c>
      <c r="E116">
        <f>LEN(Tabla2[[#This Row],[Centros]])</f>
        <v>41</v>
      </c>
    </row>
    <row r="117" spans="2:5" x14ac:dyDescent="0.3">
      <c r="B117" t="s">
        <v>633</v>
      </c>
      <c r="C117" t="s">
        <v>641</v>
      </c>
      <c r="E117">
        <f>LEN(Tabla2[[#This Row],[Centros]])</f>
        <v>36</v>
      </c>
    </row>
    <row r="118" spans="2:5" x14ac:dyDescent="0.3">
      <c r="B118" t="s">
        <v>570</v>
      </c>
      <c r="C118" t="s">
        <v>923</v>
      </c>
      <c r="E118">
        <f>LEN(Tabla2[[#This Row],[Centros]])</f>
        <v>33</v>
      </c>
    </row>
    <row r="119" spans="2:5" x14ac:dyDescent="0.3">
      <c r="B119" t="s">
        <v>570</v>
      </c>
      <c r="C119" t="s">
        <v>848</v>
      </c>
      <c r="E119">
        <f>LEN(Tabla2[[#This Row],[Centros]])</f>
        <v>33</v>
      </c>
    </row>
    <row r="120" spans="2:5" x14ac:dyDescent="0.3">
      <c r="B120" t="s">
        <v>570</v>
      </c>
      <c r="C120" t="s">
        <v>926</v>
      </c>
      <c r="E120">
        <f>LEN(Tabla2[[#This Row],[Centros]])</f>
        <v>33</v>
      </c>
    </row>
    <row r="121" spans="2:5" x14ac:dyDescent="0.3">
      <c r="B121" t="s">
        <v>570</v>
      </c>
      <c r="C121" t="s">
        <v>908</v>
      </c>
      <c r="E121">
        <f>LEN(Tabla2[[#This Row],[Centros]])</f>
        <v>33</v>
      </c>
    </row>
    <row r="122" spans="2:5" x14ac:dyDescent="0.3">
      <c r="B122" t="s">
        <v>570</v>
      </c>
      <c r="C122" t="s">
        <v>887</v>
      </c>
      <c r="E122">
        <f>LEN(Tabla2[[#This Row],[Centros]])</f>
        <v>33</v>
      </c>
    </row>
    <row r="123" spans="2:5" x14ac:dyDescent="0.3">
      <c r="B123" t="s">
        <v>570</v>
      </c>
      <c r="C123" t="s">
        <v>907</v>
      </c>
      <c r="E123">
        <f>LEN(Tabla2[[#This Row],[Centros]])</f>
        <v>33</v>
      </c>
    </row>
    <row r="124" spans="2:5" x14ac:dyDescent="0.3">
      <c r="B124" t="s">
        <v>570</v>
      </c>
      <c r="C124" t="s">
        <v>864</v>
      </c>
      <c r="E124">
        <f>LEN(Tabla2[[#This Row],[Centros]])</f>
        <v>33</v>
      </c>
    </row>
    <row r="125" spans="2:5" x14ac:dyDescent="0.3">
      <c r="B125" t="s">
        <v>600</v>
      </c>
      <c r="C125" t="s">
        <v>601</v>
      </c>
      <c r="E125">
        <f>LEN(Tabla2[[#This Row],[Centros]])</f>
        <v>45</v>
      </c>
    </row>
    <row r="126" spans="2:5" x14ac:dyDescent="0.3">
      <c r="B126" t="s">
        <v>710</v>
      </c>
      <c r="C126" t="s">
        <v>711</v>
      </c>
      <c r="E126">
        <f>LEN(Tabla2[[#This Row],[Centros]])</f>
        <v>43</v>
      </c>
    </row>
    <row r="127" spans="2:5" x14ac:dyDescent="0.3">
      <c r="B127" t="s">
        <v>710</v>
      </c>
      <c r="C127" t="s">
        <v>712</v>
      </c>
      <c r="E127">
        <f>LEN(Tabla2[[#This Row],[Centros]])</f>
        <v>43</v>
      </c>
    </row>
    <row r="128" spans="2:5" x14ac:dyDescent="0.3">
      <c r="B128" t="s">
        <v>710</v>
      </c>
      <c r="C128" t="s">
        <v>713</v>
      </c>
      <c r="E128">
        <f>LEN(Tabla2[[#This Row],[Centros]])</f>
        <v>45</v>
      </c>
    </row>
    <row r="129" spans="2:5" x14ac:dyDescent="0.3">
      <c r="B129" t="s">
        <v>619</v>
      </c>
      <c r="C129" t="s">
        <v>874</v>
      </c>
      <c r="E129">
        <f>LEN(Tabla2[[#This Row],[Centros]])</f>
        <v>37</v>
      </c>
    </row>
    <row r="130" spans="2:5" x14ac:dyDescent="0.3">
      <c r="B130" t="s">
        <v>802</v>
      </c>
      <c r="C130" t="s">
        <v>804</v>
      </c>
      <c r="E130">
        <f>LEN(Tabla2[[#This Row],[Centros]])</f>
        <v>37</v>
      </c>
    </row>
    <row r="131" spans="2:5" x14ac:dyDescent="0.3">
      <c r="B131" t="s">
        <v>633</v>
      </c>
      <c r="C131" t="s">
        <v>642</v>
      </c>
      <c r="E131">
        <f>LEN(Tabla2[[#This Row],[Centros]])</f>
        <v>36</v>
      </c>
    </row>
    <row r="132" spans="2:5" x14ac:dyDescent="0.3">
      <c r="B132" t="s">
        <v>802</v>
      </c>
      <c r="C132" t="s">
        <v>803</v>
      </c>
      <c r="E132">
        <f>LEN(Tabla2[[#This Row],[Centros]])</f>
        <v>35</v>
      </c>
    </row>
    <row r="133" spans="2:5" x14ac:dyDescent="0.3">
      <c r="B133" t="s">
        <v>802</v>
      </c>
      <c r="C133" t="s">
        <v>810</v>
      </c>
      <c r="E133">
        <f>LEN(Tabla2[[#This Row],[Centros]])</f>
        <v>37</v>
      </c>
    </row>
    <row r="134" spans="2:5" x14ac:dyDescent="0.3">
      <c r="B134" t="s">
        <v>802</v>
      </c>
      <c r="C134" t="s">
        <v>808</v>
      </c>
      <c r="E134">
        <f>LEN(Tabla2[[#This Row],[Centros]])</f>
        <v>49</v>
      </c>
    </row>
    <row r="135" spans="2:5" x14ac:dyDescent="0.3">
      <c r="B135" t="s">
        <v>727</v>
      </c>
      <c r="C135" t="s">
        <v>883</v>
      </c>
      <c r="E135">
        <f>LEN(Tabla2[[#This Row],[Centros]])</f>
        <v>53</v>
      </c>
    </row>
    <row r="136" spans="2:5" x14ac:dyDescent="0.3">
      <c r="B136" t="s">
        <v>727</v>
      </c>
      <c r="C136" t="s">
        <v>906</v>
      </c>
      <c r="E136">
        <f>LEN(Tabla2[[#This Row],[Centros]])</f>
        <v>58</v>
      </c>
    </row>
    <row r="137" spans="2:5" x14ac:dyDescent="0.3">
      <c r="B137" t="s">
        <v>727</v>
      </c>
      <c r="C137" t="s">
        <v>917</v>
      </c>
      <c r="E137">
        <f>LEN(Tabla2[[#This Row],[Centros]])</f>
        <v>49</v>
      </c>
    </row>
    <row r="138" spans="2:5" x14ac:dyDescent="0.3">
      <c r="B138" t="s">
        <v>685</v>
      </c>
      <c r="C138" t="s">
        <v>691</v>
      </c>
      <c r="E138">
        <f>LEN(Tabla2[[#This Row],[Centros]])</f>
        <v>52</v>
      </c>
    </row>
    <row r="139" spans="2:5" x14ac:dyDescent="0.3">
      <c r="B139" t="s">
        <v>802</v>
      </c>
      <c r="C139" t="s">
        <v>817</v>
      </c>
      <c r="E139">
        <f>LEN(Tabla2[[#This Row],[Centros]])</f>
        <v>46</v>
      </c>
    </row>
    <row r="140" spans="2:5" x14ac:dyDescent="0.3">
      <c r="B140" t="s">
        <v>685</v>
      </c>
      <c r="C140" t="s">
        <v>694</v>
      </c>
      <c r="E140">
        <f>LEN(Tabla2[[#This Row],[Centros]])</f>
        <v>38</v>
      </c>
    </row>
    <row r="141" spans="2:5" x14ac:dyDescent="0.3">
      <c r="B141" t="s">
        <v>802</v>
      </c>
      <c r="C141" t="s">
        <v>805</v>
      </c>
      <c r="E141">
        <f>LEN(Tabla2[[#This Row],[Centros]])</f>
        <v>38</v>
      </c>
    </row>
    <row r="142" spans="2:5" x14ac:dyDescent="0.3">
      <c r="B142" t="s">
        <v>619</v>
      </c>
      <c r="C142" t="s">
        <v>861</v>
      </c>
      <c r="E142">
        <f>LEN(Tabla2[[#This Row],[Centros]])</f>
        <v>34</v>
      </c>
    </row>
    <row r="143" spans="2:5" x14ac:dyDescent="0.3">
      <c r="B143" t="s">
        <v>619</v>
      </c>
      <c r="C143" t="s">
        <v>866</v>
      </c>
      <c r="E143">
        <f>LEN(Tabla2[[#This Row],[Centros]])</f>
        <v>35</v>
      </c>
    </row>
    <row r="144" spans="2:5" x14ac:dyDescent="0.3">
      <c r="B144" t="s">
        <v>633</v>
      </c>
      <c r="C144" t="s">
        <v>643</v>
      </c>
      <c r="E144">
        <f>LEN(Tabla2[[#This Row],[Centros]])</f>
        <v>36</v>
      </c>
    </row>
    <row r="145" spans="2:5" x14ac:dyDescent="0.3">
      <c r="B145" t="s">
        <v>619</v>
      </c>
      <c r="C145" t="s">
        <v>870</v>
      </c>
      <c r="E145">
        <f>LEN(Tabla2[[#This Row],[Centros]])</f>
        <v>34</v>
      </c>
    </row>
    <row r="146" spans="2:5" x14ac:dyDescent="0.3">
      <c r="B146" t="s">
        <v>797</v>
      </c>
      <c r="C146" t="s">
        <v>798</v>
      </c>
      <c r="E146">
        <f>LEN(Tabla2[[#This Row],[Centros]])</f>
        <v>37</v>
      </c>
    </row>
    <row r="147" spans="2:5" x14ac:dyDescent="0.3">
      <c r="B147" t="s">
        <v>633</v>
      </c>
      <c r="C147" t="s">
        <v>644</v>
      </c>
      <c r="E147">
        <f>LEN(Tabla2[[#This Row],[Centros]])</f>
        <v>33</v>
      </c>
    </row>
    <row r="148" spans="2:5" x14ac:dyDescent="0.3">
      <c r="B148" t="s">
        <v>633</v>
      </c>
      <c r="C148" t="s">
        <v>645</v>
      </c>
      <c r="E148">
        <f>LEN(Tabla2[[#This Row],[Centros]])</f>
        <v>39</v>
      </c>
    </row>
    <row r="149" spans="2:5" x14ac:dyDescent="0.3">
      <c r="B149" t="s">
        <v>802</v>
      </c>
      <c r="C149" t="s">
        <v>807</v>
      </c>
      <c r="E149">
        <f>LEN(Tabla2[[#This Row],[Centros]])</f>
        <v>35</v>
      </c>
    </row>
    <row r="150" spans="2:5" x14ac:dyDescent="0.3">
      <c r="B150" t="s">
        <v>705</v>
      </c>
      <c r="C150" t="s">
        <v>706</v>
      </c>
      <c r="E150">
        <f>LEN(Tabla2[[#This Row],[Centros]])</f>
        <v>48</v>
      </c>
    </row>
    <row r="151" spans="2:5" x14ac:dyDescent="0.3">
      <c r="B151" t="s">
        <v>802</v>
      </c>
      <c r="C151" t="s">
        <v>813</v>
      </c>
      <c r="E151">
        <f>LEN(Tabla2[[#This Row],[Centros]])</f>
        <v>47</v>
      </c>
    </row>
    <row r="152" spans="2:5" x14ac:dyDescent="0.3">
      <c r="B152" t="s">
        <v>685</v>
      </c>
      <c r="C152" t="s">
        <v>693</v>
      </c>
      <c r="E152">
        <f>LEN(Tabla2[[#This Row],[Centros]])</f>
        <v>35</v>
      </c>
    </row>
    <row r="153" spans="2:5" x14ac:dyDescent="0.3">
      <c r="B153" t="s">
        <v>619</v>
      </c>
      <c r="C153" t="s">
        <v>873</v>
      </c>
      <c r="E153">
        <f>LEN(Tabla2[[#This Row],[Centros]])</f>
        <v>40</v>
      </c>
    </row>
    <row r="154" spans="2:5" x14ac:dyDescent="0.3">
      <c r="B154" t="s">
        <v>802</v>
      </c>
      <c r="C154" t="s">
        <v>815</v>
      </c>
      <c r="E154">
        <f>LEN(Tabla2[[#This Row],[Centros]])</f>
        <v>38</v>
      </c>
    </row>
    <row r="155" spans="2:5" x14ac:dyDescent="0.3">
      <c r="B155" t="s">
        <v>737</v>
      </c>
      <c r="C155" t="s">
        <v>922</v>
      </c>
      <c r="E155">
        <f>LEN(Tabla2[[#This Row],[Centros]])</f>
        <v>44</v>
      </c>
    </row>
    <row r="156" spans="2:5" x14ac:dyDescent="0.3">
      <c r="B156" t="s">
        <v>600</v>
      </c>
      <c r="C156" t="s">
        <v>602</v>
      </c>
      <c r="E156">
        <f>LEN(Tabla2[[#This Row],[Centros]])</f>
        <v>69</v>
      </c>
    </row>
    <row r="157" spans="2:5" x14ac:dyDescent="0.3">
      <c r="B157" t="s">
        <v>600</v>
      </c>
      <c r="C157" t="s">
        <v>603</v>
      </c>
      <c r="E157">
        <f>LEN(Tabla2[[#This Row],[Centros]])</f>
        <v>68</v>
      </c>
    </row>
    <row r="158" spans="2:5" x14ac:dyDescent="0.3">
      <c r="B158" t="s">
        <v>698</v>
      </c>
      <c r="C158" t="s">
        <v>932</v>
      </c>
      <c r="E158">
        <f>LEN(Tabla2[[#This Row],[Centros]])</f>
        <v>62</v>
      </c>
    </row>
    <row r="159" spans="2:5" x14ac:dyDescent="0.3">
      <c r="B159" t="s">
        <v>698</v>
      </c>
      <c r="C159" t="s">
        <v>704</v>
      </c>
      <c r="E159">
        <f>LEN(Tabla2[[#This Row],[Centros]])</f>
        <v>88</v>
      </c>
    </row>
    <row r="160" spans="2:5" x14ac:dyDescent="0.3">
      <c r="B160" t="s">
        <v>755</v>
      </c>
      <c r="C160" t="s">
        <v>773</v>
      </c>
      <c r="E160">
        <f>LEN(Tabla2[[#This Row],[Centros]])</f>
        <v>81</v>
      </c>
    </row>
    <row r="161" spans="2:5" x14ac:dyDescent="0.3">
      <c r="B161" t="s">
        <v>755</v>
      </c>
      <c r="C161" t="s">
        <v>771</v>
      </c>
      <c r="E161">
        <f>LEN(Tabla2[[#This Row],[Centros]])</f>
        <v>63</v>
      </c>
    </row>
    <row r="162" spans="2:5" x14ac:dyDescent="0.3">
      <c r="B162" t="s">
        <v>755</v>
      </c>
      <c r="C162" t="s">
        <v>769</v>
      </c>
      <c r="E162">
        <f>LEN(Tabla2[[#This Row],[Centros]])</f>
        <v>68</v>
      </c>
    </row>
    <row r="163" spans="2:5" x14ac:dyDescent="0.3">
      <c r="B163" t="s">
        <v>755</v>
      </c>
      <c r="C163" t="s">
        <v>943</v>
      </c>
      <c r="E163">
        <f>LEN(Tabla2[[#This Row],[Centros]])</f>
        <v>69</v>
      </c>
    </row>
    <row r="164" spans="2:5" x14ac:dyDescent="0.3">
      <c r="B164" t="s">
        <v>755</v>
      </c>
      <c r="C164" t="s">
        <v>770</v>
      </c>
      <c r="E164">
        <f>LEN(Tabla2[[#This Row],[Centros]])</f>
        <v>77</v>
      </c>
    </row>
    <row r="165" spans="2:5" x14ac:dyDescent="0.3">
      <c r="B165" t="s">
        <v>755</v>
      </c>
      <c r="C165" t="s">
        <v>774</v>
      </c>
      <c r="E165">
        <f>LEN(Tabla2[[#This Row],[Centros]])</f>
        <v>91</v>
      </c>
    </row>
    <row r="166" spans="2:5" x14ac:dyDescent="0.3">
      <c r="B166" t="s">
        <v>755</v>
      </c>
      <c r="C166" t="s">
        <v>942</v>
      </c>
      <c r="E166">
        <f>LEN(Tabla2[[#This Row],[Centros]])</f>
        <v>63</v>
      </c>
    </row>
    <row r="167" spans="2:5" x14ac:dyDescent="0.3">
      <c r="B167" t="s">
        <v>582</v>
      </c>
      <c r="C167" t="s">
        <v>598</v>
      </c>
      <c r="E167">
        <f>LEN(Tabla2[[#This Row],[Centros]])</f>
        <v>66</v>
      </c>
    </row>
    <row r="168" spans="2:5" x14ac:dyDescent="0.3">
      <c r="B168" t="s">
        <v>755</v>
      </c>
      <c r="C168" t="s">
        <v>772</v>
      </c>
      <c r="E168">
        <f>LEN(Tabla2[[#This Row],[Centros]])</f>
        <v>93</v>
      </c>
    </row>
    <row r="169" spans="2:5" x14ac:dyDescent="0.3">
      <c r="B169" t="s">
        <v>570</v>
      </c>
      <c r="C169" t="s">
        <v>928</v>
      </c>
      <c r="E169">
        <f>LEN(Tabla2[[#This Row],[Centros]])</f>
        <v>81</v>
      </c>
    </row>
    <row r="170" spans="2:5" x14ac:dyDescent="0.3">
      <c r="B170" t="s">
        <v>570</v>
      </c>
      <c r="C170" t="s">
        <v>933</v>
      </c>
      <c r="E170">
        <f>LEN(Tabla2[[#This Row],[Centros]])</f>
        <v>81</v>
      </c>
    </row>
    <row r="171" spans="2:5" x14ac:dyDescent="0.3">
      <c r="B171" t="s">
        <v>570</v>
      </c>
      <c r="C171" t="s">
        <v>937</v>
      </c>
      <c r="E171">
        <f>LEN(Tabla2[[#This Row],[Centros]])</f>
        <v>69</v>
      </c>
    </row>
    <row r="172" spans="2:5" x14ac:dyDescent="0.3">
      <c r="B172" t="s">
        <v>570</v>
      </c>
      <c r="C172" t="s">
        <v>936</v>
      </c>
      <c r="E172">
        <f>LEN(Tabla2[[#This Row],[Centros]])</f>
        <v>69</v>
      </c>
    </row>
    <row r="173" spans="2:5" x14ac:dyDescent="0.3">
      <c r="B173" t="s">
        <v>600</v>
      </c>
      <c r="C173" t="s">
        <v>604</v>
      </c>
      <c r="E173">
        <f>LEN(Tabla2[[#This Row],[Centros]])</f>
        <v>93</v>
      </c>
    </row>
    <row r="174" spans="2:5" x14ac:dyDescent="0.3">
      <c r="B174" t="s">
        <v>600</v>
      </c>
      <c r="C174" t="s">
        <v>605</v>
      </c>
      <c r="E174">
        <f>LEN(Tabla2[[#This Row],[Centros]])</f>
        <v>99</v>
      </c>
    </row>
    <row r="175" spans="2:5" x14ac:dyDescent="0.3">
      <c r="B175" t="s">
        <v>822</v>
      </c>
      <c r="C175" t="s">
        <v>826</v>
      </c>
      <c r="E175">
        <f>LEN(Tabla2[[#This Row],[Centros]])</f>
        <v>66</v>
      </c>
    </row>
    <row r="176" spans="2:5" x14ac:dyDescent="0.3">
      <c r="B176" t="s">
        <v>716</v>
      </c>
      <c r="C176" t="s">
        <v>719</v>
      </c>
      <c r="E176">
        <f>LEN(Tabla2[[#This Row],[Centros]])</f>
        <v>55</v>
      </c>
    </row>
    <row r="177" spans="2:5" x14ac:dyDescent="0.3">
      <c r="B177" t="s">
        <v>570</v>
      </c>
      <c r="C177" t="s">
        <v>580</v>
      </c>
      <c r="E177">
        <f>LEN(Tabla2[[#This Row],[Centros]])</f>
        <v>77</v>
      </c>
    </row>
    <row r="178" spans="2:5" x14ac:dyDescent="0.3">
      <c r="B178" t="s">
        <v>570</v>
      </c>
      <c r="C178" t="s">
        <v>581</v>
      </c>
      <c r="E178">
        <f>LEN(Tabla2[[#This Row],[Centros]])</f>
        <v>77</v>
      </c>
    </row>
    <row r="179" spans="2:5" x14ac:dyDescent="0.3">
      <c r="B179" t="s">
        <v>582</v>
      </c>
      <c r="C179" t="s">
        <v>599</v>
      </c>
      <c r="E179">
        <f>LEN(Tabla2[[#This Row],[Centros]])</f>
        <v>67</v>
      </c>
    </row>
    <row r="180" spans="2:5" x14ac:dyDescent="0.3">
      <c r="B180" t="s">
        <v>582</v>
      </c>
      <c r="C180" t="s">
        <v>597</v>
      </c>
      <c r="E180">
        <f>LEN(Tabla2[[#This Row],[Centros]])</f>
        <v>51</v>
      </c>
    </row>
    <row r="181" spans="2:5" x14ac:dyDescent="0.3">
      <c r="B181" t="s">
        <v>582</v>
      </c>
      <c r="C181" t="s">
        <v>596</v>
      </c>
      <c r="E181">
        <f>LEN(Tabla2[[#This Row],[Centros]])</f>
        <v>46</v>
      </c>
    </row>
    <row r="182" spans="2:5" x14ac:dyDescent="0.3">
      <c r="B182" t="s">
        <v>606</v>
      </c>
      <c r="C182" t="s">
        <v>612</v>
      </c>
      <c r="E182">
        <f>LEN(Tabla2[[#This Row],[Centros]])</f>
        <v>61</v>
      </c>
    </row>
    <row r="183" spans="2:5" x14ac:dyDescent="0.3">
      <c r="B183" t="s">
        <v>606</v>
      </c>
      <c r="C183" t="s">
        <v>608</v>
      </c>
      <c r="E183">
        <f>LEN(Tabla2[[#This Row],[Centros]])</f>
        <v>45</v>
      </c>
    </row>
    <row r="184" spans="2:5" x14ac:dyDescent="0.3">
      <c r="B184" t="s">
        <v>606</v>
      </c>
      <c r="C184" t="s">
        <v>610</v>
      </c>
      <c r="E184">
        <f>LEN(Tabla2[[#This Row],[Centros]])</f>
        <v>47</v>
      </c>
    </row>
    <row r="185" spans="2:5" x14ac:dyDescent="0.3">
      <c r="B185" t="s">
        <v>606</v>
      </c>
      <c r="C185" t="s">
        <v>614</v>
      </c>
      <c r="E185">
        <f>LEN(Tabla2[[#This Row],[Centros]])</f>
        <v>56</v>
      </c>
    </row>
    <row r="186" spans="2:5" x14ac:dyDescent="0.3">
      <c r="B186" t="s">
        <v>606</v>
      </c>
      <c r="C186" t="s">
        <v>615</v>
      </c>
      <c r="E186">
        <f>LEN(Tabla2[[#This Row],[Centros]])</f>
        <v>77</v>
      </c>
    </row>
    <row r="187" spans="2:5" x14ac:dyDescent="0.3">
      <c r="B187" t="s">
        <v>606</v>
      </c>
      <c r="C187" t="s">
        <v>613</v>
      </c>
      <c r="E187">
        <f>LEN(Tabla2[[#This Row],[Centros]])</f>
        <v>62</v>
      </c>
    </row>
    <row r="188" spans="2:5" x14ac:dyDescent="0.3">
      <c r="B188" t="s">
        <v>606</v>
      </c>
      <c r="C188" t="s">
        <v>607</v>
      </c>
      <c r="E188">
        <f>LEN(Tabla2[[#This Row],[Centros]])</f>
        <v>61</v>
      </c>
    </row>
    <row r="189" spans="2:5" x14ac:dyDescent="0.3">
      <c r="B189" t="s">
        <v>606</v>
      </c>
      <c r="C189" t="s">
        <v>609</v>
      </c>
      <c r="E189">
        <f>LEN(Tabla2[[#This Row],[Centros]])</f>
        <v>63</v>
      </c>
    </row>
    <row r="190" spans="2:5" x14ac:dyDescent="0.3">
      <c r="B190" t="s">
        <v>606</v>
      </c>
      <c r="C190" t="s">
        <v>611</v>
      </c>
      <c r="E190">
        <f>LEN(Tabla2[[#This Row],[Centros]])</f>
        <v>57</v>
      </c>
    </row>
    <row r="191" spans="2:5" x14ac:dyDescent="0.3">
      <c r="B191" t="s">
        <v>606</v>
      </c>
      <c r="C191" t="s">
        <v>617</v>
      </c>
      <c r="E191">
        <f>LEN(Tabla2[[#This Row],[Centros]])</f>
        <v>75</v>
      </c>
    </row>
    <row r="192" spans="2:5" x14ac:dyDescent="0.3">
      <c r="B192" t="s">
        <v>606</v>
      </c>
      <c r="C192" t="s">
        <v>616</v>
      </c>
      <c r="E192">
        <f>LEN(Tabla2[[#This Row],[Centros]])</f>
        <v>75</v>
      </c>
    </row>
    <row r="193" spans="2:5" x14ac:dyDescent="0.3">
      <c r="B193" t="s">
        <v>741</v>
      </c>
      <c r="C193" t="s">
        <v>744</v>
      </c>
      <c r="E193">
        <f>LEN(Tabla2[[#This Row],[Centros]])</f>
        <v>53</v>
      </c>
    </row>
    <row r="194" spans="2:5" x14ac:dyDescent="0.3">
      <c r="B194" t="s">
        <v>741</v>
      </c>
      <c r="C194" t="s">
        <v>743</v>
      </c>
      <c r="E194">
        <f>LEN(Tabla2[[#This Row],[Centros]])</f>
        <v>49</v>
      </c>
    </row>
    <row r="195" spans="2:5" x14ac:dyDescent="0.3">
      <c r="B195" t="s">
        <v>741</v>
      </c>
      <c r="C195" t="s">
        <v>745</v>
      </c>
      <c r="E195">
        <f>LEN(Tabla2[[#This Row],[Centros]])</f>
        <v>48</v>
      </c>
    </row>
    <row r="196" spans="2:5" x14ac:dyDescent="0.3">
      <c r="B196" t="s">
        <v>741</v>
      </c>
      <c r="C196" t="s">
        <v>742</v>
      </c>
      <c r="E196">
        <f>LEN(Tabla2[[#This Row],[Centros]])</f>
        <v>55</v>
      </c>
    </row>
    <row r="197" spans="2:5" x14ac:dyDescent="0.3">
      <c r="B197" t="s">
        <v>553</v>
      </c>
      <c r="C197" t="s">
        <v>560</v>
      </c>
      <c r="E197">
        <f>LEN(Tabla2[[#This Row],[Centros]])</f>
        <v>83</v>
      </c>
    </row>
    <row r="198" spans="2:5" x14ac:dyDescent="0.3">
      <c r="B198" t="s">
        <v>553</v>
      </c>
      <c r="C198" t="s">
        <v>561</v>
      </c>
      <c r="E198">
        <f>LEN(Tabla2[[#This Row],[Centros]])</f>
        <v>73</v>
      </c>
    </row>
    <row r="199" spans="2:5" x14ac:dyDescent="0.3">
      <c r="B199" t="s">
        <v>553</v>
      </c>
      <c r="C199" t="s">
        <v>562</v>
      </c>
      <c r="E199">
        <f>LEN(Tabla2[[#This Row],[Centros]])</f>
        <v>70</v>
      </c>
    </row>
    <row r="200" spans="2:5" x14ac:dyDescent="0.3">
      <c r="B200" t="s">
        <v>553</v>
      </c>
      <c r="C200" t="s">
        <v>563</v>
      </c>
      <c r="E200">
        <f>LEN(Tabla2[[#This Row],[Centros]])</f>
        <v>69</v>
      </c>
    </row>
    <row r="201" spans="2:5" x14ac:dyDescent="0.3">
      <c r="B201" t="s">
        <v>553</v>
      </c>
      <c r="C201" t="s">
        <v>564</v>
      </c>
      <c r="E201">
        <f>LEN(Tabla2[[#This Row],[Centros]])</f>
        <v>81</v>
      </c>
    </row>
    <row r="202" spans="2:5" x14ac:dyDescent="0.3">
      <c r="B202" t="s">
        <v>553</v>
      </c>
      <c r="C202" t="s">
        <v>565</v>
      </c>
      <c r="E202">
        <f>LEN(Tabla2[[#This Row],[Centros]])</f>
        <v>72</v>
      </c>
    </row>
    <row r="203" spans="2:5" x14ac:dyDescent="0.3">
      <c r="B203" t="s">
        <v>553</v>
      </c>
      <c r="C203" t="s">
        <v>566</v>
      </c>
      <c r="E203">
        <f>LEN(Tabla2[[#This Row],[Centros]])</f>
        <v>81</v>
      </c>
    </row>
    <row r="204" spans="2:5" x14ac:dyDescent="0.3">
      <c r="B204" t="s">
        <v>553</v>
      </c>
      <c r="C204" t="s">
        <v>567</v>
      </c>
      <c r="E204">
        <f>LEN(Tabla2[[#This Row],[Centros]])</f>
        <v>80</v>
      </c>
    </row>
    <row r="205" spans="2:5" x14ac:dyDescent="0.3">
      <c r="B205" t="s">
        <v>553</v>
      </c>
      <c r="C205" t="s">
        <v>555</v>
      </c>
      <c r="E205">
        <f>LEN(Tabla2[[#This Row],[Centros]])</f>
        <v>71</v>
      </c>
    </row>
    <row r="206" spans="2:5" x14ac:dyDescent="0.3">
      <c r="B206" t="s">
        <v>553</v>
      </c>
      <c r="C206" t="s">
        <v>556</v>
      </c>
      <c r="E206">
        <f>LEN(Tabla2[[#This Row],[Centros]])</f>
        <v>71</v>
      </c>
    </row>
    <row r="207" spans="2:5" x14ac:dyDescent="0.3">
      <c r="B207" t="s">
        <v>553</v>
      </c>
      <c r="C207" t="s">
        <v>557</v>
      </c>
      <c r="E207">
        <f>LEN(Tabla2[[#This Row],[Centros]])</f>
        <v>88</v>
      </c>
    </row>
    <row r="208" spans="2:5" x14ac:dyDescent="0.3">
      <c r="B208" t="s">
        <v>553</v>
      </c>
      <c r="C208" t="s">
        <v>558</v>
      </c>
      <c r="E208">
        <f>LEN(Tabla2[[#This Row],[Centros]])</f>
        <v>69</v>
      </c>
    </row>
    <row r="209" spans="2:5" x14ac:dyDescent="0.3">
      <c r="B209" t="s">
        <v>553</v>
      </c>
      <c r="C209" t="s">
        <v>559</v>
      </c>
      <c r="E209">
        <f>LEN(Tabla2[[#This Row],[Centros]])</f>
        <v>73</v>
      </c>
    </row>
    <row r="210" spans="2:5" x14ac:dyDescent="0.3">
      <c r="B210" t="s">
        <v>741</v>
      </c>
      <c r="C210" t="s">
        <v>746</v>
      </c>
      <c r="E210">
        <f>LEN(Tabla2[[#This Row],[Centros]])</f>
        <v>52</v>
      </c>
    </row>
    <row r="211" spans="2:5" x14ac:dyDescent="0.3">
      <c r="B211" t="s">
        <v>741</v>
      </c>
      <c r="C211" t="s">
        <v>747</v>
      </c>
      <c r="E211">
        <f>LEN(Tabla2[[#This Row],[Centros]])</f>
        <v>51</v>
      </c>
    </row>
    <row r="212" spans="2:5" x14ac:dyDescent="0.3">
      <c r="B212" t="s">
        <v>827</v>
      </c>
      <c r="C212" t="s">
        <v>832</v>
      </c>
      <c r="E212">
        <f>LEN(Tabla2[[#This Row],[Centros]])</f>
        <v>57</v>
      </c>
    </row>
    <row r="213" spans="2:5" x14ac:dyDescent="0.3">
      <c r="B213" t="s">
        <v>698</v>
      </c>
      <c r="C213" t="s">
        <v>701</v>
      </c>
      <c r="E213">
        <f>LEN(Tabla2[[#This Row],[Centros]])</f>
        <v>55</v>
      </c>
    </row>
    <row r="214" spans="2:5" x14ac:dyDescent="0.3">
      <c r="B214" t="s">
        <v>698</v>
      </c>
      <c r="C214" t="s">
        <v>702</v>
      </c>
      <c r="E214">
        <f>LEN(Tabla2[[#This Row],[Centros]])</f>
        <v>55</v>
      </c>
    </row>
    <row r="215" spans="2:5" x14ac:dyDescent="0.3">
      <c r="B215" t="s">
        <v>518</v>
      </c>
      <c r="C215" t="s">
        <v>498</v>
      </c>
      <c r="D215" s="2">
        <v>5</v>
      </c>
      <c r="E215">
        <f>LEN(Tabla2[[#This Row],[Centros]])</f>
        <v>49</v>
      </c>
    </row>
    <row r="216" spans="2:5" x14ac:dyDescent="0.3">
      <c r="B216" t="s">
        <v>553</v>
      </c>
      <c r="C216" t="s">
        <v>554</v>
      </c>
      <c r="E216">
        <f>LEN(Tabla2[[#This Row],[Centros]])</f>
        <v>60</v>
      </c>
    </row>
    <row r="217" spans="2:5" x14ac:dyDescent="0.3">
      <c r="B217" t="s">
        <v>502</v>
      </c>
      <c r="C217" t="s">
        <v>893</v>
      </c>
      <c r="E217">
        <f>LEN(Tabla2[[#This Row],[Centros]])</f>
        <v>53</v>
      </c>
    </row>
    <row r="218" spans="2:5" x14ac:dyDescent="0.3">
      <c r="B218" t="s">
        <v>502</v>
      </c>
      <c r="C218" t="s">
        <v>914</v>
      </c>
      <c r="E218">
        <f>LEN(Tabla2[[#This Row],[Centros]])</f>
        <v>55</v>
      </c>
    </row>
    <row r="219" spans="2:5" x14ac:dyDescent="0.3">
      <c r="B219" t="s">
        <v>502</v>
      </c>
      <c r="C219" t="s">
        <v>918</v>
      </c>
      <c r="E219">
        <f>LEN(Tabla2[[#This Row],[Centros]])</f>
        <v>59</v>
      </c>
    </row>
    <row r="220" spans="2:5" x14ac:dyDescent="0.3">
      <c r="B220" t="s">
        <v>502</v>
      </c>
      <c r="C220" t="s">
        <v>909</v>
      </c>
      <c r="E220">
        <f>LEN(Tabla2[[#This Row],[Centros]])</f>
        <v>55</v>
      </c>
    </row>
    <row r="221" spans="2:5" x14ac:dyDescent="0.3">
      <c r="B221" t="s">
        <v>502</v>
      </c>
      <c r="C221" t="s">
        <v>916</v>
      </c>
      <c r="E221">
        <f>LEN(Tabla2[[#This Row],[Centros]])</f>
        <v>56</v>
      </c>
    </row>
    <row r="222" spans="2:5" x14ac:dyDescent="0.3">
      <c r="B222" t="s">
        <v>502</v>
      </c>
      <c r="C222" t="s">
        <v>850</v>
      </c>
      <c r="E222">
        <f>LEN(Tabla2[[#This Row],[Centros]])</f>
        <v>56</v>
      </c>
    </row>
    <row r="223" spans="2:5" x14ac:dyDescent="0.3">
      <c r="B223" t="s">
        <v>502</v>
      </c>
      <c r="C223" t="s">
        <v>903</v>
      </c>
      <c r="E223">
        <f>LEN(Tabla2[[#This Row],[Centros]])</f>
        <v>64</v>
      </c>
    </row>
    <row r="224" spans="2:5" x14ac:dyDescent="0.3">
      <c r="B224" t="s">
        <v>502</v>
      </c>
      <c r="C224" t="s">
        <v>878</v>
      </c>
      <c r="E224">
        <f>LEN(Tabla2[[#This Row],[Centros]])</f>
        <v>58</v>
      </c>
    </row>
    <row r="225" spans="2:5" x14ac:dyDescent="0.3">
      <c r="B225" t="s">
        <v>502</v>
      </c>
      <c r="C225" t="s">
        <v>868</v>
      </c>
      <c r="E225">
        <f>LEN(Tabla2[[#This Row],[Centros]])</f>
        <v>52</v>
      </c>
    </row>
    <row r="226" spans="2:5" x14ac:dyDescent="0.3">
      <c r="B226" t="s">
        <v>502</v>
      </c>
      <c r="C226" t="s">
        <v>867</v>
      </c>
      <c r="E226">
        <f>LEN(Tabla2[[#This Row],[Centros]])</f>
        <v>51</v>
      </c>
    </row>
    <row r="227" spans="2:5" x14ac:dyDescent="0.3">
      <c r="B227" t="s">
        <v>502</v>
      </c>
      <c r="C227" t="s">
        <v>851</v>
      </c>
      <c r="E227">
        <f>LEN(Tabla2[[#This Row],[Centros]])</f>
        <v>56</v>
      </c>
    </row>
    <row r="228" spans="2:5" x14ac:dyDescent="0.3">
      <c r="B228" t="s">
        <v>502</v>
      </c>
      <c r="C228" t="s">
        <v>852</v>
      </c>
      <c r="E228">
        <f>LEN(Tabla2[[#This Row],[Centros]])</f>
        <v>56</v>
      </c>
    </row>
    <row r="229" spans="2:5" x14ac:dyDescent="0.3">
      <c r="B229" t="s">
        <v>502</v>
      </c>
      <c r="C229" t="s">
        <v>503</v>
      </c>
      <c r="E229">
        <f>LEN(Tabla2[[#This Row],[Centros]])</f>
        <v>56</v>
      </c>
    </row>
    <row r="230" spans="2:5" x14ac:dyDescent="0.3">
      <c r="B230" t="s">
        <v>502</v>
      </c>
      <c r="C230" t="s">
        <v>509</v>
      </c>
      <c r="E230">
        <f>LEN(Tabla2[[#This Row],[Centros]])</f>
        <v>58</v>
      </c>
    </row>
    <row r="231" spans="2:5" x14ac:dyDescent="0.3">
      <c r="B231" t="s">
        <v>502</v>
      </c>
      <c r="C231" t="s">
        <v>510</v>
      </c>
      <c r="E231">
        <f>LEN(Tabla2[[#This Row],[Centros]])</f>
        <v>62</v>
      </c>
    </row>
    <row r="232" spans="2:5" x14ac:dyDescent="0.3">
      <c r="B232" t="s">
        <v>502</v>
      </c>
      <c r="C232" t="s">
        <v>511</v>
      </c>
      <c r="E232">
        <f>LEN(Tabla2[[#This Row],[Centros]])</f>
        <v>58</v>
      </c>
    </row>
    <row r="233" spans="2:5" x14ac:dyDescent="0.3">
      <c r="B233" t="s">
        <v>502</v>
      </c>
      <c r="C233" t="s">
        <v>512</v>
      </c>
      <c r="E233">
        <f>LEN(Tabla2[[#This Row],[Centros]])</f>
        <v>59</v>
      </c>
    </row>
    <row r="234" spans="2:5" x14ac:dyDescent="0.3">
      <c r="B234" t="s">
        <v>502</v>
      </c>
      <c r="C234" t="s">
        <v>513</v>
      </c>
      <c r="E234">
        <f>LEN(Tabla2[[#This Row],[Centros]])</f>
        <v>59</v>
      </c>
    </row>
    <row r="235" spans="2:5" x14ac:dyDescent="0.3">
      <c r="B235" t="s">
        <v>502</v>
      </c>
      <c r="C235" t="s">
        <v>514</v>
      </c>
      <c r="E235">
        <f>LEN(Tabla2[[#This Row],[Centros]])</f>
        <v>67</v>
      </c>
    </row>
    <row r="236" spans="2:5" x14ac:dyDescent="0.3">
      <c r="B236" t="s">
        <v>502</v>
      </c>
      <c r="C236" t="s">
        <v>515</v>
      </c>
      <c r="E236">
        <f>LEN(Tabla2[[#This Row],[Centros]])</f>
        <v>61</v>
      </c>
    </row>
    <row r="237" spans="2:5" x14ac:dyDescent="0.3">
      <c r="B237" t="s">
        <v>502</v>
      </c>
      <c r="C237" t="s">
        <v>504</v>
      </c>
      <c r="E237">
        <f>LEN(Tabla2[[#This Row],[Centros]])</f>
        <v>55</v>
      </c>
    </row>
    <row r="238" spans="2:5" x14ac:dyDescent="0.3">
      <c r="B238" t="s">
        <v>502</v>
      </c>
      <c r="C238" t="s">
        <v>505</v>
      </c>
      <c r="E238">
        <f>LEN(Tabla2[[#This Row],[Centros]])</f>
        <v>54</v>
      </c>
    </row>
    <row r="239" spans="2:5" x14ac:dyDescent="0.3">
      <c r="B239" t="s">
        <v>502</v>
      </c>
      <c r="C239" t="s">
        <v>506</v>
      </c>
      <c r="E239">
        <f>LEN(Tabla2[[#This Row],[Centros]])</f>
        <v>59</v>
      </c>
    </row>
    <row r="240" spans="2:5" x14ac:dyDescent="0.3">
      <c r="B240" t="s">
        <v>502</v>
      </c>
      <c r="C240" t="s">
        <v>507</v>
      </c>
      <c r="E240">
        <f>LEN(Tabla2[[#This Row],[Centros]])</f>
        <v>59</v>
      </c>
    </row>
    <row r="241" spans="2:5" x14ac:dyDescent="0.3">
      <c r="B241" t="s">
        <v>502</v>
      </c>
      <c r="C241" t="s">
        <v>517</v>
      </c>
      <c r="E241">
        <f>LEN(Tabla2[[#This Row],[Centros]])</f>
        <v>44</v>
      </c>
    </row>
    <row r="242" spans="2:5" x14ac:dyDescent="0.3">
      <c r="B242" t="s">
        <v>582</v>
      </c>
      <c r="C242" t="s">
        <v>590</v>
      </c>
      <c r="E242">
        <f>LEN(Tabla2[[#This Row],[Centros]])</f>
        <v>59</v>
      </c>
    </row>
    <row r="243" spans="2:5" x14ac:dyDescent="0.3">
      <c r="B243" t="s">
        <v>547</v>
      </c>
      <c r="C243" t="s">
        <v>550</v>
      </c>
      <c r="E243">
        <f>LEN(Tabla2[[#This Row],[Centros]])</f>
        <v>57</v>
      </c>
    </row>
    <row r="244" spans="2:5" x14ac:dyDescent="0.3">
      <c r="B244" t="s">
        <v>582</v>
      </c>
      <c r="C244" t="s">
        <v>589</v>
      </c>
      <c r="E244">
        <f>LEN(Tabla2[[#This Row],[Centros]])</f>
        <v>58</v>
      </c>
    </row>
    <row r="245" spans="2:5" x14ac:dyDescent="0.3">
      <c r="B245" t="s">
        <v>785</v>
      </c>
      <c r="C245" t="s">
        <v>795</v>
      </c>
      <c r="E245">
        <f>LEN(Tabla2[[#This Row],[Centros]])</f>
        <v>13</v>
      </c>
    </row>
    <row r="246" spans="2:5" x14ac:dyDescent="0.3">
      <c r="B246" t="s">
        <v>647</v>
      </c>
      <c r="C246" t="s">
        <v>656</v>
      </c>
      <c r="E246">
        <f>LEN(Tabla2[[#This Row],[Centros]])</f>
        <v>42</v>
      </c>
    </row>
    <row r="247" spans="2:5" x14ac:dyDescent="0.3">
      <c r="B247" t="s">
        <v>647</v>
      </c>
      <c r="C247" t="s">
        <v>659</v>
      </c>
      <c r="E247">
        <f>LEN(Tabla2[[#This Row],[Centros]])</f>
        <v>43</v>
      </c>
    </row>
    <row r="248" spans="2:5" x14ac:dyDescent="0.3">
      <c r="B248" t="s">
        <v>647</v>
      </c>
      <c r="C248" t="s">
        <v>658</v>
      </c>
      <c r="E248">
        <f>LEN(Tabla2[[#This Row],[Centros]])</f>
        <v>44</v>
      </c>
    </row>
    <row r="249" spans="2:5" x14ac:dyDescent="0.3">
      <c r="B249" t="s">
        <v>647</v>
      </c>
      <c r="C249" t="s">
        <v>657</v>
      </c>
      <c r="E249">
        <f>LEN(Tabla2[[#This Row],[Centros]])</f>
        <v>52</v>
      </c>
    </row>
    <row r="250" spans="2:5" x14ac:dyDescent="0.3">
      <c r="B250" t="s">
        <v>647</v>
      </c>
      <c r="C250" t="s">
        <v>654</v>
      </c>
      <c r="E250">
        <f>LEN(Tabla2[[#This Row],[Centros]])</f>
        <v>47</v>
      </c>
    </row>
    <row r="251" spans="2:5" x14ac:dyDescent="0.3">
      <c r="B251" t="s">
        <v>647</v>
      </c>
      <c r="C251" t="s">
        <v>655</v>
      </c>
      <c r="E251">
        <f>LEN(Tabla2[[#This Row],[Centros]])</f>
        <v>44</v>
      </c>
    </row>
    <row r="252" spans="2:5" x14ac:dyDescent="0.3">
      <c r="B252" t="s">
        <v>785</v>
      </c>
      <c r="C252" t="s">
        <v>792</v>
      </c>
      <c r="E252">
        <f>LEN(Tabla2[[#This Row],[Centros]])</f>
        <v>13</v>
      </c>
    </row>
    <row r="253" spans="2:5" x14ac:dyDescent="0.3">
      <c r="B253" t="s">
        <v>785</v>
      </c>
      <c r="C253" t="s">
        <v>794</v>
      </c>
      <c r="E253">
        <f>LEN(Tabla2[[#This Row],[Centros]])</f>
        <v>16</v>
      </c>
    </row>
    <row r="254" spans="2:5" x14ac:dyDescent="0.3">
      <c r="B254" t="s">
        <v>749</v>
      </c>
      <c r="C254" t="s">
        <v>750</v>
      </c>
      <c r="E254">
        <f>LEN(Tabla2[[#This Row],[Centros]])</f>
        <v>29</v>
      </c>
    </row>
    <row r="255" spans="2:5" x14ac:dyDescent="0.3">
      <c r="B255" t="s">
        <v>685</v>
      </c>
      <c r="C255" t="s">
        <v>895</v>
      </c>
      <c r="E255">
        <f>LEN(Tabla2[[#This Row],[Centros]])</f>
        <v>31</v>
      </c>
    </row>
    <row r="256" spans="2:5" x14ac:dyDescent="0.3">
      <c r="B256" t="s">
        <v>534</v>
      </c>
      <c r="C256" t="s">
        <v>536</v>
      </c>
      <c r="E256">
        <f>LEN(Tabla2[[#This Row],[Centros]])</f>
        <v>27</v>
      </c>
    </row>
    <row r="257" spans="2:5" x14ac:dyDescent="0.3">
      <c r="B257" t="s">
        <v>528</v>
      </c>
      <c r="C257" t="s">
        <v>531</v>
      </c>
      <c r="E257">
        <f>LEN(Tabla2[[#This Row],[Centros]])</f>
        <v>40</v>
      </c>
    </row>
    <row r="258" spans="2:5" x14ac:dyDescent="0.3">
      <c r="B258" t="s">
        <v>731</v>
      </c>
      <c r="C258" t="s">
        <v>732</v>
      </c>
      <c r="E258">
        <f>LEN(Tabla2[[#This Row],[Centros]])</f>
        <v>32</v>
      </c>
    </row>
    <row r="259" spans="2:5" x14ac:dyDescent="0.3">
      <c r="B259" t="s">
        <v>731</v>
      </c>
      <c r="C259" t="s">
        <v>733</v>
      </c>
      <c r="E259">
        <f>LEN(Tabla2[[#This Row],[Centros]])</f>
        <v>32</v>
      </c>
    </row>
    <row r="260" spans="2:5" x14ac:dyDescent="0.3">
      <c r="B260" t="s">
        <v>731</v>
      </c>
      <c r="C260" t="s">
        <v>734</v>
      </c>
      <c r="E260">
        <f>LEN(Tabla2[[#This Row],[Centros]])</f>
        <v>32</v>
      </c>
    </row>
    <row r="261" spans="2:5" x14ac:dyDescent="0.3">
      <c r="B261" t="s">
        <v>731</v>
      </c>
      <c r="C261" t="s">
        <v>735</v>
      </c>
      <c r="E261">
        <f>LEN(Tabla2[[#This Row],[Centros]])</f>
        <v>32</v>
      </c>
    </row>
    <row r="262" spans="2:5" x14ac:dyDescent="0.3">
      <c r="B262" t="s">
        <v>685</v>
      </c>
      <c r="C262" t="s">
        <v>892</v>
      </c>
      <c r="E262">
        <f>LEN(Tabla2[[#This Row],[Centros]])</f>
        <v>71</v>
      </c>
    </row>
    <row r="263" spans="2:5" x14ac:dyDescent="0.3">
      <c r="B263" t="s">
        <v>685</v>
      </c>
      <c r="C263" t="s">
        <v>686</v>
      </c>
      <c r="E263">
        <f>LEN(Tabla2[[#This Row],[Centros]])</f>
        <v>76</v>
      </c>
    </row>
    <row r="264" spans="2:5" x14ac:dyDescent="0.3">
      <c r="B264" t="s">
        <v>727</v>
      </c>
      <c r="C264" t="s">
        <v>730</v>
      </c>
      <c r="E264">
        <f>LEN(Tabla2[[#This Row],[Centros]])</f>
        <v>37</v>
      </c>
    </row>
    <row r="265" spans="2:5" x14ac:dyDescent="0.3">
      <c r="B265" t="s">
        <v>716</v>
      </c>
      <c r="C265" t="s">
        <v>723</v>
      </c>
      <c r="E265">
        <f>LEN(Tabla2[[#This Row],[Centros]])</f>
        <v>51</v>
      </c>
    </row>
    <row r="266" spans="2:5" x14ac:dyDescent="0.3">
      <c r="B266" t="s">
        <v>727</v>
      </c>
      <c r="C266" t="s">
        <v>728</v>
      </c>
      <c r="E266">
        <f>LEN(Tabla2[[#This Row],[Centros]])</f>
        <v>30</v>
      </c>
    </row>
    <row r="267" spans="2:5" x14ac:dyDescent="0.3">
      <c r="B267" t="s">
        <v>716</v>
      </c>
      <c r="C267" t="s">
        <v>725</v>
      </c>
      <c r="E267">
        <f>LEN(Tabla2[[#This Row],[Centros]])</f>
        <v>51</v>
      </c>
    </row>
    <row r="268" spans="2:5" x14ac:dyDescent="0.3">
      <c r="B268" t="s">
        <v>716</v>
      </c>
      <c r="C268" t="s">
        <v>722</v>
      </c>
      <c r="E268">
        <f>LEN(Tabla2[[#This Row],[Centros]])</f>
        <v>50</v>
      </c>
    </row>
    <row r="269" spans="2:5" x14ac:dyDescent="0.3">
      <c r="B269" t="s">
        <v>716</v>
      </c>
      <c r="C269" t="s">
        <v>724</v>
      </c>
      <c r="E269">
        <f>LEN(Tabla2[[#This Row],[Centros]])</f>
        <v>46</v>
      </c>
    </row>
    <row r="270" spans="2:5" x14ac:dyDescent="0.3">
      <c r="B270" t="s">
        <v>716</v>
      </c>
      <c r="C270" t="s">
        <v>721</v>
      </c>
      <c r="E270">
        <f>LEN(Tabla2[[#This Row],[Centros]])</f>
        <v>49</v>
      </c>
    </row>
    <row r="271" spans="2:5" x14ac:dyDescent="0.3">
      <c r="B271" t="s">
        <v>727</v>
      </c>
      <c r="C271" t="s">
        <v>729</v>
      </c>
      <c r="E271">
        <f>LEN(Tabla2[[#This Row],[Centros]])</f>
        <v>43</v>
      </c>
    </row>
    <row r="272" spans="2:5" x14ac:dyDescent="0.3">
      <c r="B272" t="s">
        <v>716</v>
      </c>
      <c r="C272" t="s">
        <v>720</v>
      </c>
      <c r="E272">
        <f>LEN(Tabla2[[#This Row],[Centros]])</f>
        <v>37</v>
      </c>
    </row>
    <row r="273" spans="2:5" x14ac:dyDescent="0.3">
      <c r="B273" t="s">
        <v>827</v>
      </c>
      <c r="C273" t="s">
        <v>835</v>
      </c>
      <c r="E273">
        <f>LEN(Tabla2[[#This Row],[Centros]])</f>
        <v>37</v>
      </c>
    </row>
    <row r="274" spans="2:5" x14ac:dyDescent="0.3">
      <c r="B274" t="s">
        <v>827</v>
      </c>
      <c r="C274" t="s">
        <v>840</v>
      </c>
      <c r="E274">
        <f>LEN(Tabla2[[#This Row],[Centros]])</f>
        <v>49</v>
      </c>
    </row>
    <row r="275" spans="2:5" x14ac:dyDescent="0.3">
      <c r="B275" t="s">
        <v>827</v>
      </c>
      <c r="C275" t="s">
        <v>837</v>
      </c>
      <c r="E275">
        <f>LEN(Tabla2[[#This Row],[Centros]])</f>
        <v>36</v>
      </c>
    </row>
    <row r="276" spans="2:5" x14ac:dyDescent="0.3">
      <c r="B276" t="s">
        <v>827</v>
      </c>
      <c r="C276" t="s">
        <v>830</v>
      </c>
      <c r="E276">
        <f>LEN(Tabla2[[#This Row],[Centros]])</f>
        <v>36</v>
      </c>
    </row>
    <row r="277" spans="2:5" x14ac:dyDescent="0.3">
      <c r="B277" t="s">
        <v>827</v>
      </c>
      <c r="C277" t="s">
        <v>834</v>
      </c>
      <c r="E277">
        <f>LEN(Tabla2[[#This Row],[Centros]])</f>
        <v>42</v>
      </c>
    </row>
    <row r="278" spans="2:5" x14ac:dyDescent="0.3">
      <c r="B278" t="s">
        <v>827</v>
      </c>
      <c r="C278" t="s">
        <v>833</v>
      </c>
      <c r="E278">
        <f>LEN(Tabla2[[#This Row],[Centros]])</f>
        <v>36</v>
      </c>
    </row>
    <row r="279" spans="2:5" x14ac:dyDescent="0.3">
      <c r="B279" t="s">
        <v>827</v>
      </c>
      <c r="C279" t="s">
        <v>831</v>
      </c>
      <c r="E279">
        <f>LEN(Tabla2[[#This Row],[Centros]])</f>
        <v>41</v>
      </c>
    </row>
    <row r="280" spans="2:5" x14ac:dyDescent="0.3">
      <c r="B280" t="s">
        <v>827</v>
      </c>
      <c r="C280" t="s">
        <v>836</v>
      </c>
      <c r="E280">
        <f>LEN(Tabla2[[#This Row],[Centros]])</f>
        <v>41</v>
      </c>
    </row>
    <row r="281" spans="2:5" x14ac:dyDescent="0.3">
      <c r="B281" t="s">
        <v>827</v>
      </c>
      <c r="C281" t="s">
        <v>838</v>
      </c>
      <c r="E281">
        <f>LEN(Tabla2[[#This Row],[Centros]])</f>
        <v>42</v>
      </c>
    </row>
    <row r="282" spans="2:5" x14ac:dyDescent="0.3">
      <c r="B282" t="s">
        <v>827</v>
      </c>
      <c r="C282" t="s">
        <v>839</v>
      </c>
      <c r="E282">
        <f>LEN(Tabla2[[#This Row],[Centros]])</f>
        <v>41</v>
      </c>
    </row>
    <row r="283" spans="2:5" x14ac:dyDescent="0.3">
      <c r="B283" t="s">
        <v>749</v>
      </c>
      <c r="C283" t="s">
        <v>751</v>
      </c>
      <c r="E283">
        <f>LEN(Tabla2[[#This Row],[Centros]])</f>
        <v>32</v>
      </c>
    </row>
    <row r="284" spans="2:5" x14ac:dyDescent="0.3">
      <c r="B284" t="s">
        <v>518</v>
      </c>
      <c r="C284" t="s">
        <v>495</v>
      </c>
      <c r="D284" s="2">
        <v>2</v>
      </c>
      <c r="E284">
        <f>LEN(Tabla2[[#This Row],[Centros]])</f>
        <v>43</v>
      </c>
    </row>
    <row r="285" spans="2:5" x14ac:dyDescent="0.3">
      <c r="B285" t="s">
        <v>518</v>
      </c>
      <c r="C285" t="s">
        <v>497</v>
      </c>
      <c r="D285" s="2">
        <v>4</v>
      </c>
      <c r="E285">
        <f>LEN(Tabla2[[#This Row],[Centros]])</f>
        <v>39</v>
      </c>
    </row>
    <row r="286" spans="2:5" x14ac:dyDescent="0.3">
      <c r="B286" t="s">
        <v>518</v>
      </c>
      <c r="C286" t="s">
        <v>496</v>
      </c>
      <c r="D286" s="2">
        <v>3</v>
      </c>
      <c r="E286">
        <f>LEN(Tabla2[[#This Row],[Centros]])</f>
        <v>37</v>
      </c>
    </row>
    <row r="287" spans="2:5" x14ac:dyDescent="0.3">
      <c r="B287" t="s">
        <v>502</v>
      </c>
      <c r="C287" t="s">
        <v>915</v>
      </c>
      <c r="E287">
        <f>LEN(Tabla2[[#This Row],[Centros]])</f>
        <v>48</v>
      </c>
    </row>
    <row r="288" spans="2:5" x14ac:dyDescent="0.3">
      <c r="B288" t="s">
        <v>502</v>
      </c>
      <c r="C288" t="s">
        <v>508</v>
      </c>
      <c r="E288">
        <f>LEN(Tabla2[[#This Row],[Centros]])</f>
        <v>51</v>
      </c>
    </row>
    <row r="289" spans="2:5" x14ac:dyDescent="0.3">
      <c r="B289" t="s">
        <v>502</v>
      </c>
      <c r="C289" t="s">
        <v>842</v>
      </c>
      <c r="E289">
        <f>LEN(Tabla2[[#This Row],[Centros]])</f>
        <v>51</v>
      </c>
    </row>
    <row r="290" spans="2:5" x14ac:dyDescent="0.3">
      <c r="B290" t="s">
        <v>502</v>
      </c>
      <c r="C290" t="s">
        <v>516</v>
      </c>
      <c r="E290">
        <f>LEN(Tabla2[[#This Row],[Centros]])</f>
        <v>51</v>
      </c>
    </row>
    <row r="291" spans="2:5" x14ac:dyDescent="0.3">
      <c r="B291" t="s">
        <v>538</v>
      </c>
      <c r="C291" t="s">
        <v>544</v>
      </c>
      <c r="E291">
        <f>LEN(Tabla2[[#This Row],[Centros]])</f>
        <v>54</v>
      </c>
    </row>
    <row r="292" spans="2:5" x14ac:dyDescent="0.3">
      <c r="B292" t="s">
        <v>716</v>
      </c>
      <c r="C292" t="s">
        <v>718</v>
      </c>
      <c r="E292">
        <f>LEN(Tabla2[[#This Row],[Centros]])</f>
        <v>53</v>
      </c>
    </row>
    <row r="293" spans="2:5" x14ac:dyDescent="0.3">
      <c r="B293" t="s">
        <v>538</v>
      </c>
      <c r="C293" t="s">
        <v>539</v>
      </c>
      <c r="E293">
        <f>LEN(Tabla2[[#This Row],[Centros]])</f>
        <v>43</v>
      </c>
    </row>
    <row r="294" spans="2:5" x14ac:dyDescent="0.3">
      <c r="B294" t="s">
        <v>538</v>
      </c>
      <c r="C294" t="s">
        <v>541</v>
      </c>
      <c r="E294">
        <f>LEN(Tabla2[[#This Row],[Centros]])</f>
        <v>37</v>
      </c>
    </row>
    <row r="295" spans="2:5" x14ac:dyDescent="0.3">
      <c r="B295" t="s">
        <v>538</v>
      </c>
      <c r="C295" t="s">
        <v>882</v>
      </c>
      <c r="E295">
        <f>LEN(Tabla2[[#This Row],[Centros]])</f>
        <v>38</v>
      </c>
    </row>
    <row r="296" spans="2:5" x14ac:dyDescent="0.3">
      <c r="B296" t="s">
        <v>749</v>
      </c>
      <c r="C296" t="s">
        <v>752</v>
      </c>
      <c r="E296">
        <f>LEN(Tabla2[[#This Row],[Centros]])</f>
        <v>29</v>
      </c>
    </row>
    <row r="297" spans="2:5" x14ac:dyDescent="0.3">
      <c r="B297" t="s">
        <v>685</v>
      </c>
      <c r="C297" t="s">
        <v>896</v>
      </c>
      <c r="E297">
        <f>LEN(Tabla2[[#This Row],[Centros]])</f>
        <v>41</v>
      </c>
    </row>
    <row r="298" spans="2:5" x14ac:dyDescent="0.3">
      <c r="B298" t="s">
        <v>528</v>
      </c>
      <c r="C298" t="s">
        <v>529</v>
      </c>
      <c r="E298">
        <f>LEN(Tabla2[[#This Row],[Centros]])</f>
        <v>27</v>
      </c>
    </row>
    <row r="299" spans="2:5" x14ac:dyDescent="0.3">
      <c r="B299" t="s">
        <v>685</v>
      </c>
      <c r="C299" t="s">
        <v>881</v>
      </c>
      <c r="E299">
        <f>LEN(Tabla2[[#This Row],[Centros]])</f>
        <v>30</v>
      </c>
    </row>
    <row r="300" spans="2:5" x14ac:dyDescent="0.3">
      <c r="B300" t="s">
        <v>685</v>
      </c>
      <c r="C300" t="s">
        <v>877</v>
      </c>
      <c r="E300">
        <f>LEN(Tabla2[[#This Row],[Centros]])</f>
        <v>44</v>
      </c>
    </row>
    <row r="301" spans="2:5" x14ac:dyDescent="0.3">
      <c r="B301" t="s">
        <v>685</v>
      </c>
      <c r="C301" t="s">
        <v>879</v>
      </c>
      <c r="E301">
        <f>LEN(Tabla2[[#This Row],[Centros]])</f>
        <v>44</v>
      </c>
    </row>
    <row r="302" spans="2:5" x14ac:dyDescent="0.3">
      <c r="B302" t="s">
        <v>685</v>
      </c>
      <c r="C302" t="s">
        <v>920</v>
      </c>
      <c r="E302">
        <f>LEN(Tabla2[[#This Row],[Centros]])</f>
        <v>47</v>
      </c>
    </row>
    <row r="303" spans="2:5" x14ac:dyDescent="0.3">
      <c r="B303" t="s">
        <v>685</v>
      </c>
      <c r="C303" t="s">
        <v>902</v>
      </c>
      <c r="E303">
        <f>LEN(Tabla2[[#This Row],[Centros]])</f>
        <v>45</v>
      </c>
    </row>
    <row r="304" spans="2:5" x14ac:dyDescent="0.3">
      <c r="B304" t="s">
        <v>685</v>
      </c>
      <c r="C304" t="s">
        <v>859</v>
      </c>
      <c r="E304">
        <f>LEN(Tabla2[[#This Row],[Centros]])</f>
        <v>30</v>
      </c>
    </row>
    <row r="305" spans="2:5" x14ac:dyDescent="0.3">
      <c r="B305" t="s">
        <v>727</v>
      </c>
      <c r="C305" t="s">
        <v>856</v>
      </c>
      <c r="E305">
        <f>LEN(Tabla2[[#This Row],[Centros]])</f>
        <v>50</v>
      </c>
    </row>
    <row r="306" spans="2:5" x14ac:dyDescent="0.3">
      <c r="B306" t="s">
        <v>538</v>
      </c>
      <c r="C306" t="s">
        <v>540</v>
      </c>
      <c r="E306">
        <f>LEN(Tabla2[[#This Row],[Centros]])</f>
        <v>35</v>
      </c>
    </row>
    <row r="307" spans="2:5" x14ac:dyDescent="0.3">
      <c r="B307" t="s">
        <v>749</v>
      </c>
      <c r="C307" t="s">
        <v>753</v>
      </c>
      <c r="E307">
        <f>LEN(Tabla2[[#This Row],[Centros]])</f>
        <v>37</v>
      </c>
    </row>
    <row r="308" spans="2:5" x14ac:dyDescent="0.3">
      <c r="B308" t="s">
        <v>775</v>
      </c>
      <c r="C308" t="s">
        <v>884</v>
      </c>
      <c r="E308">
        <f>LEN(Tabla2[[#This Row],[Centros]])</f>
        <v>42</v>
      </c>
    </row>
    <row r="309" spans="2:5" x14ac:dyDescent="0.3">
      <c r="B309" t="s">
        <v>775</v>
      </c>
      <c r="C309" t="s">
        <v>891</v>
      </c>
      <c r="E309">
        <f>LEN(Tabla2[[#This Row],[Centros]])</f>
        <v>42</v>
      </c>
    </row>
    <row r="310" spans="2:5" x14ac:dyDescent="0.3">
      <c r="B310" t="s">
        <v>534</v>
      </c>
      <c r="C310" t="s">
        <v>535</v>
      </c>
      <c r="E310">
        <f>LEN(Tabla2[[#This Row],[Centros]])</f>
        <v>40</v>
      </c>
    </row>
    <row r="311" spans="2:5" x14ac:dyDescent="0.3">
      <c r="B311" t="s">
        <v>528</v>
      </c>
      <c r="C311" t="s">
        <v>530</v>
      </c>
      <c r="E311">
        <f>LEN(Tabla2[[#This Row],[Centros]])</f>
        <v>38</v>
      </c>
    </row>
    <row r="312" spans="2:5" x14ac:dyDescent="0.3">
      <c r="B312" t="s">
        <v>528</v>
      </c>
      <c r="C312" t="s">
        <v>532</v>
      </c>
      <c r="E312">
        <f>LEN(Tabla2[[#This Row],[Centros]])</f>
        <v>34</v>
      </c>
    </row>
    <row r="313" spans="2:5" x14ac:dyDescent="0.3">
      <c r="B313" t="s">
        <v>685</v>
      </c>
      <c r="C313" t="s">
        <v>869</v>
      </c>
      <c r="E313">
        <f>LEN(Tabla2[[#This Row],[Centros]])</f>
        <v>30</v>
      </c>
    </row>
    <row r="314" spans="2:5" x14ac:dyDescent="0.3">
      <c r="B314" t="s">
        <v>538</v>
      </c>
      <c r="C314" t="s">
        <v>543</v>
      </c>
      <c r="E314">
        <f>LEN(Tabla2[[#This Row],[Centros]])</f>
        <v>28</v>
      </c>
    </row>
    <row r="315" spans="2:5" x14ac:dyDescent="0.3">
      <c r="B315" t="s">
        <v>716</v>
      </c>
      <c r="C315" t="s">
        <v>717</v>
      </c>
      <c r="E315">
        <f>LEN(Tabla2[[#This Row],[Centros]])</f>
        <v>53</v>
      </c>
    </row>
    <row r="316" spans="2:5" x14ac:dyDescent="0.3">
      <c r="B316" t="s">
        <v>538</v>
      </c>
      <c r="C316" t="s">
        <v>894</v>
      </c>
      <c r="E316">
        <f>LEN(Tabla2[[#This Row],[Centros]])</f>
        <v>37</v>
      </c>
    </row>
    <row r="317" spans="2:5" x14ac:dyDescent="0.3">
      <c r="B317" t="s">
        <v>538</v>
      </c>
      <c r="C317" t="s">
        <v>924</v>
      </c>
      <c r="E317">
        <f>LEN(Tabla2[[#This Row],[Centros]])</f>
        <v>43</v>
      </c>
    </row>
    <row r="318" spans="2:5" x14ac:dyDescent="0.3">
      <c r="B318" t="s">
        <v>538</v>
      </c>
      <c r="C318" t="s">
        <v>542</v>
      </c>
      <c r="E318">
        <f>LEN(Tabla2[[#This Row],[Centros]])</f>
        <v>37</v>
      </c>
    </row>
    <row r="319" spans="2:5" x14ac:dyDescent="0.3">
      <c r="B319" t="s">
        <v>538</v>
      </c>
      <c r="C319" t="s">
        <v>925</v>
      </c>
      <c r="E319">
        <f>LEN(Tabla2[[#This Row],[Centros]])</f>
        <v>36</v>
      </c>
    </row>
    <row r="320" spans="2:5" x14ac:dyDescent="0.3">
      <c r="B320" t="s">
        <v>662</v>
      </c>
      <c r="C320" t="s">
        <v>664</v>
      </c>
      <c r="E320">
        <f>LEN(Tabla2[[#This Row],[Centros]])</f>
        <v>51</v>
      </c>
    </row>
    <row r="321" spans="2:5" x14ac:dyDescent="0.3">
      <c r="B321" t="s">
        <v>662</v>
      </c>
      <c r="C321" t="s">
        <v>663</v>
      </c>
      <c r="E321">
        <f>LEN(Tabla2[[#This Row],[Centros]])</f>
        <v>55</v>
      </c>
    </row>
    <row r="322" spans="2:5" x14ac:dyDescent="0.3">
      <c r="B322" t="s">
        <v>662</v>
      </c>
      <c r="C322" t="s">
        <v>665</v>
      </c>
      <c r="E322">
        <f>LEN(Tabla2[[#This Row],[Centros]])</f>
        <v>53</v>
      </c>
    </row>
    <row r="323" spans="2:5" x14ac:dyDescent="0.3">
      <c r="B323" t="s">
        <v>662</v>
      </c>
      <c r="C323" t="s">
        <v>666</v>
      </c>
      <c r="E323">
        <f>LEN(Tabla2[[#This Row],[Centros]])</f>
        <v>51</v>
      </c>
    </row>
    <row r="324" spans="2:5" x14ac:dyDescent="0.3">
      <c r="B324" t="s">
        <v>662</v>
      </c>
      <c r="C324" t="s">
        <v>667</v>
      </c>
      <c r="E324">
        <f>LEN(Tabla2[[#This Row],[Centros]])</f>
        <v>55</v>
      </c>
    </row>
    <row r="325" spans="2:5" x14ac:dyDescent="0.3">
      <c r="B325" t="s">
        <v>662</v>
      </c>
      <c r="C325" t="s">
        <v>668</v>
      </c>
      <c r="E325">
        <f>LEN(Tabla2[[#This Row],[Centros]])</f>
        <v>54</v>
      </c>
    </row>
    <row r="326" spans="2:5" x14ac:dyDescent="0.3">
      <c r="B326" t="s">
        <v>662</v>
      </c>
      <c r="C326" t="s">
        <v>669</v>
      </c>
      <c r="E326">
        <f>LEN(Tabla2[[#This Row],[Centros]])</f>
        <v>50</v>
      </c>
    </row>
    <row r="327" spans="2:5" x14ac:dyDescent="0.3">
      <c r="B327" t="s">
        <v>662</v>
      </c>
      <c r="C327" t="s">
        <v>670</v>
      </c>
      <c r="E327">
        <f>LEN(Tabla2[[#This Row],[Centros]])</f>
        <v>74</v>
      </c>
    </row>
    <row r="328" spans="2:5" x14ac:dyDescent="0.3">
      <c r="B328" t="s">
        <v>662</v>
      </c>
      <c r="C328" t="s">
        <v>671</v>
      </c>
      <c r="E328">
        <f>LEN(Tabla2[[#This Row],[Centros]])</f>
        <v>65</v>
      </c>
    </row>
    <row r="329" spans="2:5" x14ac:dyDescent="0.3">
      <c r="B329" t="s">
        <v>662</v>
      </c>
      <c r="C329" t="s">
        <v>672</v>
      </c>
      <c r="E329">
        <f>LEN(Tabla2[[#This Row],[Centros]])</f>
        <v>63</v>
      </c>
    </row>
    <row r="330" spans="2:5" x14ac:dyDescent="0.3">
      <c r="B330" t="s">
        <v>662</v>
      </c>
      <c r="C330" t="s">
        <v>673</v>
      </c>
      <c r="E330">
        <f>LEN(Tabla2[[#This Row],[Centros]])</f>
        <v>61</v>
      </c>
    </row>
    <row r="331" spans="2:5" x14ac:dyDescent="0.3">
      <c r="B331" t="s">
        <v>662</v>
      </c>
      <c r="C331" t="s">
        <v>674</v>
      </c>
      <c r="E331">
        <f>LEN(Tabla2[[#This Row],[Centros]])</f>
        <v>56</v>
      </c>
    </row>
    <row r="332" spans="2:5" x14ac:dyDescent="0.3">
      <c r="B332" t="s">
        <v>662</v>
      </c>
      <c r="C332" t="s">
        <v>675</v>
      </c>
      <c r="E332">
        <f>LEN(Tabla2[[#This Row],[Centros]])</f>
        <v>53</v>
      </c>
    </row>
    <row r="333" spans="2:5" x14ac:dyDescent="0.3">
      <c r="B333" t="s">
        <v>662</v>
      </c>
      <c r="C333" t="s">
        <v>676</v>
      </c>
      <c r="E333">
        <f>LEN(Tabla2[[#This Row],[Centros]])</f>
        <v>55</v>
      </c>
    </row>
    <row r="334" spans="2:5" x14ac:dyDescent="0.3">
      <c r="B334" t="s">
        <v>662</v>
      </c>
      <c r="C334" t="s">
        <v>677</v>
      </c>
      <c r="E334">
        <f>LEN(Tabla2[[#This Row],[Centros]])</f>
        <v>59</v>
      </c>
    </row>
    <row r="335" spans="2:5" x14ac:dyDescent="0.3">
      <c r="B335" t="s">
        <v>662</v>
      </c>
      <c r="C335" t="s">
        <v>678</v>
      </c>
      <c r="E335">
        <f>LEN(Tabla2[[#This Row],[Centros]])</f>
        <v>62</v>
      </c>
    </row>
    <row r="336" spans="2:5" x14ac:dyDescent="0.3">
      <c r="B336" t="s">
        <v>662</v>
      </c>
      <c r="C336" t="s">
        <v>679</v>
      </c>
      <c r="E336">
        <f>LEN(Tabla2[[#This Row],[Centros]])</f>
        <v>52</v>
      </c>
    </row>
    <row r="337" spans="2:5" x14ac:dyDescent="0.3">
      <c r="B337" t="s">
        <v>662</v>
      </c>
      <c r="C337" t="s">
        <v>680</v>
      </c>
      <c r="E337">
        <f>LEN(Tabla2[[#This Row],[Centros]])</f>
        <v>57</v>
      </c>
    </row>
    <row r="338" spans="2:5" x14ac:dyDescent="0.3">
      <c r="B338" t="s">
        <v>662</v>
      </c>
      <c r="C338" t="s">
        <v>681</v>
      </c>
      <c r="E338">
        <f>LEN(Tabla2[[#This Row],[Centros]])</f>
        <v>59</v>
      </c>
    </row>
    <row r="339" spans="2:5" x14ac:dyDescent="0.3">
      <c r="B339" t="s">
        <v>662</v>
      </c>
      <c r="C339" t="s">
        <v>682</v>
      </c>
      <c r="E339">
        <f>LEN(Tabla2[[#This Row],[Centros]])</f>
        <v>53</v>
      </c>
    </row>
    <row r="340" spans="2:5" x14ac:dyDescent="0.3">
      <c r="B340" t="s">
        <v>685</v>
      </c>
      <c r="C340" t="s">
        <v>901</v>
      </c>
      <c r="E340">
        <f>LEN(Tabla2[[#This Row],[Centros]])</f>
        <v>27</v>
      </c>
    </row>
    <row r="341" spans="2:5" x14ac:dyDescent="0.3">
      <c r="B341" t="s">
        <v>685</v>
      </c>
      <c r="C341" t="s">
        <v>696</v>
      </c>
      <c r="E341">
        <f>LEN(Tabla2[[#This Row],[Centros]])</f>
        <v>50</v>
      </c>
    </row>
    <row r="342" spans="2:5" x14ac:dyDescent="0.3">
      <c r="B342" t="s">
        <v>775</v>
      </c>
      <c r="C342" t="s">
        <v>782</v>
      </c>
      <c r="E342">
        <f>LEN(Tabla2[[#This Row],[Centros]])</f>
        <v>28</v>
      </c>
    </row>
    <row r="343" spans="2:5" x14ac:dyDescent="0.3">
      <c r="B343" t="s">
        <v>785</v>
      </c>
      <c r="C343" t="s">
        <v>944</v>
      </c>
      <c r="E343">
        <f>LEN(Tabla2[[#This Row],[Centros]])</f>
        <v>69</v>
      </c>
    </row>
    <row r="344" spans="2:5" x14ac:dyDescent="0.3">
      <c r="B344" t="s">
        <v>785</v>
      </c>
      <c r="C344" t="s">
        <v>945</v>
      </c>
      <c r="E344">
        <f>LEN(Tabla2[[#This Row],[Centros]])</f>
        <v>67</v>
      </c>
    </row>
    <row r="345" spans="2:5" x14ac:dyDescent="0.3">
      <c r="B345" t="s">
        <v>785</v>
      </c>
      <c r="C345" t="s">
        <v>946</v>
      </c>
      <c r="E345">
        <f>LEN(Tabla2[[#This Row],[Centros]])</f>
        <v>70</v>
      </c>
    </row>
    <row r="346" spans="2:5" x14ac:dyDescent="0.3">
      <c r="B346" t="s">
        <v>785</v>
      </c>
      <c r="C346" t="s">
        <v>948</v>
      </c>
      <c r="E346">
        <f>LEN(Tabla2[[#This Row],[Centros]])</f>
        <v>73</v>
      </c>
    </row>
    <row r="347" spans="2:5" x14ac:dyDescent="0.3">
      <c r="B347" t="s">
        <v>785</v>
      </c>
      <c r="C347" t="s">
        <v>947</v>
      </c>
      <c r="E347">
        <f>LEN(Tabla2[[#This Row],[Centros]])</f>
        <v>68</v>
      </c>
    </row>
    <row r="348" spans="2:5" x14ac:dyDescent="0.3">
      <c r="B348" t="s">
        <v>827</v>
      </c>
      <c r="C348" t="s">
        <v>829</v>
      </c>
      <c r="E348">
        <f>LEN(Tabla2[[#This Row],[Centros]])</f>
        <v>47</v>
      </c>
    </row>
    <row r="349" spans="2:5" x14ac:dyDescent="0.3">
      <c r="B349" t="s">
        <v>827</v>
      </c>
      <c r="C349" t="s">
        <v>828</v>
      </c>
      <c r="E349">
        <f>LEN(Tabla2[[#This Row],[Centros]])</f>
        <v>58</v>
      </c>
    </row>
    <row r="350" spans="2:5" x14ac:dyDescent="0.3">
      <c r="B350" t="s">
        <v>775</v>
      </c>
      <c r="C350" t="s">
        <v>783</v>
      </c>
      <c r="E350">
        <f>LEN(Tabla2[[#This Row],[Centros]])</f>
        <v>28</v>
      </c>
    </row>
    <row r="351" spans="2:5" x14ac:dyDescent="0.3">
      <c r="B351" t="s">
        <v>785</v>
      </c>
      <c r="C351" t="s">
        <v>793</v>
      </c>
      <c r="E351">
        <f>LEN(Tabla2[[#This Row],[Centros]])</f>
        <v>14</v>
      </c>
    </row>
    <row r="352" spans="2:5" x14ac:dyDescent="0.3">
      <c r="B352" t="s">
        <v>582</v>
      </c>
      <c r="C352" t="s">
        <v>588</v>
      </c>
      <c r="E352">
        <f>LEN(Tabla2[[#This Row],[Centros]])</f>
        <v>67</v>
      </c>
    </row>
    <row r="353" spans="2:5" x14ac:dyDescent="0.3">
      <c r="B353" t="s">
        <v>582</v>
      </c>
      <c r="C353" t="s">
        <v>587</v>
      </c>
      <c r="E353">
        <f>LEN(Tabla2[[#This Row],[Centros]])</f>
        <v>58</v>
      </c>
    </row>
    <row r="354" spans="2:5" x14ac:dyDescent="0.3">
      <c r="B354" t="s">
        <v>582</v>
      </c>
      <c r="C354" t="s">
        <v>593</v>
      </c>
      <c r="E354">
        <f>LEN(Tabla2[[#This Row],[Centros]])</f>
        <v>43</v>
      </c>
    </row>
    <row r="355" spans="2:5" x14ac:dyDescent="0.3">
      <c r="B355" t="s">
        <v>582</v>
      </c>
      <c r="C355" t="s">
        <v>594</v>
      </c>
      <c r="E355">
        <f>LEN(Tabla2[[#This Row],[Centros]])</f>
        <v>44</v>
      </c>
    </row>
    <row r="356" spans="2:5" x14ac:dyDescent="0.3">
      <c r="B356" t="s">
        <v>619</v>
      </c>
      <c r="C356" t="s">
        <v>620</v>
      </c>
      <c r="E356">
        <f>LEN(Tabla2[[#This Row],[Centros]])</f>
        <v>15</v>
      </c>
    </row>
    <row r="357" spans="2:5" x14ac:dyDescent="0.3">
      <c r="B357" t="s">
        <v>619</v>
      </c>
      <c r="C357" t="s">
        <v>625</v>
      </c>
      <c r="E357">
        <f>LEN(Tabla2[[#This Row],[Centros]])</f>
        <v>13</v>
      </c>
    </row>
    <row r="358" spans="2:5" x14ac:dyDescent="0.3">
      <c r="B358" t="s">
        <v>619</v>
      </c>
      <c r="C358" t="s">
        <v>627</v>
      </c>
      <c r="E358">
        <f>LEN(Tabla2[[#This Row],[Centros]])</f>
        <v>14</v>
      </c>
    </row>
    <row r="359" spans="2:5" x14ac:dyDescent="0.3">
      <c r="B359" t="s">
        <v>619</v>
      </c>
      <c r="C359" t="s">
        <v>621</v>
      </c>
      <c r="E359">
        <f>LEN(Tabla2[[#This Row],[Centros]])</f>
        <v>19</v>
      </c>
    </row>
    <row r="360" spans="2:5" x14ac:dyDescent="0.3">
      <c r="B360" t="s">
        <v>619</v>
      </c>
      <c r="C360" t="s">
        <v>626</v>
      </c>
      <c r="E360">
        <f>LEN(Tabla2[[#This Row],[Centros]])</f>
        <v>24</v>
      </c>
    </row>
    <row r="361" spans="2:5" x14ac:dyDescent="0.3">
      <c r="B361" t="s">
        <v>519</v>
      </c>
      <c r="C361" t="s">
        <v>523</v>
      </c>
      <c r="E361">
        <f>LEN(Tabla2[[#This Row],[Centros]])</f>
        <v>15</v>
      </c>
    </row>
    <row r="362" spans="2:5" x14ac:dyDescent="0.3">
      <c r="B362" t="s">
        <v>519</v>
      </c>
      <c r="C362" t="s">
        <v>524</v>
      </c>
      <c r="E362">
        <f>LEN(Tabla2[[#This Row],[Centros]])</f>
        <v>18</v>
      </c>
    </row>
    <row r="363" spans="2:5" x14ac:dyDescent="0.3">
      <c r="B363" t="s">
        <v>519</v>
      </c>
      <c r="C363" t="s">
        <v>522</v>
      </c>
      <c r="E363">
        <f>LEN(Tabla2[[#This Row],[Centros]])</f>
        <v>15</v>
      </c>
    </row>
    <row r="364" spans="2:5" x14ac:dyDescent="0.3">
      <c r="B364" t="s">
        <v>619</v>
      </c>
      <c r="C364" t="s">
        <v>622</v>
      </c>
      <c r="E364">
        <f>LEN(Tabla2[[#This Row],[Centros]])</f>
        <v>13</v>
      </c>
    </row>
    <row r="365" spans="2:5" x14ac:dyDescent="0.3">
      <c r="B365" t="s">
        <v>619</v>
      </c>
      <c r="C365" t="s">
        <v>624</v>
      </c>
      <c r="E365">
        <f>LEN(Tabla2[[#This Row],[Centros]])</f>
        <v>15</v>
      </c>
    </row>
    <row r="366" spans="2:5" x14ac:dyDescent="0.3">
      <c r="B366" t="s">
        <v>519</v>
      </c>
      <c r="C366" t="s">
        <v>520</v>
      </c>
      <c r="E366">
        <f>LEN(Tabla2[[#This Row],[Centros]])</f>
        <v>15</v>
      </c>
    </row>
    <row r="367" spans="2:5" x14ac:dyDescent="0.3">
      <c r="B367" t="s">
        <v>619</v>
      </c>
      <c r="C367" t="s">
        <v>628</v>
      </c>
      <c r="E367">
        <f>LEN(Tabla2[[#This Row],[Centros]])</f>
        <v>15</v>
      </c>
    </row>
    <row r="368" spans="2:5" x14ac:dyDescent="0.3">
      <c r="B368" t="s">
        <v>619</v>
      </c>
      <c r="C368" t="s">
        <v>629</v>
      </c>
      <c r="E368">
        <f>LEN(Tabla2[[#This Row],[Centros]])</f>
        <v>12</v>
      </c>
    </row>
    <row r="369" spans="2:5" x14ac:dyDescent="0.3">
      <c r="B369" t="s">
        <v>619</v>
      </c>
      <c r="C369" t="s">
        <v>630</v>
      </c>
      <c r="E369">
        <f>LEN(Tabla2[[#This Row],[Centros]])</f>
        <v>13</v>
      </c>
    </row>
    <row r="370" spans="2:5" x14ac:dyDescent="0.3">
      <c r="B370" t="s">
        <v>519</v>
      </c>
      <c r="C370" t="s">
        <v>521</v>
      </c>
      <c r="E370">
        <f>LEN(Tabla2[[#This Row],[Centros]])</f>
        <v>14</v>
      </c>
    </row>
    <row r="371" spans="2:5" x14ac:dyDescent="0.3">
      <c r="B371" t="s">
        <v>619</v>
      </c>
      <c r="C371" t="s">
        <v>623</v>
      </c>
      <c r="E371">
        <f>LEN(Tabla2[[#This Row],[Centros]])</f>
        <v>12</v>
      </c>
    </row>
    <row r="372" spans="2:5" x14ac:dyDescent="0.3">
      <c r="B372" t="s">
        <v>619</v>
      </c>
      <c r="C372" t="s">
        <v>631</v>
      </c>
      <c r="E372">
        <f>LEN(Tabla2[[#This Row],[Centros]])</f>
        <v>18</v>
      </c>
    </row>
    <row r="373" spans="2:5" x14ac:dyDescent="0.3">
      <c r="B373" t="s">
        <v>519</v>
      </c>
      <c r="C373" t="s">
        <v>527</v>
      </c>
      <c r="E373">
        <f>LEN(Tabla2[[#This Row],[Centros]])</f>
        <v>12</v>
      </c>
    </row>
    <row r="374" spans="2:5" x14ac:dyDescent="0.3">
      <c r="B374" t="s">
        <v>519</v>
      </c>
      <c r="C374" t="s">
        <v>525</v>
      </c>
      <c r="E374">
        <f>LEN(Tabla2[[#This Row],[Centros]])</f>
        <v>12</v>
      </c>
    </row>
    <row r="375" spans="2:5" x14ac:dyDescent="0.3">
      <c r="B375" t="s">
        <v>519</v>
      </c>
      <c r="C375" t="s">
        <v>526</v>
      </c>
      <c r="E375">
        <f>LEN(Tabla2[[#This Row],[Centros]])</f>
        <v>11</v>
      </c>
    </row>
    <row r="376" spans="2:5" x14ac:dyDescent="0.3">
      <c r="B376" t="s">
        <v>755</v>
      </c>
      <c r="C376" t="s">
        <v>921</v>
      </c>
      <c r="E376">
        <f>LEN(Tabla2[[#This Row],[Centros]])</f>
        <v>14</v>
      </c>
    </row>
    <row r="377" spans="2:5" x14ac:dyDescent="0.3">
      <c r="B377" t="s">
        <v>647</v>
      </c>
      <c r="C377" t="s">
        <v>648</v>
      </c>
      <c r="E377">
        <f>LEN(Tabla2[[#This Row],[Centros]])</f>
        <v>31</v>
      </c>
    </row>
    <row r="378" spans="2:5" x14ac:dyDescent="0.3">
      <c r="B378" t="s">
        <v>647</v>
      </c>
      <c r="C378" t="s">
        <v>649</v>
      </c>
      <c r="E378">
        <f>LEN(Tabla2[[#This Row],[Centros]])</f>
        <v>25</v>
      </c>
    </row>
    <row r="379" spans="2:5" x14ac:dyDescent="0.3">
      <c r="B379" t="s">
        <v>647</v>
      </c>
      <c r="C379" t="s">
        <v>650</v>
      </c>
      <c r="E379">
        <f>LEN(Tabla2[[#This Row],[Centros]])</f>
        <v>32</v>
      </c>
    </row>
    <row r="380" spans="2:5" x14ac:dyDescent="0.3">
      <c r="B380" t="s">
        <v>647</v>
      </c>
      <c r="C380" t="s">
        <v>651</v>
      </c>
      <c r="E380">
        <f>LEN(Tabla2[[#This Row],[Centros]])</f>
        <v>38</v>
      </c>
    </row>
    <row r="381" spans="2:5" x14ac:dyDescent="0.3">
      <c r="B381" t="s">
        <v>741</v>
      </c>
      <c r="C381" t="s">
        <v>931</v>
      </c>
      <c r="E381">
        <f>LEN(Tabla2[[#This Row],[Centros]])</f>
        <v>62</v>
      </c>
    </row>
    <row r="382" spans="2:5" x14ac:dyDescent="0.3">
      <c r="B382" t="s">
        <v>785</v>
      </c>
      <c r="C382" t="s">
        <v>846</v>
      </c>
      <c r="E382">
        <f>LEN(Tabla2[[#This Row],[Centros]])</f>
        <v>17</v>
      </c>
    </row>
    <row r="383" spans="2:5" x14ac:dyDescent="0.3">
      <c r="B383" t="s">
        <v>785</v>
      </c>
      <c r="C383" t="s">
        <v>929</v>
      </c>
      <c r="E383">
        <f>LEN(Tabla2[[#This Row],[Centros]])</f>
        <v>15</v>
      </c>
    </row>
    <row r="384" spans="2:5" x14ac:dyDescent="0.3">
      <c r="B384" t="s">
        <v>785</v>
      </c>
      <c r="C384" t="s">
        <v>845</v>
      </c>
      <c r="E384">
        <f>LEN(Tabla2[[#This Row],[Centros]])</f>
        <v>18</v>
      </c>
    </row>
    <row r="385" spans="2:5" x14ac:dyDescent="0.3">
      <c r="B385" t="s">
        <v>785</v>
      </c>
      <c r="C385" t="s">
        <v>843</v>
      </c>
      <c r="E385">
        <f>LEN(Tabla2[[#This Row],[Centros]])</f>
        <v>21</v>
      </c>
    </row>
    <row r="386" spans="2:5" x14ac:dyDescent="0.3">
      <c r="B386" t="s">
        <v>785</v>
      </c>
      <c r="C386" t="s">
        <v>844</v>
      </c>
      <c r="E386">
        <f>LEN(Tabla2[[#This Row],[Centros]])</f>
        <v>16</v>
      </c>
    </row>
    <row r="387" spans="2:5" x14ac:dyDescent="0.3">
      <c r="B387" t="s">
        <v>775</v>
      </c>
      <c r="C387" t="s">
        <v>784</v>
      </c>
      <c r="E387">
        <f>LEN(Tabla2[[#This Row],[Centros]])</f>
        <v>68</v>
      </c>
    </row>
    <row r="388" spans="2:5" x14ac:dyDescent="0.3">
      <c r="B388" t="s">
        <v>716</v>
      </c>
      <c r="C388" t="s">
        <v>726</v>
      </c>
      <c r="E388">
        <f>LEN(Tabla2[[#This Row],[Centros]])</f>
        <v>51</v>
      </c>
    </row>
    <row r="389" spans="2:5" x14ac:dyDescent="0.3">
      <c r="B389" t="s">
        <v>662</v>
      </c>
      <c r="C389" t="s">
        <v>683</v>
      </c>
      <c r="E389">
        <f>LEN(Tabla2[[#This Row],[Centros]])</f>
        <v>33</v>
      </c>
    </row>
    <row r="390" spans="2:5" x14ac:dyDescent="0.3">
      <c r="B390" t="s">
        <v>741</v>
      </c>
      <c r="C390" t="s">
        <v>748</v>
      </c>
      <c r="E390">
        <f>LEN(Tabla2[[#This Row],[Centros]])</f>
        <v>84</v>
      </c>
    </row>
    <row r="391" spans="2:5" x14ac:dyDescent="0.3">
      <c r="B391" t="s">
        <v>749</v>
      </c>
      <c r="C391" t="s">
        <v>912</v>
      </c>
      <c r="E391">
        <f>LEN(Tabla2[[#This Row],[Centros]])</f>
        <v>11</v>
      </c>
    </row>
    <row r="392" spans="2:5" x14ac:dyDescent="0.3">
      <c r="B392" t="s">
        <v>749</v>
      </c>
      <c r="C392" t="s">
        <v>911</v>
      </c>
      <c r="E392">
        <f>LEN(Tabla2[[#This Row],[Centros]])</f>
        <v>8</v>
      </c>
    </row>
    <row r="393" spans="2:5" x14ac:dyDescent="0.3">
      <c r="B393" t="s">
        <v>755</v>
      </c>
      <c r="C393" t="s">
        <v>759</v>
      </c>
      <c r="E393">
        <f>LEN(Tabla2[[#This Row],[Centros]])</f>
        <v>7</v>
      </c>
    </row>
    <row r="394" spans="2:5" x14ac:dyDescent="0.3">
      <c r="B394" t="s">
        <v>755</v>
      </c>
      <c r="C394" t="s">
        <v>760</v>
      </c>
      <c r="E394">
        <f>LEN(Tabla2[[#This Row],[Centros]])</f>
        <v>12</v>
      </c>
    </row>
    <row r="395" spans="2:5" x14ac:dyDescent="0.3">
      <c r="B395" t="s">
        <v>755</v>
      </c>
      <c r="C395" t="s">
        <v>761</v>
      </c>
      <c r="E395">
        <f>LEN(Tabla2[[#This Row],[Centros]])</f>
        <v>13</v>
      </c>
    </row>
    <row r="396" spans="2:5" x14ac:dyDescent="0.3">
      <c r="B396" t="s">
        <v>755</v>
      </c>
      <c r="C396" t="s">
        <v>762</v>
      </c>
      <c r="E396">
        <f>LEN(Tabla2[[#This Row],[Centros]])</f>
        <v>10</v>
      </c>
    </row>
    <row r="397" spans="2:5" x14ac:dyDescent="0.3">
      <c r="B397" t="s">
        <v>582</v>
      </c>
      <c r="C397" t="s">
        <v>595</v>
      </c>
      <c r="E397">
        <f>LEN(Tabla2[[#This Row],[Centros]])</f>
        <v>40</v>
      </c>
    </row>
    <row r="398" spans="2:5" x14ac:dyDescent="0.3">
      <c r="B398" t="s">
        <v>547</v>
      </c>
      <c r="C398" t="s">
        <v>552</v>
      </c>
      <c r="E398">
        <f>LEN(Tabla2[[#This Row],[Centros]])</f>
        <v>68</v>
      </c>
    </row>
    <row r="399" spans="2:5" x14ac:dyDescent="0.3">
      <c r="B399" t="s">
        <v>755</v>
      </c>
      <c r="C399" t="s">
        <v>763</v>
      </c>
      <c r="E399">
        <f>LEN(Tabla2[[#This Row],[Centros]])</f>
        <v>9</v>
      </c>
    </row>
    <row r="400" spans="2:5" x14ac:dyDescent="0.3">
      <c r="B400" t="s">
        <v>785</v>
      </c>
      <c r="C400" t="s">
        <v>897</v>
      </c>
      <c r="E400">
        <f>LEN(Tabla2[[#This Row],[Centros]])</f>
        <v>9</v>
      </c>
    </row>
    <row r="401" spans="2:5" x14ac:dyDescent="0.3">
      <c r="B401" t="s">
        <v>802</v>
      </c>
      <c r="C401" t="s">
        <v>820</v>
      </c>
      <c r="E401">
        <f>LEN(Tabla2[[#This Row],[Centros]])</f>
        <v>37</v>
      </c>
    </row>
    <row r="402" spans="2:5" x14ac:dyDescent="0.3">
      <c r="B402" t="s">
        <v>755</v>
      </c>
      <c r="C402" t="s">
        <v>768</v>
      </c>
      <c r="E402">
        <f>LEN(Tabla2[[#This Row],[Centros]])</f>
        <v>7</v>
      </c>
    </row>
    <row r="403" spans="2:5" x14ac:dyDescent="0.3">
      <c r="B403" t="s">
        <v>755</v>
      </c>
      <c r="C403" t="s">
        <v>764</v>
      </c>
      <c r="E403">
        <f>LEN(Tabla2[[#This Row],[Centros]])</f>
        <v>15</v>
      </c>
    </row>
    <row r="404" spans="2:5" x14ac:dyDescent="0.3">
      <c r="B404" t="s">
        <v>755</v>
      </c>
      <c r="C404" t="s">
        <v>765</v>
      </c>
      <c r="E404">
        <f>LEN(Tabla2[[#This Row],[Centros]])</f>
        <v>15</v>
      </c>
    </row>
    <row r="405" spans="2:5" x14ac:dyDescent="0.3">
      <c r="B405" t="s">
        <v>785</v>
      </c>
      <c r="C405" t="s">
        <v>880</v>
      </c>
      <c r="E405">
        <f>LEN(Tabla2[[#This Row],[Centros]])</f>
        <v>12</v>
      </c>
    </row>
    <row r="406" spans="2:5" x14ac:dyDescent="0.3">
      <c r="B406" t="s">
        <v>582</v>
      </c>
      <c r="C406" t="s">
        <v>586</v>
      </c>
      <c r="E406">
        <f>LEN(Tabla2[[#This Row],[Centros]])</f>
        <v>36</v>
      </c>
    </row>
    <row r="407" spans="2:5" x14ac:dyDescent="0.3">
      <c r="B407" t="s">
        <v>755</v>
      </c>
      <c r="C407" t="s">
        <v>766</v>
      </c>
      <c r="E407">
        <f>LEN(Tabla2[[#This Row],[Centros]])</f>
        <v>14</v>
      </c>
    </row>
    <row r="408" spans="2:5" x14ac:dyDescent="0.3">
      <c r="B408" t="s">
        <v>647</v>
      </c>
      <c r="C408" t="s">
        <v>653</v>
      </c>
      <c r="E408">
        <f>LEN(Tabla2[[#This Row],[Centros]])</f>
        <v>24</v>
      </c>
    </row>
    <row r="409" spans="2:5" x14ac:dyDescent="0.3">
      <c r="B409" t="s">
        <v>547</v>
      </c>
      <c r="C409" t="s">
        <v>548</v>
      </c>
      <c r="E409">
        <f>LEN(Tabla2[[#This Row],[Centros]])</f>
        <v>43</v>
      </c>
    </row>
    <row r="410" spans="2:5" x14ac:dyDescent="0.3">
      <c r="B410" t="s">
        <v>582</v>
      </c>
      <c r="C410" t="s">
        <v>583</v>
      </c>
      <c r="E410">
        <f>LEN(Tabla2[[#This Row],[Centros]])</f>
        <v>35</v>
      </c>
    </row>
    <row r="411" spans="2:5" x14ac:dyDescent="0.3">
      <c r="B411" t="s">
        <v>582</v>
      </c>
      <c r="C411" t="s">
        <v>584</v>
      </c>
      <c r="E411">
        <f>LEN(Tabla2[[#This Row],[Centros]])</f>
        <v>37</v>
      </c>
    </row>
    <row r="412" spans="2:5" x14ac:dyDescent="0.3">
      <c r="B412" t="s">
        <v>582</v>
      </c>
      <c r="C412" t="s">
        <v>585</v>
      </c>
      <c r="E412">
        <f>LEN(Tabla2[[#This Row],[Centros]])</f>
        <v>33</v>
      </c>
    </row>
    <row r="413" spans="2:5" x14ac:dyDescent="0.3">
      <c r="B413" t="s">
        <v>647</v>
      </c>
      <c r="C413" t="s">
        <v>652</v>
      </c>
      <c r="E413">
        <f>LEN(Tabla2[[#This Row],[Centros]])</f>
        <v>26</v>
      </c>
    </row>
    <row r="414" spans="2:5" x14ac:dyDescent="0.3">
      <c r="B414" t="s">
        <v>749</v>
      </c>
      <c r="C414" t="s">
        <v>888</v>
      </c>
      <c r="E414">
        <f>LEN(Tabla2[[#This Row],[Centros]])</f>
        <v>16</v>
      </c>
    </row>
    <row r="415" spans="2:5" x14ac:dyDescent="0.3">
      <c r="B415" t="s">
        <v>785</v>
      </c>
      <c r="C415" t="s">
        <v>900</v>
      </c>
      <c r="E415">
        <f>LEN(Tabla2[[#This Row],[Centros]])</f>
        <v>7</v>
      </c>
    </row>
    <row r="416" spans="2:5" x14ac:dyDescent="0.3">
      <c r="B416" t="s">
        <v>755</v>
      </c>
      <c r="C416" t="s">
        <v>767</v>
      </c>
      <c r="E416">
        <f>LEN(Tabla2[[#This Row],[Centros]])</f>
        <v>21</v>
      </c>
    </row>
    <row r="417" spans="2:5" x14ac:dyDescent="0.3">
      <c r="B417" t="s">
        <v>501</v>
      </c>
      <c r="C417" t="s">
        <v>24</v>
      </c>
      <c r="E417">
        <f>LEN(Tabla2[[#This Row],[Centros]])</f>
        <v>5</v>
      </c>
    </row>
    <row r="418" spans="2:5" x14ac:dyDescent="0.3">
      <c r="B418" t="s">
        <v>534</v>
      </c>
      <c r="C418" t="s">
        <v>927</v>
      </c>
      <c r="E418">
        <f>LEN(Tabla2[[#This Row],[Centros]])</f>
        <v>39</v>
      </c>
    </row>
    <row r="419" spans="2:5" x14ac:dyDescent="0.3">
      <c r="B419" t="s">
        <v>685</v>
      </c>
      <c r="C419" t="s">
        <v>697</v>
      </c>
      <c r="E419">
        <f>LEN(Tabla2[[#This Row],[Centros]])</f>
        <v>56</v>
      </c>
    </row>
    <row r="420" spans="2:5" x14ac:dyDescent="0.3">
      <c r="B420" t="s">
        <v>785</v>
      </c>
      <c r="C420" t="s">
        <v>905</v>
      </c>
      <c r="E420">
        <f>LEN(Tabla2[[#This Row],[Centros]])</f>
        <v>8</v>
      </c>
    </row>
    <row r="421" spans="2:5" x14ac:dyDescent="0.3">
      <c r="B421" t="s">
        <v>501</v>
      </c>
      <c r="E421">
        <f>LEN(Tabla2[[#This Row],[Centros]])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48F5-3A8E-4528-A6CF-8CE57B5D0BAA}">
  <dimension ref="A1:P33"/>
  <sheetViews>
    <sheetView topLeftCell="F1" workbookViewId="0">
      <selection activeCell="P2" sqref="P2"/>
    </sheetView>
  </sheetViews>
  <sheetFormatPr baseColWidth="10" defaultRowHeight="14.4" x14ac:dyDescent="0.3"/>
  <cols>
    <col min="1" max="1" width="10.109375" customWidth="1"/>
    <col min="3" max="3" width="17.6640625" customWidth="1"/>
    <col min="5" max="5" width="30.88671875" customWidth="1"/>
    <col min="6" max="6" width="16.44140625" customWidth="1"/>
    <col min="9" max="9" width="12" customWidth="1"/>
    <col min="16" max="16" width="136" customWidth="1"/>
  </cols>
  <sheetData>
    <row r="1" spans="1:16" ht="27.75" customHeight="1" x14ac:dyDescent="0.3">
      <c r="A1" s="5" t="s">
        <v>1019</v>
      </c>
      <c r="B1" s="6" t="s">
        <v>1020</v>
      </c>
      <c r="C1" s="6" t="s">
        <v>1021</v>
      </c>
      <c r="D1" s="6" t="s">
        <v>1022</v>
      </c>
      <c r="E1" s="6" t="s">
        <v>1023</v>
      </c>
      <c r="F1" s="6" t="s">
        <v>1044</v>
      </c>
      <c r="G1" s="6" t="s">
        <v>24</v>
      </c>
      <c r="H1" s="6" t="s">
        <v>1024</v>
      </c>
      <c r="I1" s="6" t="s">
        <v>1025</v>
      </c>
      <c r="J1" s="6" t="s">
        <v>1026</v>
      </c>
      <c r="K1" s="6" t="s">
        <v>1031</v>
      </c>
      <c r="L1" s="6" t="s">
        <v>1036</v>
      </c>
      <c r="M1" s="6" t="s">
        <v>1030</v>
      </c>
      <c r="N1" s="6" t="s">
        <v>1029</v>
      </c>
      <c r="O1" s="6" t="s">
        <v>1037</v>
      </c>
      <c r="P1" s="7" t="s">
        <v>1027</v>
      </c>
    </row>
    <row r="2" spans="1:16" ht="24.9" customHeight="1" x14ac:dyDescent="0.3">
      <c r="A2" s="8">
        <v>2013</v>
      </c>
      <c r="B2" s="3" t="s">
        <v>325</v>
      </c>
      <c r="C2" s="3" t="s">
        <v>14</v>
      </c>
      <c r="D2" s="3" t="s">
        <v>1042</v>
      </c>
      <c r="E2" s="3" t="s">
        <v>518</v>
      </c>
      <c r="F2" s="4"/>
      <c r="G2" s="4"/>
      <c r="H2" s="18">
        <v>0</v>
      </c>
      <c r="I2" s="4"/>
      <c r="J2" s="4"/>
      <c r="K2" s="9">
        <f>VLOOKUP(Tabla4[[#This Row],[Año]],Tabla6[[#All],[name]:[id_2]],2)</f>
        <v>14</v>
      </c>
      <c r="L2" s="9">
        <f>VLOOKUP(Tabla4[[#This Row],[Agrupación social]],Tabla5[[#All],[name]:[id_1]],2,FALSE)</f>
        <v>1</v>
      </c>
      <c r="M2" s="9">
        <f>VLOOKUP(Tabla4[[#This Row],[Sexo]],Tabla8[[#All],[name]:[gender_id]],2,FALSE)</f>
        <v>1</v>
      </c>
      <c r="N2" s="9">
        <f>VLOOKUP(Tabla4[[#This Row],[Entidad]],Tabla3[[#All],[name]:[ID_2]],2,FALSE)</f>
        <v>1</v>
      </c>
      <c r="O2" s="9" t="str">
        <f>IF(LEN(Tabla4[[#This Row],[centros]])&gt;0,VLOOKUP(Tabla4[[#This Row],[centros]],Tabla2[[#All],[Centros]:[ID]],2,FALSE),"")</f>
        <v/>
      </c>
      <c r="P2" s="10" t="str">
        <f>"INSERT INTO indicator_category_details (indicator_category_id, year_id, gender_id, center_id, quantity, status) VALUES ("
&amp;L2&amp;", "&amp;K2&amp;", "&amp;M2&amp;", "&amp;O2&amp;", "&amp;H2&amp;", 1);"</f>
        <v>INSERT INTO indicator_category_details (indicator_category_id, year_id, gender_id, center_id, quantity, status) VALUES (1, 14, 1, , 0, 1);</v>
      </c>
    </row>
    <row r="3" spans="1:16" ht="24.9" customHeight="1" x14ac:dyDescent="0.3">
      <c r="A3" s="8">
        <v>2013</v>
      </c>
      <c r="B3" s="3" t="s">
        <v>325</v>
      </c>
      <c r="C3" s="3" t="s">
        <v>14</v>
      </c>
      <c r="D3" s="3" t="s">
        <v>1042</v>
      </c>
      <c r="E3" s="3" t="s">
        <v>519</v>
      </c>
      <c r="F3" s="4"/>
      <c r="G3" s="4"/>
      <c r="H3" s="18">
        <v>0</v>
      </c>
      <c r="I3" s="4"/>
      <c r="J3" s="4"/>
      <c r="K3" s="9">
        <f>VLOOKUP(Tabla4[[#This Row],[Año]],Tabla6[[#All],[name]:[id_2]],2)</f>
        <v>14</v>
      </c>
      <c r="L3" s="9">
        <f>VLOOKUP(Tabla4[[#This Row],[Agrupación social]],Tabla5[[#All],[name]:[id_1]],2,FALSE)</f>
        <v>1</v>
      </c>
      <c r="M3" s="9">
        <f>VLOOKUP(Tabla4[[#This Row],[Sexo]],Tabla8[[#All],[name]:[gender_id]],2,FALSE)</f>
        <v>1</v>
      </c>
      <c r="N3" s="9">
        <f>VLOOKUP(Tabla4[[#This Row],[Entidad]],Tabla3[[#All],[name]:[ID_2]],2,FALSE)</f>
        <v>2</v>
      </c>
      <c r="O3" s="9" t="str">
        <f>IF(LEN(Tabla4[[#This Row],[centros]])&gt;0,VLOOKUP(Tabla4[[#This Row],[centros]],Tabla2[[#All],[Centros]:[ID]],2,FALSE),"")</f>
        <v/>
      </c>
      <c r="P3" s="10" t="str">
        <f t="shared" ref="P3:P20" si="0">"INSERT INTO indicator_category_details (indicator_category_id, year_id, gender_id, center_id, quantity, status) VALUES ("
&amp;L3&amp;", "&amp;K3&amp;", "&amp;M3&amp;", "&amp;O3&amp;", "&amp;H3&amp;", 1);"</f>
        <v>INSERT INTO indicator_category_details (indicator_category_id, year_id, gender_id, center_id, quantity, status) VALUES (1, 14, 1, , 0, 1);</v>
      </c>
    </row>
    <row r="4" spans="1:16" ht="24.9" customHeight="1" x14ac:dyDescent="0.3">
      <c r="A4" s="8">
        <v>2013</v>
      </c>
      <c r="B4" s="3" t="s">
        <v>325</v>
      </c>
      <c r="C4" s="3" t="s">
        <v>14</v>
      </c>
      <c r="D4" s="3" t="s">
        <v>1042</v>
      </c>
      <c r="E4" s="3" t="s">
        <v>528</v>
      </c>
      <c r="F4" s="4"/>
      <c r="G4" s="4"/>
      <c r="H4" s="18">
        <v>0</v>
      </c>
      <c r="I4" s="4"/>
      <c r="J4" s="4"/>
      <c r="K4" s="9">
        <f>VLOOKUP(Tabla4[[#This Row],[Año]],Tabla6[[#All],[name]:[id_2]],2)</f>
        <v>14</v>
      </c>
      <c r="L4" s="9">
        <f>VLOOKUP(Tabla4[[#This Row],[Agrupación social]],Tabla5[[#All],[name]:[id_1]],2,FALSE)</f>
        <v>1</v>
      </c>
      <c r="M4" s="9">
        <f>VLOOKUP(Tabla4[[#This Row],[Sexo]],Tabla8[[#All],[name]:[gender_id]],2,FALSE)</f>
        <v>1</v>
      </c>
      <c r="N4" s="9">
        <f>VLOOKUP(Tabla4[[#This Row],[Entidad]],Tabla3[[#All],[name]:[ID_2]],2,FALSE)</f>
        <v>3</v>
      </c>
      <c r="O4" s="9" t="str">
        <f>IF(LEN(Tabla4[[#This Row],[centros]])&gt;0,VLOOKUP(Tabla4[[#This Row],[centros]],Tabla2[[#All],[Centros]:[ID]],2,FALSE),"")</f>
        <v/>
      </c>
      <c r="P4" s="10" t="str">
        <f t="shared" si="0"/>
        <v>INSERT INTO indicator_category_details (indicator_category_id, year_id, gender_id, center_id, quantity, status) VALUES (1, 14, 1, , 0, 1);</v>
      </c>
    </row>
    <row r="5" spans="1:16" ht="24.9" customHeight="1" x14ac:dyDescent="0.3">
      <c r="A5" s="8">
        <v>2013</v>
      </c>
      <c r="B5" s="3" t="s">
        <v>325</v>
      </c>
      <c r="C5" s="3" t="s">
        <v>14</v>
      </c>
      <c r="D5" s="3" t="s">
        <v>1042</v>
      </c>
      <c r="E5" s="3" t="s">
        <v>534</v>
      </c>
      <c r="F5" s="4"/>
      <c r="G5" s="4"/>
      <c r="H5" s="18">
        <v>0</v>
      </c>
      <c r="I5" s="4"/>
      <c r="J5" s="4"/>
      <c r="K5" s="9">
        <f>VLOOKUP(Tabla4[[#This Row],[Año]],Tabla6[[#All],[name]:[id_2]],2)</f>
        <v>14</v>
      </c>
      <c r="L5" s="9">
        <f>VLOOKUP(Tabla4[[#This Row],[Agrupación social]],Tabla5[[#All],[name]:[id_1]],2,FALSE)</f>
        <v>1</v>
      </c>
      <c r="M5" s="9">
        <f>VLOOKUP(Tabla4[[#This Row],[Sexo]],Tabla8[[#All],[name]:[gender_id]],2,FALSE)</f>
        <v>1</v>
      </c>
      <c r="N5" s="9">
        <f>VLOOKUP(Tabla4[[#This Row],[Entidad]],Tabla3[[#All],[name]:[ID_2]],2,FALSE)</f>
        <v>4</v>
      </c>
      <c r="O5" s="9" t="str">
        <f>IF(LEN(Tabla4[[#This Row],[centros]])&gt;0,VLOOKUP(Tabla4[[#This Row],[centros]],Tabla2[[#All],[Centros]:[ID]],2,FALSE),"")</f>
        <v/>
      </c>
      <c r="P5" s="10" t="str">
        <f t="shared" si="0"/>
        <v>INSERT INTO indicator_category_details (indicator_category_id, year_id, gender_id, center_id, quantity, status) VALUES (1, 14, 1, , 0, 1);</v>
      </c>
    </row>
    <row r="6" spans="1:16" ht="24.9" customHeight="1" x14ac:dyDescent="0.3">
      <c r="A6" s="8">
        <v>2013</v>
      </c>
      <c r="B6" s="3" t="s">
        <v>325</v>
      </c>
      <c r="C6" s="3" t="s">
        <v>14</v>
      </c>
      <c r="D6" s="3" t="s">
        <v>1042</v>
      </c>
      <c r="E6" s="3" t="s">
        <v>538</v>
      </c>
      <c r="F6" s="4"/>
      <c r="G6" s="4"/>
      <c r="H6" s="18">
        <v>0</v>
      </c>
      <c r="I6" s="4"/>
      <c r="J6" s="4"/>
      <c r="K6" s="9">
        <f>VLOOKUP(Tabla4[[#This Row],[Año]],Tabla6[[#All],[name]:[id_2]],2)</f>
        <v>14</v>
      </c>
      <c r="L6" s="9">
        <f>VLOOKUP(Tabla4[[#This Row],[Agrupación social]],Tabla5[[#All],[name]:[id_1]],2,FALSE)</f>
        <v>1</v>
      </c>
      <c r="M6" s="9">
        <f>VLOOKUP(Tabla4[[#This Row],[Sexo]],Tabla8[[#All],[name]:[gender_id]],2,FALSE)</f>
        <v>1</v>
      </c>
      <c r="N6" s="9">
        <f>VLOOKUP(Tabla4[[#This Row],[Entidad]],Tabla3[[#All],[name]:[ID_2]],2,FALSE)</f>
        <v>8</v>
      </c>
      <c r="O6" s="9" t="str">
        <f>IF(LEN(Tabla4[[#This Row],[centros]])&gt;0,VLOOKUP(Tabla4[[#This Row],[centros]],Tabla2[[#All],[Centros]:[ID]],2,FALSE),"")</f>
        <v/>
      </c>
      <c r="P6" s="10" t="str">
        <f t="shared" si="0"/>
        <v>INSERT INTO indicator_category_details (indicator_category_id, year_id, gender_id, center_id, quantity, status) VALUES (1, 14, 1, , 0, 1);</v>
      </c>
    </row>
    <row r="7" spans="1:16" ht="24.9" customHeight="1" x14ac:dyDescent="0.3">
      <c r="A7" s="8">
        <v>2013</v>
      </c>
      <c r="B7" s="3" t="s">
        <v>325</v>
      </c>
      <c r="C7" s="3" t="s">
        <v>14</v>
      </c>
      <c r="D7" s="3" t="s">
        <v>1042</v>
      </c>
      <c r="E7" s="3" t="s">
        <v>547</v>
      </c>
      <c r="F7" s="4"/>
      <c r="G7" s="4"/>
      <c r="H7" s="18">
        <v>0</v>
      </c>
      <c r="I7" s="4"/>
      <c r="J7" s="4"/>
      <c r="K7" s="9">
        <f>VLOOKUP(Tabla4[[#This Row],[Año]],Tabla6[[#All],[name]:[id_2]],2)</f>
        <v>14</v>
      </c>
      <c r="L7" s="9">
        <f>VLOOKUP(Tabla4[[#This Row],[Agrupación social]],Tabla5[[#All],[name]:[id_1]],2,FALSE)</f>
        <v>1</v>
      </c>
      <c r="M7" s="9">
        <f>VLOOKUP(Tabla4[[#This Row],[Sexo]],Tabla8[[#All],[name]:[gender_id]],2,FALSE)</f>
        <v>1</v>
      </c>
      <c r="N7" s="9">
        <f>VLOOKUP(Tabla4[[#This Row],[Entidad]],Tabla3[[#All],[name]:[ID_2]],2,FALSE)</f>
        <v>9</v>
      </c>
      <c r="O7" s="9" t="str">
        <f>IF(LEN(Tabla4[[#This Row],[centros]])&gt;0,VLOOKUP(Tabla4[[#This Row],[centros]],Tabla2[[#All],[Centros]:[ID]],2,FALSE),"")</f>
        <v/>
      </c>
      <c r="P7" s="10" t="str">
        <f t="shared" si="0"/>
        <v>INSERT INTO indicator_category_details (indicator_category_id, year_id, gender_id, center_id, quantity, status) VALUES (1, 14, 1, , 0, 1);</v>
      </c>
    </row>
    <row r="8" spans="1:16" ht="24.9" customHeight="1" x14ac:dyDescent="0.3">
      <c r="A8" s="8">
        <v>2013</v>
      </c>
      <c r="B8" s="3" t="s">
        <v>325</v>
      </c>
      <c r="C8" s="3" t="s">
        <v>14</v>
      </c>
      <c r="D8" s="3" t="s">
        <v>1042</v>
      </c>
      <c r="E8" s="3" t="s">
        <v>553</v>
      </c>
      <c r="F8" s="4"/>
      <c r="G8" s="4"/>
      <c r="H8" s="18">
        <v>0</v>
      </c>
      <c r="I8" s="4"/>
      <c r="J8" s="4"/>
      <c r="K8" s="9">
        <f>VLOOKUP(Tabla4[[#This Row],[Año]],Tabla6[[#All],[name]:[id_2]],2)</f>
        <v>14</v>
      </c>
      <c r="L8" s="9">
        <f>VLOOKUP(Tabla4[[#This Row],[Agrupación social]],Tabla5[[#All],[name]:[id_1]],2,FALSE)</f>
        <v>1</v>
      </c>
      <c r="M8" s="9">
        <f>VLOOKUP(Tabla4[[#This Row],[Sexo]],Tabla8[[#All],[name]:[gender_id]],2,FALSE)</f>
        <v>1</v>
      </c>
      <c r="N8" s="9">
        <f>VLOOKUP(Tabla4[[#This Row],[Entidad]],Tabla3[[#All],[name]:[ID_2]],2,FALSE)</f>
        <v>5</v>
      </c>
      <c r="O8" s="9" t="str">
        <f>IF(LEN(Tabla4[[#This Row],[centros]])&gt;0,VLOOKUP(Tabla4[[#This Row],[centros]],Tabla2[[#All],[Centros]:[ID]],2,FALSE),"")</f>
        <v/>
      </c>
      <c r="P8" s="10" t="str">
        <f t="shared" si="0"/>
        <v>INSERT INTO indicator_category_details (indicator_category_id, year_id, gender_id, center_id, quantity, status) VALUES (1, 14, 1, , 0, 1);</v>
      </c>
    </row>
    <row r="9" spans="1:16" ht="24.9" customHeight="1" x14ac:dyDescent="0.3">
      <c r="A9" s="8">
        <v>2013</v>
      </c>
      <c r="B9" s="3" t="s">
        <v>325</v>
      </c>
      <c r="C9" s="3" t="s">
        <v>14</v>
      </c>
      <c r="D9" s="3" t="s">
        <v>1042</v>
      </c>
      <c r="E9" s="3" t="s">
        <v>570</v>
      </c>
      <c r="F9" s="4"/>
      <c r="G9" s="4"/>
      <c r="H9" s="18">
        <v>0</v>
      </c>
      <c r="I9" s="4"/>
      <c r="J9" s="4"/>
      <c r="K9" s="9">
        <f>VLOOKUP(Tabla4[[#This Row],[Año]],Tabla6[[#All],[name]:[id_2]],2)</f>
        <v>14</v>
      </c>
      <c r="L9" s="9">
        <f>VLOOKUP(Tabla4[[#This Row],[Agrupación social]],Tabla5[[#All],[name]:[id_1]],2,FALSE)</f>
        <v>1</v>
      </c>
      <c r="M9" s="9">
        <f>VLOOKUP(Tabla4[[#This Row],[Sexo]],Tabla8[[#All],[name]:[gender_id]],2,FALSE)</f>
        <v>1</v>
      </c>
      <c r="N9" s="9">
        <f>VLOOKUP(Tabla4[[#This Row],[Entidad]],Tabla3[[#All],[name]:[ID_2]],2,FALSE)</f>
        <v>6</v>
      </c>
      <c r="O9" s="9" t="str">
        <f>IF(LEN(Tabla4[[#This Row],[centros]])&gt;0,VLOOKUP(Tabla4[[#This Row],[centros]],Tabla2[[#All],[Centros]:[ID]],2,FALSE),"")</f>
        <v/>
      </c>
      <c r="P9" s="10" t="str">
        <f t="shared" si="0"/>
        <v>INSERT INTO indicator_category_details (indicator_category_id, year_id, gender_id, center_id, quantity, status) VALUES (1, 14, 1, , 0, 1);</v>
      </c>
    </row>
    <row r="10" spans="1:16" ht="24.9" customHeight="1" x14ac:dyDescent="0.3">
      <c r="A10" s="8">
        <v>2013</v>
      </c>
      <c r="B10" s="3" t="s">
        <v>325</v>
      </c>
      <c r="C10" s="3" t="s">
        <v>14</v>
      </c>
      <c r="D10" s="3" t="s">
        <v>1042</v>
      </c>
      <c r="E10" s="3" t="s">
        <v>582</v>
      </c>
      <c r="F10" s="4"/>
      <c r="G10" s="4"/>
      <c r="H10" s="18">
        <v>0</v>
      </c>
      <c r="I10" s="4"/>
      <c r="J10" s="4"/>
      <c r="K10" s="9">
        <f>VLOOKUP(Tabla4[[#This Row],[Año]],Tabla6[[#All],[name]:[id_2]],2)</f>
        <v>14</v>
      </c>
      <c r="L10" s="9">
        <f>VLOOKUP(Tabla4[[#This Row],[Agrupación social]],Tabla5[[#All],[name]:[id_1]],2,FALSE)</f>
        <v>1</v>
      </c>
      <c r="M10" s="9">
        <f>VLOOKUP(Tabla4[[#This Row],[Sexo]],Tabla8[[#All],[name]:[gender_id]],2,FALSE)</f>
        <v>1</v>
      </c>
      <c r="N10" s="9">
        <f>VLOOKUP(Tabla4[[#This Row],[Entidad]],Tabla3[[#All],[name]:[ID_2]],2,FALSE)</f>
        <v>7</v>
      </c>
      <c r="O10" s="9" t="str">
        <f>IF(LEN(Tabla4[[#This Row],[centros]])&gt;0,VLOOKUP(Tabla4[[#This Row],[centros]],Tabla2[[#All],[Centros]:[ID]],2,FALSE),"")</f>
        <v/>
      </c>
      <c r="P10" s="10" t="str">
        <f t="shared" si="0"/>
        <v>INSERT INTO indicator_category_details (indicator_category_id, year_id, gender_id, center_id, quantity, status) VALUES (1, 14, 1, , 0, 1);</v>
      </c>
    </row>
    <row r="11" spans="1:16" ht="24.9" customHeight="1" x14ac:dyDescent="0.3">
      <c r="A11" s="8">
        <v>2013</v>
      </c>
      <c r="B11" s="3" t="s">
        <v>325</v>
      </c>
      <c r="C11" s="3" t="s">
        <v>14</v>
      </c>
      <c r="D11" s="3" t="s">
        <v>1042</v>
      </c>
      <c r="E11" s="3" t="s">
        <v>600</v>
      </c>
      <c r="F11" s="4"/>
      <c r="G11" s="4"/>
      <c r="H11" s="18">
        <v>0</v>
      </c>
      <c r="I11" s="4"/>
      <c r="J11" s="4"/>
      <c r="K11" s="9">
        <f>VLOOKUP(Tabla4[[#This Row],[Año]],Tabla6[[#All],[name]:[id_2]],2)</f>
        <v>14</v>
      </c>
      <c r="L11" s="9">
        <f>VLOOKUP(Tabla4[[#This Row],[Agrupación social]],Tabla5[[#All],[name]:[id_1]],2,FALSE)</f>
        <v>1</v>
      </c>
      <c r="M11" s="9">
        <f>VLOOKUP(Tabla4[[#This Row],[Sexo]],Tabla8[[#All],[name]:[gender_id]],2,FALSE)</f>
        <v>1</v>
      </c>
      <c r="N11" s="9">
        <f>VLOOKUP(Tabla4[[#This Row],[Entidad]],Tabla3[[#All],[name]:[ID_2]],2,FALSE)</f>
        <v>10</v>
      </c>
      <c r="O11" s="9" t="str">
        <f>IF(LEN(Tabla4[[#This Row],[centros]])&gt;0,VLOOKUP(Tabla4[[#This Row],[centros]],Tabla2[[#All],[Centros]:[ID]],2,FALSE),"")</f>
        <v/>
      </c>
      <c r="P11" s="10" t="str">
        <f t="shared" si="0"/>
        <v>INSERT INTO indicator_category_details (indicator_category_id, year_id, gender_id, center_id, quantity, status) VALUES (1, 14, 1, , 0, 1);</v>
      </c>
    </row>
    <row r="12" spans="1:16" ht="24.9" customHeight="1" x14ac:dyDescent="0.3">
      <c r="A12" s="8">
        <v>2013</v>
      </c>
      <c r="B12" s="3" t="s">
        <v>325</v>
      </c>
      <c r="C12" s="3" t="s">
        <v>14</v>
      </c>
      <c r="D12" s="3" t="s">
        <v>1042</v>
      </c>
      <c r="E12" s="3" t="s">
        <v>606</v>
      </c>
      <c r="F12" s="4"/>
      <c r="G12" s="4"/>
      <c r="H12" s="18">
        <v>0</v>
      </c>
      <c r="I12" s="4"/>
      <c r="J12" s="4"/>
      <c r="K12" s="9">
        <f>VLOOKUP(Tabla4[[#This Row],[Año]],Tabla6[[#All],[name]:[id_2]],2)</f>
        <v>14</v>
      </c>
      <c r="L12" s="9">
        <f>VLOOKUP(Tabla4[[#This Row],[Agrupación social]],Tabla5[[#All],[name]:[id_1]],2,FALSE)</f>
        <v>1</v>
      </c>
      <c r="M12" s="9">
        <f>VLOOKUP(Tabla4[[#This Row],[Sexo]],Tabla8[[#All],[name]:[gender_id]],2,FALSE)</f>
        <v>1</v>
      </c>
      <c r="N12" s="9">
        <f>VLOOKUP(Tabla4[[#This Row],[Entidad]],Tabla3[[#All],[name]:[ID_2]],2,FALSE)</f>
        <v>11</v>
      </c>
      <c r="O12" s="9" t="str">
        <f>IF(LEN(Tabla4[[#This Row],[centros]])&gt;0,VLOOKUP(Tabla4[[#This Row],[centros]],Tabla2[[#All],[Centros]:[ID]],2,FALSE),"")</f>
        <v/>
      </c>
      <c r="P12" s="10" t="str">
        <f t="shared" si="0"/>
        <v>INSERT INTO indicator_category_details (indicator_category_id, year_id, gender_id, center_id, quantity, status) VALUES (1, 14, 1, , 0, 1);</v>
      </c>
    </row>
    <row r="13" spans="1:16" ht="24.9" customHeight="1" x14ac:dyDescent="0.3">
      <c r="A13" s="8">
        <v>2013</v>
      </c>
      <c r="B13" s="3" t="s">
        <v>325</v>
      </c>
      <c r="C13" s="3" t="s">
        <v>14</v>
      </c>
      <c r="D13" s="3" t="s">
        <v>1042</v>
      </c>
      <c r="E13" s="3" t="s">
        <v>619</v>
      </c>
      <c r="F13" s="4"/>
      <c r="G13" s="4"/>
      <c r="H13" s="18">
        <v>0</v>
      </c>
      <c r="I13" s="4"/>
      <c r="J13" s="4"/>
      <c r="K13" s="9">
        <f>VLOOKUP(Tabla4[[#This Row],[Año]],Tabla6[[#All],[name]:[id_2]],2)</f>
        <v>14</v>
      </c>
      <c r="L13" s="9">
        <f>VLOOKUP(Tabla4[[#This Row],[Agrupación social]],Tabla5[[#All],[name]:[id_1]],2,FALSE)</f>
        <v>1</v>
      </c>
      <c r="M13" s="9">
        <f>VLOOKUP(Tabla4[[#This Row],[Sexo]],Tabla8[[#All],[name]:[gender_id]],2,FALSE)</f>
        <v>1</v>
      </c>
      <c r="N13" s="9">
        <f>VLOOKUP(Tabla4[[#This Row],[Entidad]],Tabla3[[#All],[name]:[ID_2]],2,FALSE)</f>
        <v>12</v>
      </c>
      <c r="O13" s="9" t="str">
        <f>IF(LEN(Tabla4[[#This Row],[centros]])&gt;0,VLOOKUP(Tabla4[[#This Row],[centros]],Tabla2[[#All],[Centros]:[ID]],2,FALSE),"")</f>
        <v/>
      </c>
      <c r="P13" s="10" t="str">
        <f t="shared" si="0"/>
        <v>INSERT INTO indicator_category_details (indicator_category_id, year_id, gender_id, center_id, quantity, status) VALUES (1, 14, 1, , 0, 1);</v>
      </c>
    </row>
    <row r="14" spans="1:16" ht="24.9" customHeight="1" x14ac:dyDescent="0.3">
      <c r="A14" s="8">
        <v>2013</v>
      </c>
      <c r="B14" s="3" t="s">
        <v>325</v>
      </c>
      <c r="C14" s="3" t="s">
        <v>14</v>
      </c>
      <c r="D14" s="3" t="s">
        <v>1042</v>
      </c>
      <c r="E14" s="3" t="s">
        <v>633</v>
      </c>
      <c r="F14" s="4"/>
      <c r="G14" s="4"/>
      <c r="H14" s="18">
        <v>0</v>
      </c>
      <c r="I14" s="4"/>
      <c r="J14" s="4"/>
      <c r="K14" s="9">
        <f>VLOOKUP(Tabla4[[#This Row],[Año]],Tabla6[[#All],[name]:[id_2]],2)</f>
        <v>14</v>
      </c>
      <c r="L14" s="9">
        <f>VLOOKUP(Tabla4[[#This Row],[Agrupación social]],Tabla5[[#All],[name]:[id_1]],2,FALSE)</f>
        <v>1</v>
      </c>
      <c r="M14" s="9">
        <f>VLOOKUP(Tabla4[[#This Row],[Sexo]],Tabla8[[#All],[name]:[gender_id]],2,FALSE)</f>
        <v>1</v>
      </c>
      <c r="N14" s="9">
        <f>VLOOKUP(Tabla4[[#This Row],[Entidad]],Tabla3[[#All],[name]:[ID_2]],2,FALSE)</f>
        <v>13</v>
      </c>
      <c r="O14" s="9" t="str">
        <f>IF(LEN(Tabla4[[#This Row],[centros]])&gt;0,VLOOKUP(Tabla4[[#This Row],[centros]],Tabla2[[#All],[Centros]:[ID]],2,FALSE),"")</f>
        <v/>
      </c>
      <c r="P14" s="10" t="str">
        <f t="shared" si="0"/>
        <v>INSERT INTO indicator_category_details (indicator_category_id, year_id, gender_id, center_id, quantity, status) VALUES (1, 14, 1, , 0, 1);</v>
      </c>
    </row>
    <row r="15" spans="1:16" ht="24.9" customHeight="1" x14ac:dyDescent="0.3">
      <c r="A15" s="8">
        <v>2013</v>
      </c>
      <c r="B15" s="3" t="s">
        <v>325</v>
      </c>
      <c r="C15" s="3" t="s">
        <v>14</v>
      </c>
      <c r="D15" s="3" t="s">
        <v>1042</v>
      </c>
      <c r="E15" s="3" t="s">
        <v>647</v>
      </c>
      <c r="F15" s="4"/>
      <c r="G15" s="4"/>
      <c r="H15" s="18">
        <v>0</v>
      </c>
      <c r="I15" s="4"/>
      <c r="J15" s="4"/>
      <c r="K15" s="9">
        <f>VLOOKUP(Tabla4[[#This Row],[Año]],Tabla6[[#All],[name]:[id_2]],2)</f>
        <v>14</v>
      </c>
      <c r="L15" s="9">
        <f>VLOOKUP(Tabla4[[#This Row],[Agrupación social]],Tabla5[[#All],[name]:[id_1]],2,FALSE)</f>
        <v>1</v>
      </c>
      <c r="M15" s="9">
        <f>VLOOKUP(Tabla4[[#This Row],[Sexo]],Tabla8[[#All],[name]:[gender_id]],2,FALSE)</f>
        <v>1</v>
      </c>
      <c r="N15" s="9">
        <f>VLOOKUP(Tabla4[[#This Row],[Entidad]],Tabla3[[#All],[name]:[ID_2]],2,FALSE)</f>
        <v>14</v>
      </c>
      <c r="O15" s="9" t="str">
        <f>IF(LEN(Tabla4[[#This Row],[centros]])&gt;0,VLOOKUP(Tabla4[[#This Row],[centros]],Tabla2[[#All],[Centros]:[ID]],2,FALSE),"")</f>
        <v/>
      </c>
      <c r="P15" s="10" t="str">
        <f t="shared" si="0"/>
        <v>INSERT INTO indicator_category_details (indicator_category_id, year_id, gender_id, center_id, quantity, status) VALUES (1, 14, 1, , 0, 1);</v>
      </c>
    </row>
    <row r="16" spans="1:16" ht="24.9" customHeight="1" x14ac:dyDescent="0.3">
      <c r="A16" s="8">
        <v>2013</v>
      </c>
      <c r="B16" s="3" t="s">
        <v>325</v>
      </c>
      <c r="C16" s="3" t="s">
        <v>14</v>
      </c>
      <c r="D16" s="3" t="s">
        <v>1042</v>
      </c>
      <c r="E16" s="3" t="s">
        <v>662</v>
      </c>
      <c r="F16" s="4"/>
      <c r="G16" s="4"/>
      <c r="H16" s="18">
        <v>0</v>
      </c>
      <c r="I16" s="4"/>
      <c r="J16" s="4"/>
      <c r="K16" s="9">
        <f>VLOOKUP(Tabla4[[#This Row],[Año]],Tabla6[[#All],[name]:[id_2]],2)</f>
        <v>14</v>
      </c>
      <c r="L16" s="9">
        <f>VLOOKUP(Tabla4[[#This Row],[Agrupación social]],Tabla5[[#All],[name]:[id_1]],2,FALSE)</f>
        <v>1</v>
      </c>
      <c r="M16" s="9">
        <f>VLOOKUP(Tabla4[[#This Row],[Sexo]],Tabla8[[#All],[name]:[gender_id]],2,FALSE)</f>
        <v>1</v>
      </c>
      <c r="N16" s="9">
        <f>VLOOKUP(Tabla4[[#This Row],[Entidad]],Tabla3[[#All],[name]:[ID_2]],2,FALSE)</f>
        <v>15</v>
      </c>
      <c r="O16" s="9" t="str">
        <f>IF(LEN(Tabla4[[#This Row],[centros]])&gt;0,VLOOKUP(Tabla4[[#This Row],[centros]],Tabla2[[#All],[Centros]:[ID]],2,FALSE),"")</f>
        <v/>
      </c>
      <c r="P16" s="10" t="str">
        <f t="shared" si="0"/>
        <v>INSERT INTO indicator_category_details (indicator_category_id, year_id, gender_id, center_id, quantity, status) VALUES (1, 14, 1, , 0, 1);</v>
      </c>
    </row>
    <row r="17" spans="1:16" ht="24.9" customHeight="1" x14ac:dyDescent="0.3">
      <c r="A17" s="8">
        <v>2013</v>
      </c>
      <c r="B17" s="3" t="s">
        <v>325</v>
      </c>
      <c r="C17" s="3" t="s">
        <v>14</v>
      </c>
      <c r="D17" s="3" t="s">
        <v>1042</v>
      </c>
      <c r="E17" s="3" t="s">
        <v>685</v>
      </c>
      <c r="F17" s="4"/>
      <c r="G17" s="4"/>
      <c r="H17" s="18">
        <v>0</v>
      </c>
      <c r="I17" s="4"/>
      <c r="J17" s="4"/>
      <c r="K17" s="9">
        <f>VLOOKUP(Tabla4[[#This Row],[Año]],Tabla6[[#All],[name]:[id_2]],2)</f>
        <v>14</v>
      </c>
      <c r="L17" s="9">
        <f>VLOOKUP(Tabla4[[#This Row],[Agrupación social]],Tabla5[[#All],[name]:[id_1]],2,FALSE)</f>
        <v>1</v>
      </c>
      <c r="M17" s="9">
        <f>VLOOKUP(Tabla4[[#This Row],[Sexo]],Tabla8[[#All],[name]:[gender_id]],2,FALSE)</f>
        <v>1</v>
      </c>
      <c r="N17" s="9">
        <f>VLOOKUP(Tabla4[[#This Row],[Entidad]],Tabla3[[#All],[name]:[ID_2]],2,FALSE)</f>
        <v>16</v>
      </c>
      <c r="O17" s="9" t="str">
        <f>IF(LEN(Tabla4[[#This Row],[centros]])&gt;0,VLOOKUP(Tabla4[[#This Row],[centros]],Tabla2[[#All],[Centros]:[ID]],2,FALSE),"")</f>
        <v/>
      </c>
      <c r="P17" s="10" t="str">
        <f t="shared" si="0"/>
        <v>INSERT INTO indicator_category_details (indicator_category_id, year_id, gender_id, center_id, quantity, status) VALUES (1, 14, 1, , 0, 1);</v>
      </c>
    </row>
    <row r="18" spans="1:16" ht="24.9" customHeight="1" x14ac:dyDescent="0.3">
      <c r="A18" s="8">
        <v>2013</v>
      </c>
      <c r="B18" s="3" t="s">
        <v>325</v>
      </c>
      <c r="C18" s="3" t="s">
        <v>14</v>
      </c>
      <c r="D18" s="3" t="s">
        <v>1042</v>
      </c>
      <c r="E18" s="3" t="s">
        <v>698</v>
      </c>
      <c r="F18" s="4"/>
      <c r="G18" s="4"/>
      <c r="H18" s="18">
        <v>0</v>
      </c>
      <c r="I18" s="4"/>
      <c r="J18" s="4"/>
      <c r="K18" s="9">
        <f>VLOOKUP(Tabla4[[#This Row],[Año]],Tabla6[[#All],[name]:[id_2]],2)</f>
        <v>14</v>
      </c>
      <c r="L18" s="9">
        <f>VLOOKUP(Tabla4[[#This Row],[Agrupación social]],Tabla5[[#All],[name]:[id_1]],2,FALSE)</f>
        <v>1</v>
      </c>
      <c r="M18" s="9">
        <f>VLOOKUP(Tabla4[[#This Row],[Sexo]],Tabla8[[#All],[name]:[gender_id]],2,FALSE)</f>
        <v>1</v>
      </c>
      <c r="N18" s="9">
        <f>VLOOKUP(Tabla4[[#This Row],[Entidad]],Tabla3[[#All],[name]:[ID_2]],2,FALSE)</f>
        <v>17</v>
      </c>
      <c r="O18" s="9" t="str">
        <f>IF(LEN(Tabla4[[#This Row],[centros]])&gt;0,VLOOKUP(Tabla4[[#This Row],[centros]],Tabla2[[#All],[Centros]:[ID]],2,FALSE),"")</f>
        <v/>
      </c>
      <c r="P18" s="10" t="str">
        <f t="shared" si="0"/>
        <v>INSERT INTO indicator_category_details (indicator_category_id, year_id, gender_id, center_id, quantity, status) VALUES (1, 14, 1, , 0, 1);</v>
      </c>
    </row>
    <row r="19" spans="1:16" ht="24.9" customHeight="1" x14ac:dyDescent="0.3">
      <c r="A19" s="8">
        <v>2013</v>
      </c>
      <c r="B19" s="3" t="s">
        <v>325</v>
      </c>
      <c r="C19" s="3" t="s">
        <v>14</v>
      </c>
      <c r="D19" s="3" t="s">
        <v>1042</v>
      </c>
      <c r="E19" s="3" t="s">
        <v>705</v>
      </c>
      <c r="F19" s="4"/>
      <c r="G19" s="4"/>
      <c r="H19" s="18">
        <v>0</v>
      </c>
      <c r="I19" s="4"/>
      <c r="J19" s="4"/>
      <c r="K19" s="9">
        <f>VLOOKUP(Tabla4[[#This Row],[Año]],Tabla6[[#All],[name]:[id_2]],2)</f>
        <v>14</v>
      </c>
      <c r="L19" s="9">
        <f>VLOOKUP(Tabla4[[#This Row],[Agrupación social]],Tabla5[[#All],[name]:[id_1]],2,FALSE)</f>
        <v>1</v>
      </c>
      <c r="M19" s="9">
        <f>VLOOKUP(Tabla4[[#This Row],[Sexo]],Tabla8[[#All],[name]:[gender_id]],2,FALSE)</f>
        <v>1</v>
      </c>
      <c r="N19" s="9">
        <f>VLOOKUP(Tabla4[[#This Row],[Entidad]],Tabla3[[#All],[name]:[ID_2]],2,FALSE)</f>
        <v>18</v>
      </c>
      <c r="O19" s="9" t="str">
        <f>IF(LEN(Tabla4[[#This Row],[centros]])&gt;0,VLOOKUP(Tabla4[[#This Row],[centros]],Tabla2[[#All],[Centros]:[ID]],2,FALSE),"")</f>
        <v/>
      </c>
      <c r="P19" s="10" t="str">
        <f t="shared" si="0"/>
        <v>INSERT INTO indicator_category_details (indicator_category_id, year_id, gender_id, center_id, quantity, status) VALUES (1, 14, 1, , 0, 1);</v>
      </c>
    </row>
    <row r="20" spans="1:16" ht="24.9" customHeight="1" x14ac:dyDescent="0.3">
      <c r="A20" s="17">
        <v>2013</v>
      </c>
      <c r="B20" s="11" t="s">
        <v>325</v>
      </c>
      <c r="C20" s="11" t="s">
        <v>14</v>
      </c>
      <c r="D20" s="11" t="s">
        <v>1042</v>
      </c>
      <c r="E20" s="11" t="s">
        <v>710</v>
      </c>
      <c r="F20" s="12"/>
      <c r="G20" s="12"/>
      <c r="H20" s="19">
        <v>0</v>
      </c>
      <c r="I20" s="12"/>
      <c r="J20" s="12"/>
      <c r="K20" s="13">
        <f>VLOOKUP(Tabla4[[#This Row],[Año]],Tabla6[[#All],[name]:[id_2]],2)</f>
        <v>14</v>
      </c>
      <c r="L20" s="13">
        <f>VLOOKUP(Tabla4[[#This Row],[Agrupación social]],Tabla5[[#All],[name]:[id_1]],2,FALSE)</f>
        <v>1</v>
      </c>
      <c r="M20" s="13">
        <f>VLOOKUP(Tabla4[[#This Row],[Sexo]],Tabla8[[#All],[name]:[gender_id]],2,FALSE)</f>
        <v>1</v>
      </c>
      <c r="N20" s="13">
        <f>VLOOKUP(Tabla4[[#This Row],[Entidad]],Tabla3[[#All],[name]:[ID_2]],2,FALSE)</f>
        <v>19</v>
      </c>
      <c r="O20" s="13" t="str">
        <f>IF(LEN(Tabla4[[#This Row],[centros]])&gt;0,VLOOKUP(Tabla4[[#This Row],[centros]],Tabla2[[#All],[Centros]:[ID]],2,FALSE),"")</f>
        <v/>
      </c>
      <c r="P20" s="14" t="str">
        <f t="shared" si="0"/>
        <v>INSERT INTO indicator_category_details (indicator_category_id, year_id, gender_id, center_id, quantity, status) VALUES (1, 14, 1, , 0, 1);</v>
      </c>
    </row>
    <row r="21" spans="1:16" ht="24.9" customHeight="1" x14ac:dyDescent="0.3">
      <c r="A21" s="8">
        <v>2013</v>
      </c>
      <c r="B21" s="3" t="s">
        <v>325</v>
      </c>
      <c r="C21" s="3" t="s">
        <v>14</v>
      </c>
      <c r="D21" s="3" t="s">
        <v>1042</v>
      </c>
      <c r="E21" s="3" t="s">
        <v>716</v>
      </c>
      <c r="F21" s="4"/>
      <c r="G21" s="4"/>
      <c r="H21" s="18">
        <v>1</v>
      </c>
      <c r="I21" s="4"/>
      <c r="J21" s="4"/>
      <c r="K21" s="9">
        <f>VLOOKUP(Tabla4[[#This Row],[Año]],Tabla6[[#All],[name]:[id_2]],2)</f>
        <v>14</v>
      </c>
      <c r="L21" s="9">
        <f>VLOOKUP(Tabla4[[#This Row],[Agrupación social]],Tabla5[[#All],[name]:[id_1]],2,FALSE)</f>
        <v>1</v>
      </c>
      <c r="M21" s="9">
        <f>VLOOKUP(Tabla4[[#This Row],[Sexo]],Tabla8[[#All],[name]:[gender_id]],2,FALSE)</f>
        <v>1</v>
      </c>
      <c r="N21" s="9">
        <f>VLOOKUP(Tabla4[[#This Row],[Entidad]],Tabla3[[#All],[name]:[ID_2]],2,FALSE)</f>
        <v>20</v>
      </c>
      <c r="O21" s="9" t="str">
        <f>IF(LEN(Tabla4[[#This Row],[centros]])&gt;0,VLOOKUP(Tabla4[[#This Row],[centros]],Tabla2[[#All],[Centros]:[ID]],2,FALSE),"")</f>
        <v/>
      </c>
      <c r="P21" s="10" t="str">
        <f t="shared" ref="P21:P33" si="1">"INSERT INTO indicator_category_details (indicator_category_id, year_id, gender_id, center_id, quantity, status) VALUES ("
&amp;L21&amp;", "&amp;K21&amp;", "&amp;M21&amp;", "&amp;O21&amp;", "&amp;H21&amp;", 1);"</f>
        <v>INSERT INTO indicator_category_details (indicator_category_id, year_id, gender_id, center_id, quantity, status) VALUES (1, 14, 1, , 1, 1);</v>
      </c>
    </row>
    <row r="22" spans="1:16" ht="24.9" customHeight="1" x14ac:dyDescent="0.3">
      <c r="A22" s="8">
        <v>2013</v>
      </c>
      <c r="B22" s="3" t="s">
        <v>325</v>
      </c>
      <c r="C22" s="3" t="s">
        <v>14</v>
      </c>
      <c r="D22" s="3" t="s">
        <v>1042</v>
      </c>
      <c r="E22" s="3" t="s">
        <v>727</v>
      </c>
      <c r="F22" s="4"/>
      <c r="G22" s="4"/>
      <c r="H22" s="18">
        <v>0</v>
      </c>
      <c r="I22" s="4"/>
      <c r="J22" s="4"/>
      <c r="K22" s="9">
        <f>VLOOKUP(Tabla4[[#This Row],[Año]],Tabla6[[#All],[name]:[id_2]],2)</f>
        <v>14</v>
      </c>
      <c r="L22" s="9">
        <f>VLOOKUP(Tabla4[[#This Row],[Agrupación social]],Tabla5[[#All],[name]:[id_1]],2,FALSE)</f>
        <v>1</v>
      </c>
      <c r="M22" s="9">
        <f>VLOOKUP(Tabla4[[#This Row],[Sexo]],Tabla8[[#All],[name]:[gender_id]],2,FALSE)</f>
        <v>1</v>
      </c>
      <c r="N22" s="9">
        <f>VLOOKUP(Tabla4[[#This Row],[Entidad]],Tabla3[[#All],[name]:[ID_2]],2,FALSE)</f>
        <v>21</v>
      </c>
      <c r="O22" s="9" t="str">
        <f>IF(LEN(Tabla4[[#This Row],[centros]])&gt;0,VLOOKUP(Tabla4[[#This Row],[centros]],Tabla2[[#All],[Centros]:[ID]],2,FALSE),"")</f>
        <v/>
      </c>
      <c r="P22" s="10" t="str">
        <f t="shared" si="1"/>
        <v>INSERT INTO indicator_category_details (indicator_category_id, year_id, gender_id, center_id, quantity, status) VALUES (1, 14, 1, , 0, 1);</v>
      </c>
    </row>
    <row r="23" spans="1:16" ht="24.9" customHeight="1" x14ac:dyDescent="0.3">
      <c r="A23" s="8">
        <v>2013</v>
      </c>
      <c r="B23" s="3" t="s">
        <v>325</v>
      </c>
      <c r="C23" s="3" t="s">
        <v>14</v>
      </c>
      <c r="D23" s="3" t="s">
        <v>1042</v>
      </c>
      <c r="E23" s="3" t="s">
        <v>731</v>
      </c>
      <c r="F23" s="4"/>
      <c r="G23" s="4"/>
      <c r="H23" s="18">
        <v>0</v>
      </c>
      <c r="I23" s="4"/>
      <c r="J23" s="4"/>
      <c r="K23" s="9">
        <f>VLOOKUP(Tabla4[[#This Row],[Año]],Tabla6[[#All],[name]:[id_2]],2)</f>
        <v>14</v>
      </c>
      <c r="L23" s="9">
        <f>VLOOKUP(Tabla4[[#This Row],[Agrupación social]],Tabla5[[#All],[name]:[id_1]],2,FALSE)</f>
        <v>1</v>
      </c>
      <c r="M23" s="9">
        <f>VLOOKUP(Tabla4[[#This Row],[Sexo]],Tabla8[[#All],[name]:[gender_id]],2,FALSE)</f>
        <v>1</v>
      </c>
      <c r="N23" s="9">
        <f>VLOOKUP(Tabla4[[#This Row],[Entidad]],Tabla3[[#All],[name]:[ID_2]],2,FALSE)</f>
        <v>22</v>
      </c>
      <c r="O23" s="9" t="str">
        <f>IF(LEN(Tabla4[[#This Row],[centros]])&gt;0,VLOOKUP(Tabla4[[#This Row],[centros]],Tabla2[[#All],[Centros]:[ID]],2,FALSE),"")</f>
        <v/>
      </c>
      <c r="P23" s="10" t="str">
        <f t="shared" si="1"/>
        <v>INSERT INTO indicator_category_details (indicator_category_id, year_id, gender_id, center_id, quantity, status) VALUES (1, 14, 1, , 0, 1);</v>
      </c>
    </row>
    <row r="24" spans="1:16" ht="24.9" customHeight="1" x14ac:dyDescent="0.3">
      <c r="A24" s="8">
        <v>2013</v>
      </c>
      <c r="B24" s="3" t="s">
        <v>325</v>
      </c>
      <c r="C24" s="3" t="s">
        <v>14</v>
      </c>
      <c r="D24" s="3" t="s">
        <v>1042</v>
      </c>
      <c r="E24" s="3" t="s">
        <v>737</v>
      </c>
      <c r="F24" s="4"/>
      <c r="G24" s="4"/>
      <c r="H24" s="18">
        <v>2</v>
      </c>
      <c r="I24" s="4"/>
      <c r="J24" s="4"/>
      <c r="K24" s="9">
        <f>VLOOKUP(Tabla4[[#This Row],[Año]],Tabla6[[#All],[name]:[id_2]],2)</f>
        <v>14</v>
      </c>
      <c r="L24" s="9">
        <f>VLOOKUP(Tabla4[[#This Row],[Agrupación social]],Tabla5[[#All],[name]:[id_1]],2,FALSE)</f>
        <v>1</v>
      </c>
      <c r="M24" s="9">
        <f>VLOOKUP(Tabla4[[#This Row],[Sexo]],Tabla8[[#All],[name]:[gender_id]],2,FALSE)</f>
        <v>1</v>
      </c>
      <c r="N24" s="9">
        <f>VLOOKUP(Tabla4[[#This Row],[Entidad]],Tabla3[[#All],[name]:[ID_2]],2,FALSE)</f>
        <v>23</v>
      </c>
      <c r="O24" s="9" t="str">
        <f>IF(LEN(Tabla4[[#This Row],[centros]])&gt;0,VLOOKUP(Tabla4[[#This Row],[centros]],Tabla2[[#All],[Centros]:[ID]],2,FALSE),"")</f>
        <v/>
      </c>
      <c r="P24" s="10" t="str">
        <f t="shared" si="1"/>
        <v>INSERT INTO indicator_category_details (indicator_category_id, year_id, gender_id, center_id, quantity, status) VALUES (1, 14, 1, , 2, 1);</v>
      </c>
    </row>
    <row r="25" spans="1:16" ht="24.9" customHeight="1" x14ac:dyDescent="0.3">
      <c r="A25" s="8">
        <v>2013</v>
      </c>
      <c r="B25" s="3" t="s">
        <v>325</v>
      </c>
      <c r="C25" s="3" t="s">
        <v>14</v>
      </c>
      <c r="D25" s="3" t="s">
        <v>1042</v>
      </c>
      <c r="E25" s="3" t="s">
        <v>741</v>
      </c>
      <c r="F25" s="4"/>
      <c r="G25" s="4"/>
      <c r="H25" s="18">
        <v>1</v>
      </c>
      <c r="I25" s="4"/>
      <c r="J25" s="4"/>
      <c r="K25" s="9">
        <f>VLOOKUP(Tabla4[[#This Row],[Año]],Tabla6[[#All],[name]:[id_2]],2)</f>
        <v>14</v>
      </c>
      <c r="L25" s="9">
        <f>VLOOKUP(Tabla4[[#This Row],[Agrupación social]],Tabla5[[#All],[name]:[id_1]],2,FALSE)</f>
        <v>1</v>
      </c>
      <c r="M25" s="9">
        <f>VLOOKUP(Tabla4[[#This Row],[Sexo]],Tabla8[[#All],[name]:[gender_id]],2,FALSE)</f>
        <v>1</v>
      </c>
      <c r="N25" s="9">
        <f>VLOOKUP(Tabla4[[#This Row],[Entidad]],Tabla3[[#All],[name]:[ID_2]],2,FALSE)</f>
        <v>24</v>
      </c>
      <c r="O25" s="9" t="str">
        <f>IF(LEN(Tabla4[[#This Row],[centros]])&gt;0,VLOOKUP(Tabla4[[#This Row],[centros]],Tabla2[[#All],[Centros]:[ID]],2,FALSE),"")</f>
        <v/>
      </c>
      <c r="P25" s="10" t="str">
        <f t="shared" si="1"/>
        <v>INSERT INTO indicator_category_details (indicator_category_id, year_id, gender_id, center_id, quantity, status) VALUES (1, 14, 1, , 1, 1);</v>
      </c>
    </row>
    <row r="26" spans="1:16" ht="24.9" customHeight="1" x14ac:dyDescent="0.3">
      <c r="A26" s="8">
        <v>2013</v>
      </c>
      <c r="B26" s="3" t="s">
        <v>325</v>
      </c>
      <c r="C26" s="3" t="s">
        <v>14</v>
      </c>
      <c r="D26" s="3" t="s">
        <v>1042</v>
      </c>
      <c r="E26" s="3" t="s">
        <v>749</v>
      </c>
      <c r="F26" s="4"/>
      <c r="G26" s="4"/>
      <c r="H26" s="18">
        <v>0</v>
      </c>
      <c r="I26" s="4"/>
      <c r="J26" s="4"/>
      <c r="K26" s="9">
        <f>VLOOKUP(Tabla4[[#This Row],[Año]],Tabla6[[#All],[name]:[id_2]],2)</f>
        <v>14</v>
      </c>
      <c r="L26" s="9">
        <f>VLOOKUP(Tabla4[[#This Row],[Agrupación social]],Tabla5[[#All],[name]:[id_1]],2,FALSE)</f>
        <v>1</v>
      </c>
      <c r="M26" s="9">
        <f>VLOOKUP(Tabla4[[#This Row],[Sexo]],Tabla8[[#All],[name]:[gender_id]],2,FALSE)</f>
        <v>1</v>
      </c>
      <c r="N26" s="9">
        <f>VLOOKUP(Tabla4[[#This Row],[Entidad]],Tabla3[[#All],[name]:[ID_2]],2,FALSE)</f>
        <v>25</v>
      </c>
      <c r="O26" s="9" t="str">
        <f>IF(LEN(Tabla4[[#This Row],[centros]])&gt;0,VLOOKUP(Tabla4[[#This Row],[centros]],Tabla2[[#All],[Centros]:[ID]],2,FALSE),"")</f>
        <v/>
      </c>
      <c r="P26" s="10" t="str">
        <f t="shared" si="1"/>
        <v>INSERT INTO indicator_category_details (indicator_category_id, year_id, gender_id, center_id, quantity, status) VALUES (1, 14, 1, , 0, 1);</v>
      </c>
    </row>
    <row r="27" spans="1:16" ht="24.9" customHeight="1" x14ac:dyDescent="0.3">
      <c r="A27" s="8">
        <v>2013</v>
      </c>
      <c r="B27" s="3" t="s">
        <v>325</v>
      </c>
      <c r="C27" s="3" t="s">
        <v>14</v>
      </c>
      <c r="D27" s="3" t="s">
        <v>1042</v>
      </c>
      <c r="E27" s="3" t="s">
        <v>755</v>
      </c>
      <c r="F27" s="4"/>
      <c r="G27" s="4"/>
      <c r="H27" s="18">
        <v>0</v>
      </c>
      <c r="I27" s="4"/>
      <c r="J27" s="4"/>
      <c r="K27" s="9">
        <f>VLOOKUP(Tabla4[[#This Row],[Año]],Tabla6[[#All],[name]:[id_2]],2)</f>
        <v>14</v>
      </c>
      <c r="L27" s="9">
        <f>VLOOKUP(Tabla4[[#This Row],[Agrupación social]],Tabla5[[#All],[name]:[id_1]],2,FALSE)</f>
        <v>1</v>
      </c>
      <c r="M27" s="9">
        <f>VLOOKUP(Tabla4[[#This Row],[Sexo]],Tabla8[[#All],[name]:[gender_id]],2,FALSE)</f>
        <v>1</v>
      </c>
      <c r="N27" s="9">
        <f>VLOOKUP(Tabla4[[#This Row],[Entidad]],Tabla3[[#All],[name]:[ID_2]],2,FALSE)</f>
        <v>26</v>
      </c>
      <c r="O27" s="9" t="str">
        <f>IF(LEN(Tabla4[[#This Row],[centros]])&gt;0,VLOOKUP(Tabla4[[#This Row],[centros]],Tabla2[[#All],[Centros]:[ID]],2,FALSE),"")</f>
        <v/>
      </c>
      <c r="P27" s="10" t="str">
        <f t="shared" si="1"/>
        <v>INSERT INTO indicator_category_details (indicator_category_id, year_id, gender_id, center_id, quantity, status) VALUES (1, 14, 1, , 0, 1);</v>
      </c>
    </row>
    <row r="28" spans="1:16" ht="24.9" customHeight="1" x14ac:dyDescent="0.3">
      <c r="A28" s="8">
        <v>2013</v>
      </c>
      <c r="B28" s="3" t="s">
        <v>325</v>
      </c>
      <c r="C28" s="3" t="s">
        <v>14</v>
      </c>
      <c r="D28" s="3" t="s">
        <v>1042</v>
      </c>
      <c r="E28" s="3" t="s">
        <v>775</v>
      </c>
      <c r="F28" s="4"/>
      <c r="G28" s="4"/>
      <c r="H28" s="18">
        <v>1</v>
      </c>
      <c r="I28" s="4"/>
      <c r="J28" s="4"/>
      <c r="K28" s="9">
        <f>VLOOKUP(Tabla4[[#This Row],[Año]],Tabla6[[#All],[name]:[id_2]],2)</f>
        <v>14</v>
      </c>
      <c r="L28" s="9">
        <f>VLOOKUP(Tabla4[[#This Row],[Agrupación social]],Tabla5[[#All],[name]:[id_1]],2,FALSE)</f>
        <v>1</v>
      </c>
      <c r="M28" s="9">
        <f>VLOOKUP(Tabla4[[#This Row],[Sexo]],Tabla8[[#All],[name]:[gender_id]],2,FALSE)</f>
        <v>1</v>
      </c>
      <c r="N28" s="9">
        <f>VLOOKUP(Tabla4[[#This Row],[Entidad]],Tabla3[[#All],[name]:[ID_2]],2,FALSE)</f>
        <v>27</v>
      </c>
      <c r="O28" s="9" t="str">
        <f>IF(LEN(Tabla4[[#This Row],[centros]])&gt;0,VLOOKUP(Tabla4[[#This Row],[centros]],Tabla2[[#All],[Centros]:[ID]],2,FALSE),"")</f>
        <v/>
      </c>
      <c r="P28" s="10" t="str">
        <f t="shared" si="1"/>
        <v>INSERT INTO indicator_category_details (indicator_category_id, year_id, gender_id, center_id, quantity, status) VALUES (1, 14, 1, , 1, 1);</v>
      </c>
    </row>
    <row r="29" spans="1:16" ht="24.9" customHeight="1" x14ac:dyDescent="0.3">
      <c r="A29" s="8">
        <v>2013</v>
      </c>
      <c r="B29" s="3" t="s">
        <v>325</v>
      </c>
      <c r="C29" s="3" t="s">
        <v>14</v>
      </c>
      <c r="D29" s="3" t="s">
        <v>1042</v>
      </c>
      <c r="E29" s="3" t="s">
        <v>785</v>
      </c>
      <c r="F29" s="4"/>
      <c r="G29" s="4"/>
      <c r="H29" s="18">
        <v>0</v>
      </c>
      <c r="I29" s="4"/>
      <c r="J29" s="4"/>
      <c r="K29" s="9">
        <f>VLOOKUP(Tabla4[[#This Row],[Año]],Tabla6[[#All],[name]:[id_2]],2)</f>
        <v>14</v>
      </c>
      <c r="L29" s="9">
        <f>VLOOKUP(Tabla4[[#This Row],[Agrupación social]],Tabla5[[#All],[name]:[id_1]],2,FALSE)</f>
        <v>1</v>
      </c>
      <c r="M29" s="9">
        <f>VLOOKUP(Tabla4[[#This Row],[Sexo]],Tabla8[[#All],[name]:[gender_id]],2,FALSE)</f>
        <v>1</v>
      </c>
      <c r="N29" s="9">
        <f>VLOOKUP(Tabla4[[#This Row],[Entidad]],Tabla3[[#All],[name]:[ID_2]],2,FALSE)</f>
        <v>28</v>
      </c>
      <c r="O29" s="9" t="str">
        <f>IF(LEN(Tabla4[[#This Row],[centros]])&gt;0,VLOOKUP(Tabla4[[#This Row],[centros]],Tabla2[[#All],[Centros]:[ID]],2,FALSE),"")</f>
        <v/>
      </c>
      <c r="P29" s="10" t="str">
        <f t="shared" si="1"/>
        <v>INSERT INTO indicator_category_details (indicator_category_id, year_id, gender_id, center_id, quantity, status) VALUES (1, 14, 1, , 0, 1);</v>
      </c>
    </row>
    <row r="30" spans="1:16" ht="24.9" customHeight="1" x14ac:dyDescent="0.3">
      <c r="A30" s="8">
        <v>2013</v>
      </c>
      <c r="B30" s="3" t="s">
        <v>325</v>
      </c>
      <c r="C30" s="3" t="s">
        <v>14</v>
      </c>
      <c r="D30" s="3" t="s">
        <v>1042</v>
      </c>
      <c r="E30" s="3" t="s">
        <v>797</v>
      </c>
      <c r="F30" s="4"/>
      <c r="G30" s="4"/>
      <c r="H30" s="18">
        <v>0</v>
      </c>
      <c r="I30" s="4"/>
      <c r="J30" s="4"/>
      <c r="K30" s="9">
        <f>VLOOKUP(Tabla4[[#This Row],[Año]],Tabla6[[#All],[name]:[id_2]],2)</f>
        <v>14</v>
      </c>
      <c r="L30" s="9">
        <f>VLOOKUP(Tabla4[[#This Row],[Agrupación social]],Tabla5[[#All],[name]:[id_1]],2,FALSE)</f>
        <v>1</v>
      </c>
      <c r="M30" s="9">
        <f>VLOOKUP(Tabla4[[#This Row],[Sexo]],Tabla8[[#All],[name]:[gender_id]],2,FALSE)</f>
        <v>1</v>
      </c>
      <c r="N30" s="9">
        <f>VLOOKUP(Tabla4[[#This Row],[Entidad]],Tabla3[[#All],[name]:[ID_2]],2,FALSE)</f>
        <v>29</v>
      </c>
      <c r="O30" s="9" t="str">
        <f>IF(LEN(Tabla4[[#This Row],[centros]])&gt;0,VLOOKUP(Tabla4[[#This Row],[centros]],Tabla2[[#All],[Centros]:[ID]],2,FALSE),"")</f>
        <v/>
      </c>
      <c r="P30" s="10" t="str">
        <f t="shared" si="1"/>
        <v>INSERT INTO indicator_category_details (indicator_category_id, year_id, gender_id, center_id, quantity, status) VALUES (1, 14, 1, , 0, 1);</v>
      </c>
    </row>
    <row r="31" spans="1:16" ht="24.9" customHeight="1" x14ac:dyDescent="0.3">
      <c r="A31" s="8">
        <v>2013</v>
      </c>
      <c r="B31" s="3" t="s">
        <v>325</v>
      </c>
      <c r="C31" s="3" t="s">
        <v>14</v>
      </c>
      <c r="D31" s="3" t="s">
        <v>1042</v>
      </c>
      <c r="E31" s="3" t="s">
        <v>802</v>
      </c>
      <c r="F31" s="4"/>
      <c r="G31" s="4"/>
      <c r="H31" s="18">
        <v>2</v>
      </c>
      <c r="I31" s="4"/>
      <c r="J31" s="4"/>
      <c r="K31" s="9">
        <f>VLOOKUP(Tabla4[[#This Row],[Año]],Tabla6[[#All],[name]:[id_2]],2)</f>
        <v>14</v>
      </c>
      <c r="L31" s="9">
        <f>VLOOKUP(Tabla4[[#This Row],[Agrupación social]],Tabla5[[#All],[name]:[id_1]],2,FALSE)</f>
        <v>1</v>
      </c>
      <c r="M31" s="9">
        <f>VLOOKUP(Tabla4[[#This Row],[Sexo]],Tabla8[[#All],[name]:[gender_id]],2,FALSE)</f>
        <v>1</v>
      </c>
      <c r="N31" s="9">
        <f>VLOOKUP(Tabla4[[#This Row],[Entidad]],Tabla3[[#All],[name]:[ID_2]],2,FALSE)</f>
        <v>30</v>
      </c>
      <c r="O31" s="9" t="str">
        <f>IF(LEN(Tabla4[[#This Row],[centros]])&gt;0,VLOOKUP(Tabla4[[#This Row],[centros]],Tabla2[[#All],[Centros]:[ID]],2,FALSE),"")</f>
        <v/>
      </c>
      <c r="P31" s="10" t="str">
        <f t="shared" si="1"/>
        <v>INSERT INTO indicator_category_details (indicator_category_id, year_id, gender_id, center_id, quantity, status) VALUES (1, 14, 1, , 2, 1);</v>
      </c>
    </row>
    <row r="32" spans="1:16" ht="24.9" customHeight="1" x14ac:dyDescent="0.3">
      <c r="A32" s="8">
        <v>2013</v>
      </c>
      <c r="B32" s="3" t="s">
        <v>325</v>
      </c>
      <c r="C32" s="3" t="s">
        <v>14</v>
      </c>
      <c r="D32" s="3" t="s">
        <v>1042</v>
      </c>
      <c r="E32" s="3" t="s">
        <v>822</v>
      </c>
      <c r="F32" s="4"/>
      <c r="G32" s="4"/>
      <c r="H32" s="18">
        <v>0</v>
      </c>
      <c r="I32" s="4"/>
      <c r="J32" s="4"/>
      <c r="K32" s="9">
        <f>VLOOKUP(Tabla4[[#This Row],[Año]],Tabla6[[#All],[name]:[id_2]],2)</f>
        <v>14</v>
      </c>
      <c r="L32" s="9">
        <f>VLOOKUP(Tabla4[[#This Row],[Agrupación social]],Tabla5[[#All],[name]:[id_1]],2,FALSE)</f>
        <v>1</v>
      </c>
      <c r="M32" s="9">
        <f>VLOOKUP(Tabla4[[#This Row],[Sexo]],Tabla8[[#All],[name]:[gender_id]],2,FALSE)</f>
        <v>1</v>
      </c>
      <c r="N32" s="9">
        <f>VLOOKUP(Tabla4[[#This Row],[Entidad]],Tabla3[[#All],[name]:[ID_2]],2,FALSE)</f>
        <v>31</v>
      </c>
      <c r="O32" s="9" t="str">
        <f>IF(LEN(Tabla4[[#This Row],[centros]])&gt;0,VLOOKUP(Tabla4[[#This Row],[centros]],Tabla2[[#All],[Centros]:[ID]],2,FALSE),"")</f>
        <v/>
      </c>
      <c r="P32" s="10" t="str">
        <f t="shared" si="1"/>
        <v>INSERT INTO indicator_category_details (indicator_category_id, year_id, gender_id, center_id, quantity, status) VALUES (1, 14, 1, , 0, 1);</v>
      </c>
    </row>
    <row r="33" spans="1:16" ht="24.9" customHeight="1" x14ac:dyDescent="0.3">
      <c r="A33" s="8">
        <v>2013</v>
      </c>
      <c r="B33" s="3" t="s">
        <v>325</v>
      </c>
      <c r="C33" s="3" t="s">
        <v>14</v>
      </c>
      <c r="D33" s="3" t="s">
        <v>1042</v>
      </c>
      <c r="E33" s="3" t="s">
        <v>827</v>
      </c>
      <c r="F33" s="4"/>
      <c r="G33" s="4"/>
      <c r="H33" s="18">
        <v>0</v>
      </c>
      <c r="I33" s="4"/>
      <c r="J33" s="4"/>
      <c r="K33" s="9">
        <f>VLOOKUP(Tabla4[[#This Row],[Año]],Tabla6[[#All],[name]:[id_2]],2)</f>
        <v>14</v>
      </c>
      <c r="L33" s="9">
        <f>VLOOKUP(Tabla4[[#This Row],[Agrupación social]],Tabla5[[#All],[name]:[id_1]],2,FALSE)</f>
        <v>1</v>
      </c>
      <c r="M33" s="9">
        <f>VLOOKUP(Tabla4[[#This Row],[Sexo]],Tabla8[[#All],[name]:[gender_id]],2,FALSE)</f>
        <v>1</v>
      </c>
      <c r="N33" s="9">
        <f>VLOOKUP(Tabla4[[#This Row],[Entidad]],Tabla3[[#All],[name]:[ID_2]],2,FALSE)</f>
        <v>32</v>
      </c>
      <c r="O33" s="9" t="str">
        <f>IF(LEN(Tabla4[[#This Row],[centros]])&gt;0,VLOOKUP(Tabla4[[#This Row],[centros]],Tabla2[[#All],[Centros]:[ID]],2,FALSE),"")</f>
        <v/>
      </c>
      <c r="P33" s="10" t="str">
        <f t="shared" si="1"/>
        <v>INSERT INTO indicator_category_details (indicator_category_id, year_id, gender_id, center_id, quantity, status) VALUES (1, 14, 1, , 0, 1);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6F1B-97DB-41EE-83A9-E9BF32986D02}">
  <dimension ref="B1:E1066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4.4" x14ac:dyDescent="0.3"/>
  <cols>
    <col min="2" max="2" width="85.5546875" customWidth="1"/>
    <col min="3" max="3" width="52.33203125" customWidth="1"/>
    <col min="4" max="4" width="20.5546875" customWidth="1"/>
  </cols>
  <sheetData>
    <row r="1" spans="2:5" x14ac:dyDescent="0.3">
      <c r="B1" t="s">
        <v>0</v>
      </c>
      <c r="C1" t="s">
        <v>1</v>
      </c>
      <c r="D1" t="s">
        <v>323</v>
      </c>
      <c r="E1" t="s">
        <v>494</v>
      </c>
    </row>
    <row r="2" spans="2:5" x14ac:dyDescent="0.3">
      <c r="B2" t="s">
        <v>13</v>
      </c>
      <c r="C2" t="s">
        <v>14</v>
      </c>
      <c r="D2" s="16" t="s">
        <v>324</v>
      </c>
      <c r="E2">
        <f>LEN(Tabla1[[#This Row],[Categorías]])</f>
        <v>6</v>
      </c>
    </row>
    <row r="3" spans="2:5" x14ac:dyDescent="0.3">
      <c r="B3" t="s">
        <v>325</v>
      </c>
      <c r="C3" t="s">
        <v>14</v>
      </c>
      <c r="D3" s="16" t="s">
        <v>324</v>
      </c>
      <c r="E3">
        <f>LEN(Tabla1[[#This Row],[Categorías]])</f>
        <v>6</v>
      </c>
    </row>
    <row r="4" spans="2:5" x14ac:dyDescent="0.3">
      <c r="B4" t="s">
        <v>443</v>
      </c>
      <c r="C4" t="s">
        <v>14</v>
      </c>
      <c r="E4">
        <f>LEN(Tabla1[[#This Row],[Categorías]])</f>
        <v>6</v>
      </c>
    </row>
    <row r="5" spans="2:5" x14ac:dyDescent="0.3">
      <c r="B5" t="s">
        <v>13</v>
      </c>
      <c r="C5" t="s">
        <v>15</v>
      </c>
      <c r="D5" s="16" t="s">
        <v>324</v>
      </c>
      <c r="E5">
        <f>LEN(Tabla1[[#This Row],[Categorías]])</f>
        <v>18</v>
      </c>
    </row>
    <row r="6" spans="2:5" x14ac:dyDescent="0.3">
      <c r="B6" t="s">
        <v>325</v>
      </c>
      <c r="C6" t="s">
        <v>15</v>
      </c>
      <c r="D6" s="16" t="s">
        <v>324</v>
      </c>
      <c r="E6">
        <f>LEN(Tabla1[[#This Row],[Categorías]])</f>
        <v>18</v>
      </c>
    </row>
    <row r="7" spans="2:5" x14ac:dyDescent="0.3">
      <c r="B7" t="s">
        <v>443</v>
      </c>
      <c r="C7" t="s">
        <v>15</v>
      </c>
      <c r="E7">
        <f>LEN(Tabla1[[#This Row],[Categorías]])</f>
        <v>18</v>
      </c>
    </row>
    <row r="8" spans="2:5" x14ac:dyDescent="0.3">
      <c r="B8" t="s">
        <v>13</v>
      </c>
      <c r="C8" t="s">
        <v>16</v>
      </c>
      <c r="D8" s="16" t="s">
        <v>324</v>
      </c>
      <c r="E8">
        <f>LEN(Tabla1[[#This Row],[Categorías]])</f>
        <v>18</v>
      </c>
    </row>
    <row r="9" spans="2:5" x14ac:dyDescent="0.3">
      <c r="B9" t="s">
        <v>325</v>
      </c>
      <c r="C9" t="s">
        <v>16</v>
      </c>
      <c r="D9" s="16" t="s">
        <v>324</v>
      </c>
      <c r="E9">
        <f>LEN(Tabla1[[#This Row],[Categorías]])</f>
        <v>18</v>
      </c>
    </row>
    <row r="10" spans="2:5" x14ac:dyDescent="0.3">
      <c r="B10" t="s">
        <v>443</v>
      </c>
      <c r="C10" t="s">
        <v>16</v>
      </c>
      <c r="E10">
        <f>LEN(Tabla1[[#This Row],[Categorías]])</f>
        <v>18</v>
      </c>
    </row>
    <row r="11" spans="2:5" x14ac:dyDescent="0.3">
      <c r="B11" t="s">
        <v>13</v>
      </c>
      <c r="C11" t="s">
        <v>17</v>
      </c>
      <c r="D11" s="16" t="s">
        <v>324</v>
      </c>
      <c r="E11">
        <f>LEN(Tabla1[[#This Row],[Categorías]])</f>
        <v>12</v>
      </c>
    </row>
    <row r="12" spans="2:5" x14ac:dyDescent="0.3">
      <c r="B12" t="s">
        <v>325</v>
      </c>
      <c r="C12" t="s">
        <v>17</v>
      </c>
      <c r="D12" s="16" t="s">
        <v>324</v>
      </c>
      <c r="E12">
        <f>LEN(Tabla1[[#This Row],[Categorías]])</f>
        <v>12</v>
      </c>
    </row>
    <row r="13" spans="2:5" x14ac:dyDescent="0.3">
      <c r="B13" t="s">
        <v>443</v>
      </c>
      <c r="C13" t="s">
        <v>17</v>
      </c>
      <c r="E13">
        <f>LEN(Tabla1[[#This Row],[Categorías]])</f>
        <v>12</v>
      </c>
    </row>
    <row r="14" spans="2:5" x14ac:dyDescent="0.3">
      <c r="B14" t="s">
        <v>13</v>
      </c>
      <c r="C14" t="s">
        <v>18</v>
      </c>
      <c r="D14" s="16" t="s">
        <v>324</v>
      </c>
      <c r="E14">
        <f>LEN(Tabla1[[#This Row],[Categorías]])</f>
        <v>48</v>
      </c>
    </row>
    <row r="15" spans="2:5" x14ac:dyDescent="0.3">
      <c r="B15" t="s">
        <v>443</v>
      </c>
      <c r="C15" t="s">
        <v>18</v>
      </c>
      <c r="E15">
        <f>LEN(Tabla1[[#This Row],[Categorías]])</f>
        <v>48</v>
      </c>
    </row>
    <row r="16" spans="2:5" x14ac:dyDescent="0.3">
      <c r="B16" t="s">
        <v>13</v>
      </c>
      <c r="C16" t="s">
        <v>19</v>
      </c>
      <c r="D16" s="16" t="s">
        <v>324</v>
      </c>
      <c r="E16">
        <f>LEN(Tabla1[[#This Row],[Categorías]])</f>
        <v>23</v>
      </c>
    </row>
    <row r="17" spans="2:5" x14ac:dyDescent="0.3">
      <c r="B17" t="s">
        <v>325</v>
      </c>
      <c r="C17" t="s">
        <v>19</v>
      </c>
      <c r="D17" s="16" t="s">
        <v>324</v>
      </c>
      <c r="E17">
        <f>LEN(Tabla1[[#This Row],[Categorías]])</f>
        <v>23</v>
      </c>
    </row>
    <row r="18" spans="2:5" x14ac:dyDescent="0.3">
      <c r="B18" t="s">
        <v>13</v>
      </c>
      <c r="C18" t="s">
        <v>20</v>
      </c>
      <c r="D18" s="16" t="s">
        <v>324</v>
      </c>
      <c r="E18">
        <f>LEN(Tabla1[[#This Row],[Categorías]])</f>
        <v>12</v>
      </c>
    </row>
    <row r="19" spans="2:5" x14ac:dyDescent="0.3">
      <c r="B19" t="s">
        <v>325</v>
      </c>
      <c r="C19" t="s">
        <v>20</v>
      </c>
      <c r="D19" s="16" t="s">
        <v>324</v>
      </c>
      <c r="E19">
        <f>LEN(Tabla1[[#This Row],[Categorías]])</f>
        <v>12</v>
      </c>
    </row>
    <row r="20" spans="2:5" x14ac:dyDescent="0.3">
      <c r="B20" t="s">
        <v>443</v>
      </c>
      <c r="C20" t="s">
        <v>20</v>
      </c>
      <c r="E20">
        <f>LEN(Tabla1[[#This Row],[Categorías]])</f>
        <v>12</v>
      </c>
    </row>
    <row r="21" spans="2:5" x14ac:dyDescent="0.3">
      <c r="B21" t="s">
        <v>13</v>
      </c>
      <c r="C21" t="s">
        <v>21</v>
      </c>
      <c r="D21" s="16" t="s">
        <v>324</v>
      </c>
      <c r="E21">
        <f>LEN(Tabla1[[#This Row],[Categorías]])</f>
        <v>22</v>
      </c>
    </row>
    <row r="22" spans="2:5" x14ac:dyDescent="0.3">
      <c r="B22" t="s">
        <v>325</v>
      </c>
      <c r="C22" t="s">
        <v>21</v>
      </c>
      <c r="D22" s="16" t="s">
        <v>324</v>
      </c>
      <c r="E22">
        <f>LEN(Tabla1[[#This Row],[Categorías]])</f>
        <v>22</v>
      </c>
    </row>
    <row r="23" spans="2:5" x14ac:dyDescent="0.3">
      <c r="B23" t="s">
        <v>443</v>
      </c>
      <c r="C23" t="s">
        <v>21</v>
      </c>
      <c r="E23">
        <f>LEN(Tabla1[[#This Row],[Categorías]])</f>
        <v>22</v>
      </c>
    </row>
    <row r="24" spans="2:5" x14ac:dyDescent="0.3">
      <c r="B24" t="s">
        <v>13</v>
      </c>
      <c r="C24" t="s">
        <v>22</v>
      </c>
      <c r="D24" s="16" t="s">
        <v>324</v>
      </c>
      <c r="E24">
        <f>LEN(Tabla1[[#This Row],[Categorías]])</f>
        <v>8</v>
      </c>
    </row>
    <row r="25" spans="2:5" x14ac:dyDescent="0.3">
      <c r="B25" t="s">
        <v>325</v>
      </c>
      <c r="C25" t="s">
        <v>22</v>
      </c>
      <c r="D25" s="16" t="s">
        <v>324</v>
      </c>
      <c r="E25">
        <f>LEN(Tabla1[[#This Row],[Categorías]])</f>
        <v>8</v>
      </c>
    </row>
    <row r="26" spans="2:5" x14ac:dyDescent="0.3">
      <c r="B26" t="s">
        <v>443</v>
      </c>
      <c r="C26" t="s">
        <v>22</v>
      </c>
      <c r="E26">
        <f>LEN(Tabla1[[#This Row],[Categorías]])</f>
        <v>8</v>
      </c>
    </row>
    <row r="27" spans="2:5" x14ac:dyDescent="0.3">
      <c r="B27" t="s">
        <v>13</v>
      </c>
      <c r="C27" t="s">
        <v>23</v>
      </c>
      <c r="D27" s="16" t="s">
        <v>324</v>
      </c>
      <c r="E27">
        <f>LEN(Tabla1[[#This Row],[Categorías]])</f>
        <v>48</v>
      </c>
    </row>
    <row r="28" spans="2:5" x14ac:dyDescent="0.3">
      <c r="B28" t="s">
        <v>325</v>
      </c>
      <c r="C28" t="s">
        <v>23</v>
      </c>
      <c r="D28" s="16" t="s">
        <v>324</v>
      </c>
      <c r="E28">
        <f>LEN(Tabla1[[#This Row],[Categorías]])</f>
        <v>48</v>
      </c>
    </row>
    <row r="29" spans="2:5" x14ac:dyDescent="0.3">
      <c r="B29" t="s">
        <v>443</v>
      </c>
      <c r="C29" t="s">
        <v>23</v>
      </c>
      <c r="E29">
        <f>LEN(Tabla1[[#This Row],[Categorías]])</f>
        <v>48</v>
      </c>
    </row>
    <row r="30" spans="2:5" x14ac:dyDescent="0.3">
      <c r="B30" t="s">
        <v>462</v>
      </c>
      <c r="C30" t="s">
        <v>473</v>
      </c>
      <c r="E30">
        <f>LEN(Tabla1[[#This Row],[Categorías]])</f>
        <v>9</v>
      </c>
    </row>
    <row r="31" spans="2:5" x14ac:dyDescent="0.3">
      <c r="B31" t="s">
        <v>13</v>
      </c>
      <c r="C31" t="s">
        <v>283</v>
      </c>
      <c r="D31" s="16" t="s">
        <v>324</v>
      </c>
      <c r="E31">
        <f>LEN(Tabla1[[#This Row],[Categorías]])</f>
        <v>26</v>
      </c>
    </row>
    <row r="32" spans="2:5" x14ac:dyDescent="0.3">
      <c r="B32" t="s">
        <v>325</v>
      </c>
      <c r="C32" t="s">
        <v>283</v>
      </c>
      <c r="D32" s="16" t="s">
        <v>324</v>
      </c>
      <c r="E32">
        <f>LEN(Tabla1[[#This Row],[Categorías]])</f>
        <v>26</v>
      </c>
    </row>
    <row r="33" spans="2:5" x14ac:dyDescent="0.3">
      <c r="B33" t="s">
        <v>443</v>
      </c>
      <c r="C33" t="s">
        <v>283</v>
      </c>
      <c r="E33">
        <f>LEN(Tabla1[[#This Row],[Categorías]])</f>
        <v>26</v>
      </c>
    </row>
    <row r="34" spans="2:5" x14ac:dyDescent="0.3">
      <c r="B34" t="s">
        <v>13</v>
      </c>
      <c r="C34" t="s">
        <v>122</v>
      </c>
      <c r="D34" s="16" t="s">
        <v>324</v>
      </c>
      <c r="E34">
        <f>LEN(Tabla1[[#This Row],[Categorías]])</f>
        <v>21</v>
      </c>
    </row>
    <row r="35" spans="2:5" x14ac:dyDescent="0.3">
      <c r="B35" t="s">
        <v>325</v>
      </c>
      <c r="C35" t="s">
        <v>122</v>
      </c>
      <c r="D35" s="16" t="s">
        <v>324</v>
      </c>
      <c r="E35">
        <f>LEN(Tabla1[[#This Row],[Categorías]])</f>
        <v>21</v>
      </c>
    </row>
    <row r="36" spans="2:5" x14ac:dyDescent="0.3">
      <c r="B36" t="s">
        <v>443</v>
      </c>
      <c r="C36" t="s">
        <v>122</v>
      </c>
      <c r="E36">
        <f>LEN(Tabla1[[#This Row],[Categorías]])</f>
        <v>21</v>
      </c>
    </row>
    <row r="37" spans="2:5" x14ac:dyDescent="0.3">
      <c r="B37" t="s">
        <v>325</v>
      </c>
      <c r="C37" t="s">
        <v>439</v>
      </c>
      <c r="D37" s="16" t="s">
        <v>324</v>
      </c>
      <c r="E37">
        <f>LEN(Tabla1[[#This Row],[Categorías]])</f>
        <v>34</v>
      </c>
    </row>
    <row r="38" spans="2:5" x14ac:dyDescent="0.3">
      <c r="B38" t="s">
        <v>325</v>
      </c>
      <c r="C38" t="s">
        <v>429</v>
      </c>
      <c r="D38" s="16" t="s">
        <v>324</v>
      </c>
      <c r="E38">
        <f>LEN(Tabla1[[#This Row],[Categorías]])</f>
        <v>33</v>
      </c>
    </row>
    <row r="39" spans="2:5" x14ac:dyDescent="0.3">
      <c r="B39" t="s">
        <v>462</v>
      </c>
      <c r="C39" t="s">
        <v>466</v>
      </c>
      <c r="E39">
        <f>LEN(Tabla1[[#This Row],[Categorías]])</f>
        <v>8</v>
      </c>
    </row>
    <row r="40" spans="2:5" x14ac:dyDescent="0.3">
      <c r="B40" t="s">
        <v>462</v>
      </c>
      <c r="C40" t="s">
        <v>474</v>
      </c>
      <c r="E40">
        <f>LEN(Tabla1[[#This Row],[Categorías]])</f>
        <v>9</v>
      </c>
    </row>
    <row r="41" spans="2:5" x14ac:dyDescent="0.3">
      <c r="B41" t="s">
        <v>462</v>
      </c>
      <c r="C41" t="s">
        <v>465</v>
      </c>
      <c r="E41">
        <f>LEN(Tabla1[[#This Row],[Categorías]])</f>
        <v>10</v>
      </c>
    </row>
    <row r="42" spans="2:5" x14ac:dyDescent="0.3">
      <c r="B42" t="s">
        <v>485</v>
      </c>
      <c r="C42" t="s">
        <v>490</v>
      </c>
      <c r="E42">
        <f>LEN(Tabla1[[#This Row],[Categorías]])</f>
        <v>35</v>
      </c>
    </row>
    <row r="43" spans="2:5" x14ac:dyDescent="0.3">
      <c r="B43" t="s">
        <v>325</v>
      </c>
      <c r="C43" t="s">
        <v>374</v>
      </c>
      <c r="D43" s="16" t="s">
        <v>324</v>
      </c>
      <c r="E43">
        <f>LEN(Tabla1[[#This Row],[Categorías]])</f>
        <v>53</v>
      </c>
    </row>
    <row r="44" spans="2:5" x14ac:dyDescent="0.3">
      <c r="B44" t="s">
        <v>13</v>
      </c>
      <c r="C44" t="s">
        <v>265</v>
      </c>
      <c r="D44" s="16" t="s">
        <v>324</v>
      </c>
      <c r="E44">
        <f>LEN(Tabla1[[#This Row],[Categorías]])</f>
        <v>112</v>
      </c>
    </row>
    <row r="45" spans="2:5" x14ac:dyDescent="0.3">
      <c r="B45" t="s">
        <v>325</v>
      </c>
      <c r="C45" t="s">
        <v>265</v>
      </c>
      <c r="D45" s="16" t="s">
        <v>324</v>
      </c>
      <c r="E45">
        <f>LEN(Tabla1[[#This Row],[Categorías]])</f>
        <v>112</v>
      </c>
    </row>
    <row r="46" spans="2:5" x14ac:dyDescent="0.3">
      <c r="B46" t="s">
        <v>443</v>
      </c>
      <c r="C46" t="s">
        <v>265</v>
      </c>
      <c r="E46">
        <f>LEN(Tabla1[[#This Row],[Categorías]])</f>
        <v>112</v>
      </c>
    </row>
    <row r="47" spans="2:5" x14ac:dyDescent="0.3">
      <c r="B47" t="s">
        <v>325</v>
      </c>
      <c r="C47" t="s">
        <v>347</v>
      </c>
      <c r="D47" s="16" t="s">
        <v>324</v>
      </c>
      <c r="E47">
        <f>LEN(Tabla1[[#This Row],[Categorías]])</f>
        <v>26</v>
      </c>
    </row>
    <row r="48" spans="2:5" x14ac:dyDescent="0.3">
      <c r="B48" t="s">
        <v>325</v>
      </c>
      <c r="C48" t="s">
        <v>346</v>
      </c>
      <c r="D48" s="16" t="s">
        <v>324</v>
      </c>
      <c r="E48">
        <f>LEN(Tabla1[[#This Row],[Categorías]])</f>
        <v>30</v>
      </c>
    </row>
    <row r="49" spans="2:5" x14ac:dyDescent="0.3">
      <c r="B49" t="s">
        <v>13</v>
      </c>
      <c r="C49" t="s">
        <v>255</v>
      </c>
      <c r="D49" s="16" t="s">
        <v>324</v>
      </c>
      <c r="E49">
        <f>LEN(Tabla1[[#This Row],[Categorías]])</f>
        <v>7</v>
      </c>
    </row>
    <row r="50" spans="2:5" x14ac:dyDescent="0.3">
      <c r="B50" t="s">
        <v>325</v>
      </c>
      <c r="C50" t="s">
        <v>255</v>
      </c>
      <c r="D50" s="16" t="s">
        <v>324</v>
      </c>
      <c r="E50">
        <f>LEN(Tabla1[[#This Row],[Categorías]])</f>
        <v>7</v>
      </c>
    </row>
    <row r="51" spans="2:5" x14ac:dyDescent="0.3">
      <c r="B51" t="s">
        <v>443</v>
      </c>
      <c r="C51" t="s">
        <v>255</v>
      </c>
      <c r="E51">
        <f>LEN(Tabla1[[#This Row],[Categorías]])</f>
        <v>7</v>
      </c>
    </row>
    <row r="52" spans="2:5" x14ac:dyDescent="0.3">
      <c r="B52" t="s">
        <v>462</v>
      </c>
      <c r="C52" t="s">
        <v>475</v>
      </c>
      <c r="E52">
        <f>LEN(Tabla1[[#This Row],[Categorías]])</f>
        <v>10</v>
      </c>
    </row>
    <row r="53" spans="2:5" x14ac:dyDescent="0.3">
      <c r="B53" t="s">
        <v>13</v>
      </c>
      <c r="C53" t="s">
        <v>264</v>
      </c>
      <c r="D53" s="16" t="s">
        <v>324</v>
      </c>
      <c r="E53">
        <f>LEN(Tabla1[[#This Row],[Categorías]])</f>
        <v>103</v>
      </c>
    </row>
    <row r="54" spans="2:5" x14ac:dyDescent="0.3">
      <c r="B54" t="s">
        <v>325</v>
      </c>
      <c r="C54" t="s">
        <v>264</v>
      </c>
      <c r="D54" s="16" t="s">
        <v>324</v>
      </c>
      <c r="E54">
        <f>LEN(Tabla1[[#This Row],[Categorías]])</f>
        <v>103</v>
      </c>
    </row>
    <row r="55" spans="2:5" x14ac:dyDescent="0.3">
      <c r="B55" t="s">
        <v>443</v>
      </c>
      <c r="C55" t="s">
        <v>264</v>
      </c>
      <c r="E55">
        <f>LEN(Tabla1[[#This Row],[Categorías]])</f>
        <v>103</v>
      </c>
    </row>
    <row r="56" spans="2:5" x14ac:dyDescent="0.3">
      <c r="B56" t="s">
        <v>13</v>
      </c>
      <c r="C56" t="s">
        <v>295</v>
      </c>
      <c r="D56" s="16" t="s">
        <v>324</v>
      </c>
      <c r="E56">
        <f>LEN(Tabla1[[#This Row],[Categorías]])</f>
        <v>22</v>
      </c>
    </row>
    <row r="57" spans="2:5" x14ac:dyDescent="0.3">
      <c r="B57" t="s">
        <v>325</v>
      </c>
      <c r="C57" t="s">
        <v>327</v>
      </c>
      <c r="D57" s="16" t="s">
        <v>324</v>
      </c>
      <c r="E57">
        <f>LEN(Tabla1[[#This Row],[Categorías]])</f>
        <v>22</v>
      </c>
    </row>
    <row r="58" spans="2:5" x14ac:dyDescent="0.3">
      <c r="B58" t="s">
        <v>443</v>
      </c>
      <c r="C58" t="s">
        <v>295</v>
      </c>
      <c r="E58">
        <f>LEN(Tabla1[[#This Row],[Categorías]])</f>
        <v>22</v>
      </c>
    </row>
    <row r="59" spans="2:5" x14ac:dyDescent="0.3">
      <c r="B59" t="s">
        <v>325</v>
      </c>
      <c r="C59" t="s">
        <v>375</v>
      </c>
      <c r="D59" s="16" t="s">
        <v>324</v>
      </c>
      <c r="E59">
        <f>LEN(Tabla1[[#This Row],[Categorías]])</f>
        <v>24</v>
      </c>
    </row>
    <row r="60" spans="2:5" x14ac:dyDescent="0.3">
      <c r="B60" t="s">
        <v>325</v>
      </c>
      <c r="C60" t="s">
        <v>328</v>
      </c>
      <c r="D60" s="16" t="s">
        <v>324</v>
      </c>
      <c r="E60">
        <f>LEN(Tabla1[[#This Row],[Categorías]])</f>
        <v>46</v>
      </c>
    </row>
    <row r="61" spans="2:5" x14ac:dyDescent="0.3">
      <c r="B61" t="s">
        <v>13</v>
      </c>
      <c r="C61" t="s">
        <v>285</v>
      </c>
      <c r="D61" s="16" t="s">
        <v>324</v>
      </c>
      <c r="E61">
        <f>LEN(Tabla1[[#This Row],[Categorías]])</f>
        <v>36</v>
      </c>
    </row>
    <row r="62" spans="2:5" x14ac:dyDescent="0.3">
      <c r="B62" t="s">
        <v>325</v>
      </c>
      <c r="C62" t="s">
        <v>285</v>
      </c>
      <c r="D62" s="16" t="s">
        <v>324</v>
      </c>
      <c r="E62">
        <f>LEN(Tabla1[[#This Row],[Categorías]])</f>
        <v>36</v>
      </c>
    </row>
    <row r="63" spans="2:5" x14ac:dyDescent="0.3">
      <c r="B63" t="s">
        <v>443</v>
      </c>
      <c r="C63" t="s">
        <v>285</v>
      </c>
      <c r="E63">
        <f>LEN(Tabla1[[#This Row],[Categorías]])</f>
        <v>36</v>
      </c>
    </row>
    <row r="64" spans="2:5" x14ac:dyDescent="0.3">
      <c r="B64" t="s">
        <v>325</v>
      </c>
      <c r="C64" t="s">
        <v>329</v>
      </c>
      <c r="D64" s="16" t="s">
        <v>324</v>
      </c>
      <c r="E64">
        <f>LEN(Tabla1[[#This Row],[Categorías]])</f>
        <v>33</v>
      </c>
    </row>
    <row r="65" spans="2:5" x14ac:dyDescent="0.3">
      <c r="B65" t="s">
        <v>443</v>
      </c>
      <c r="C65" t="s">
        <v>330</v>
      </c>
      <c r="E65">
        <f>LEN(Tabla1[[#This Row],[Categorías]])</f>
        <v>33</v>
      </c>
    </row>
    <row r="66" spans="2:5" x14ac:dyDescent="0.3">
      <c r="B66" t="s">
        <v>9</v>
      </c>
      <c r="C66" t="s">
        <v>10</v>
      </c>
      <c r="E66">
        <f>LEN(Tabla1[[#This Row],[Categorías]])</f>
        <v>39</v>
      </c>
    </row>
    <row r="67" spans="2:5" x14ac:dyDescent="0.3">
      <c r="B67" t="s">
        <v>9</v>
      </c>
      <c r="C67" t="s">
        <v>11</v>
      </c>
      <c r="E67">
        <f>LEN(Tabla1[[#This Row],[Categorías]])</f>
        <v>16</v>
      </c>
    </row>
    <row r="68" spans="2:5" x14ac:dyDescent="0.3">
      <c r="B68" t="s">
        <v>455</v>
      </c>
      <c r="C68" t="s">
        <v>460</v>
      </c>
      <c r="E68">
        <f>LEN(Tabla1[[#This Row],[Categorías]])</f>
        <v>35</v>
      </c>
    </row>
    <row r="69" spans="2:5" x14ac:dyDescent="0.3">
      <c r="B69" t="s">
        <v>461</v>
      </c>
      <c r="C69" t="s">
        <v>460</v>
      </c>
      <c r="E69">
        <f>LEN(Tabla1[[#This Row],[Categorías]])</f>
        <v>35</v>
      </c>
    </row>
    <row r="70" spans="2:5" x14ac:dyDescent="0.3">
      <c r="B70" t="s">
        <v>13</v>
      </c>
      <c r="C70" t="s">
        <v>196</v>
      </c>
      <c r="D70" s="16" t="s">
        <v>324</v>
      </c>
      <c r="E70">
        <f>LEN(Tabla1[[#This Row],[Categorías]])</f>
        <v>40</v>
      </c>
    </row>
    <row r="71" spans="2:5" x14ac:dyDescent="0.3">
      <c r="B71" t="s">
        <v>325</v>
      </c>
      <c r="C71" t="s">
        <v>331</v>
      </c>
      <c r="D71" s="16" t="s">
        <v>324</v>
      </c>
      <c r="E71">
        <f>LEN(Tabla1[[#This Row],[Categorías]])</f>
        <v>39</v>
      </c>
    </row>
    <row r="72" spans="2:5" x14ac:dyDescent="0.3">
      <c r="B72" t="s">
        <v>325</v>
      </c>
      <c r="C72" t="s">
        <v>332</v>
      </c>
      <c r="D72" s="16" t="s">
        <v>324</v>
      </c>
      <c r="E72">
        <f>LEN(Tabla1[[#This Row],[Categorías]])</f>
        <v>41</v>
      </c>
    </row>
    <row r="73" spans="2:5" x14ac:dyDescent="0.3">
      <c r="B73" t="s">
        <v>325</v>
      </c>
      <c r="C73" t="s">
        <v>333</v>
      </c>
      <c r="D73" s="16" t="s">
        <v>324</v>
      </c>
      <c r="E73">
        <f>LEN(Tabla1[[#This Row],[Categorías]])</f>
        <v>31</v>
      </c>
    </row>
    <row r="74" spans="2:5" x14ac:dyDescent="0.3">
      <c r="B74" t="s">
        <v>325</v>
      </c>
      <c r="C74" t="s">
        <v>334</v>
      </c>
      <c r="D74" s="16" t="s">
        <v>324</v>
      </c>
      <c r="E74">
        <f>LEN(Tabla1[[#This Row],[Categorías]])</f>
        <v>45</v>
      </c>
    </row>
    <row r="75" spans="2:5" x14ac:dyDescent="0.3">
      <c r="B75" t="s">
        <v>325</v>
      </c>
      <c r="C75" t="s">
        <v>335</v>
      </c>
      <c r="D75" s="16" t="s">
        <v>324</v>
      </c>
      <c r="E75">
        <f>LEN(Tabla1[[#This Row],[Categorías]])</f>
        <v>63</v>
      </c>
    </row>
    <row r="76" spans="2:5" x14ac:dyDescent="0.3">
      <c r="B76" t="s">
        <v>13</v>
      </c>
      <c r="C76" t="s">
        <v>199</v>
      </c>
      <c r="D76" s="16" t="s">
        <v>324</v>
      </c>
      <c r="E76">
        <f>LEN(Tabla1[[#This Row],[Categorías]])</f>
        <v>47</v>
      </c>
    </row>
    <row r="77" spans="2:5" x14ac:dyDescent="0.3">
      <c r="B77" t="s">
        <v>325</v>
      </c>
      <c r="C77" t="s">
        <v>199</v>
      </c>
      <c r="D77" s="16" t="s">
        <v>324</v>
      </c>
      <c r="E77">
        <f>LEN(Tabla1[[#This Row],[Categorías]])</f>
        <v>47</v>
      </c>
    </row>
    <row r="78" spans="2:5" x14ac:dyDescent="0.3">
      <c r="B78" t="s">
        <v>443</v>
      </c>
      <c r="C78" t="s">
        <v>199</v>
      </c>
      <c r="E78">
        <f>LEN(Tabla1[[#This Row],[Categorías]])</f>
        <v>47</v>
      </c>
    </row>
    <row r="79" spans="2:5" x14ac:dyDescent="0.3">
      <c r="B79" t="s">
        <v>443</v>
      </c>
      <c r="C79" t="s">
        <v>444</v>
      </c>
      <c r="E79">
        <f>LEN(Tabla1[[#This Row],[Categorías]])</f>
        <v>44</v>
      </c>
    </row>
    <row r="80" spans="2:5" x14ac:dyDescent="0.3">
      <c r="B80" t="s">
        <v>325</v>
      </c>
      <c r="C80" t="s">
        <v>336</v>
      </c>
      <c r="D80" s="16" t="s">
        <v>324</v>
      </c>
      <c r="E80">
        <f>LEN(Tabla1[[#This Row],[Categorías]])</f>
        <v>19</v>
      </c>
    </row>
    <row r="81" spans="2:5" x14ac:dyDescent="0.3">
      <c r="B81" t="s">
        <v>325</v>
      </c>
      <c r="C81" t="s">
        <v>337</v>
      </c>
      <c r="D81" s="16" t="s">
        <v>324</v>
      </c>
      <c r="E81">
        <f>LEN(Tabla1[[#This Row],[Categorías]])</f>
        <v>26</v>
      </c>
    </row>
    <row r="82" spans="2:5" x14ac:dyDescent="0.3">
      <c r="B82" t="s">
        <v>325</v>
      </c>
      <c r="C82" t="s">
        <v>338</v>
      </c>
      <c r="D82" s="16" t="s">
        <v>324</v>
      </c>
      <c r="E82">
        <f>LEN(Tabla1[[#This Row],[Categorías]])</f>
        <v>19</v>
      </c>
    </row>
    <row r="83" spans="2:5" x14ac:dyDescent="0.3">
      <c r="B83" t="s">
        <v>325</v>
      </c>
      <c r="C83" t="s">
        <v>339</v>
      </c>
      <c r="D83" s="16" t="s">
        <v>324</v>
      </c>
      <c r="E83">
        <f>LEN(Tabla1[[#This Row],[Categorías]])</f>
        <v>53</v>
      </c>
    </row>
    <row r="84" spans="2:5" x14ac:dyDescent="0.3">
      <c r="B84" t="s">
        <v>325</v>
      </c>
      <c r="C84" t="s">
        <v>340</v>
      </c>
      <c r="D84" s="16" t="s">
        <v>324</v>
      </c>
      <c r="E84">
        <f>LEN(Tabla1[[#This Row],[Categorías]])</f>
        <v>41</v>
      </c>
    </row>
    <row r="85" spans="2:5" x14ac:dyDescent="0.3">
      <c r="B85" t="s">
        <v>325</v>
      </c>
      <c r="C85" t="s">
        <v>341</v>
      </c>
      <c r="D85" s="16" t="s">
        <v>324</v>
      </c>
      <c r="E85">
        <f>LEN(Tabla1[[#This Row],[Categorías]])</f>
        <v>33</v>
      </c>
    </row>
    <row r="86" spans="2:5" x14ac:dyDescent="0.3">
      <c r="B86" t="s">
        <v>325</v>
      </c>
      <c r="C86" t="s">
        <v>342</v>
      </c>
      <c r="D86" s="16" t="s">
        <v>324</v>
      </c>
      <c r="E86">
        <f>LEN(Tabla1[[#This Row],[Categorías]])</f>
        <v>47</v>
      </c>
    </row>
    <row r="87" spans="2:5" x14ac:dyDescent="0.3">
      <c r="B87" t="s">
        <v>325</v>
      </c>
      <c r="C87" t="s">
        <v>344</v>
      </c>
      <c r="D87" s="16" t="s">
        <v>324</v>
      </c>
      <c r="E87">
        <f>LEN(Tabla1[[#This Row],[Categorías]])</f>
        <v>32</v>
      </c>
    </row>
    <row r="88" spans="2:5" x14ac:dyDescent="0.3">
      <c r="B88" t="s">
        <v>325</v>
      </c>
      <c r="C88" t="s">
        <v>343</v>
      </c>
      <c r="D88" s="16" t="s">
        <v>324</v>
      </c>
      <c r="E88">
        <f>LEN(Tabla1[[#This Row],[Categorías]])</f>
        <v>27</v>
      </c>
    </row>
    <row r="89" spans="2:5" x14ac:dyDescent="0.3">
      <c r="B89" t="s">
        <v>325</v>
      </c>
      <c r="C89" t="s">
        <v>345</v>
      </c>
      <c r="D89" s="16" t="s">
        <v>324</v>
      </c>
      <c r="E89">
        <f>LEN(Tabla1[[#This Row],[Categorías]])</f>
        <v>39</v>
      </c>
    </row>
    <row r="90" spans="2:5" x14ac:dyDescent="0.3">
      <c r="B90" t="s">
        <v>13</v>
      </c>
      <c r="C90" t="s">
        <v>194</v>
      </c>
      <c r="D90" s="16" t="s">
        <v>324</v>
      </c>
      <c r="E90">
        <f>LEN(Tabla1[[#This Row],[Categorías]])</f>
        <v>21</v>
      </c>
    </row>
    <row r="91" spans="2:5" x14ac:dyDescent="0.3">
      <c r="B91" t="s">
        <v>325</v>
      </c>
      <c r="C91" t="s">
        <v>194</v>
      </c>
      <c r="D91" s="16" t="s">
        <v>324</v>
      </c>
      <c r="E91">
        <f>LEN(Tabla1[[#This Row],[Categorías]])</f>
        <v>21</v>
      </c>
    </row>
    <row r="92" spans="2:5" x14ac:dyDescent="0.3">
      <c r="B92" t="s">
        <v>443</v>
      </c>
      <c r="C92" t="s">
        <v>194</v>
      </c>
      <c r="E92">
        <f>LEN(Tabla1[[#This Row],[Categorías]])</f>
        <v>21</v>
      </c>
    </row>
    <row r="93" spans="2:5" x14ac:dyDescent="0.3">
      <c r="B93" t="s">
        <v>13</v>
      </c>
      <c r="C93" t="s">
        <v>237</v>
      </c>
      <c r="D93" s="16" t="s">
        <v>324</v>
      </c>
      <c r="E93">
        <f>LEN(Tabla1[[#This Row],[Categorías]])</f>
        <v>33</v>
      </c>
    </row>
    <row r="94" spans="2:5" x14ac:dyDescent="0.3">
      <c r="B94" t="s">
        <v>325</v>
      </c>
      <c r="C94" t="s">
        <v>237</v>
      </c>
      <c r="D94" s="16" t="s">
        <v>324</v>
      </c>
      <c r="E94">
        <f>LEN(Tabla1[[#This Row],[Categorías]])</f>
        <v>33</v>
      </c>
    </row>
    <row r="95" spans="2:5" x14ac:dyDescent="0.3">
      <c r="B95" t="s">
        <v>443</v>
      </c>
      <c r="C95" t="s">
        <v>237</v>
      </c>
      <c r="E95">
        <f>LEN(Tabla1[[#This Row],[Categorías]])</f>
        <v>33</v>
      </c>
    </row>
    <row r="96" spans="2:5" x14ac:dyDescent="0.3">
      <c r="B96" t="s">
        <v>325</v>
      </c>
      <c r="C96" t="s">
        <v>393</v>
      </c>
      <c r="D96" s="16" t="s">
        <v>324</v>
      </c>
      <c r="E96">
        <f>LEN(Tabla1[[#This Row],[Categorías]])</f>
        <v>31</v>
      </c>
    </row>
    <row r="97" spans="2:5" x14ac:dyDescent="0.3">
      <c r="B97" t="s">
        <v>443</v>
      </c>
      <c r="C97" t="s">
        <v>393</v>
      </c>
      <c r="E97">
        <f>LEN(Tabla1[[#This Row],[Categorías]])</f>
        <v>31</v>
      </c>
    </row>
    <row r="98" spans="2:5" x14ac:dyDescent="0.3">
      <c r="B98" t="s">
        <v>462</v>
      </c>
      <c r="C98" t="s">
        <v>467</v>
      </c>
      <c r="E98">
        <f>LEN(Tabla1[[#This Row],[Categorías]])</f>
        <v>13</v>
      </c>
    </row>
    <row r="99" spans="2:5" x14ac:dyDescent="0.3">
      <c r="B99" t="s">
        <v>13</v>
      </c>
      <c r="C99" t="s">
        <v>77</v>
      </c>
      <c r="D99" s="16" t="s">
        <v>324</v>
      </c>
      <c r="E99">
        <f>LEN(Tabla1[[#This Row],[Categorías]])</f>
        <v>19</v>
      </c>
    </row>
    <row r="100" spans="2:5" x14ac:dyDescent="0.3">
      <c r="B100" t="s">
        <v>325</v>
      </c>
      <c r="C100" t="s">
        <v>77</v>
      </c>
      <c r="D100" s="16" t="s">
        <v>324</v>
      </c>
      <c r="E100">
        <f>LEN(Tabla1[[#This Row],[Categorías]])</f>
        <v>19</v>
      </c>
    </row>
    <row r="101" spans="2:5" x14ac:dyDescent="0.3">
      <c r="B101" t="s">
        <v>443</v>
      </c>
      <c r="C101" t="s">
        <v>77</v>
      </c>
      <c r="E101">
        <f>LEN(Tabla1[[#This Row],[Categorías]])</f>
        <v>19</v>
      </c>
    </row>
    <row r="102" spans="2:5" x14ac:dyDescent="0.3">
      <c r="B102" t="s">
        <v>13</v>
      </c>
      <c r="C102" t="s">
        <v>216</v>
      </c>
      <c r="D102" s="16" t="s">
        <v>324</v>
      </c>
      <c r="E102">
        <f>LEN(Tabla1[[#This Row],[Categorías]])</f>
        <v>20</v>
      </c>
    </row>
    <row r="103" spans="2:5" x14ac:dyDescent="0.3">
      <c r="B103" t="s">
        <v>325</v>
      </c>
      <c r="C103" t="s">
        <v>216</v>
      </c>
      <c r="D103" s="16" t="s">
        <v>324</v>
      </c>
      <c r="E103">
        <f>LEN(Tabla1[[#This Row],[Categorías]])</f>
        <v>20</v>
      </c>
    </row>
    <row r="104" spans="2:5" x14ac:dyDescent="0.3">
      <c r="B104" t="s">
        <v>13</v>
      </c>
      <c r="C104" t="s">
        <v>271</v>
      </c>
      <c r="D104" s="16" t="s">
        <v>324</v>
      </c>
      <c r="E104">
        <f>LEN(Tabla1[[#This Row],[Categorías]])</f>
        <v>26</v>
      </c>
    </row>
    <row r="105" spans="2:5" x14ac:dyDescent="0.3">
      <c r="B105" t="s">
        <v>447</v>
      </c>
      <c r="C105" t="s">
        <v>453</v>
      </c>
      <c r="E105">
        <f>LEN(Tabla1[[#This Row],[Categorías]])</f>
        <v>42</v>
      </c>
    </row>
    <row r="106" spans="2:5" x14ac:dyDescent="0.3">
      <c r="B106" t="s">
        <v>13</v>
      </c>
      <c r="C106" t="s">
        <v>267</v>
      </c>
      <c r="D106" s="16" t="s">
        <v>324</v>
      </c>
      <c r="E106">
        <f>LEN(Tabla1[[#This Row],[Categorías]])</f>
        <v>39</v>
      </c>
    </row>
    <row r="107" spans="2:5" x14ac:dyDescent="0.3">
      <c r="B107" t="s">
        <v>325</v>
      </c>
      <c r="C107" t="s">
        <v>267</v>
      </c>
      <c r="D107" s="16" t="s">
        <v>324</v>
      </c>
      <c r="E107">
        <f>LEN(Tabla1[[#This Row],[Categorías]])</f>
        <v>39</v>
      </c>
    </row>
    <row r="108" spans="2:5" x14ac:dyDescent="0.3">
      <c r="B108" t="s">
        <v>443</v>
      </c>
      <c r="C108" t="s">
        <v>267</v>
      </c>
      <c r="E108">
        <f>LEN(Tabla1[[#This Row],[Categorías]])</f>
        <v>39</v>
      </c>
    </row>
    <row r="109" spans="2:5" x14ac:dyDescent="0.3">
      <c r="B109" t="s">
        <v>462</v>
      </c>
      <c r="C109" t="s">
        <v>480</v>
      </c>
      <c r="E109">
        <f>LEN(Tabla1[[#This Row],[Categorías]])</f>
        <v>22</v>
      </c>
    </row>
    <row r="110" spans="2:5" x14ac:dyDescent="0.3">
      <c r="B110" t="s">
        <v>462</v>
      </c>
      <c r="C110" t="s">
        <v>479</v>
      </c>
      <c r="E110">
        <f>LEN(Tabla1[[#This Row],[Categorías]])</f>
        <v>22</v>
      </c>
    </row>
    <row r="111" spans="2:5" x14ac:dyDescent="0.3">
      <c r="B111" t="s">
        <v>462</v>
      </c>
      <c r="C111" t="s">
        <v>483</v>
      </c>
      <c r="E111">
        <f>LEN(Tabla1[[#This Row],[Categorías]])</f>
        <v>23</v>
      </c>
    </row>
    <row r="112" spans="2:5" x14ac:dyDescent="0.3">
      <c r="B112" t="s">
        <v>462</v>
      </c>
      <c r="C112" t="s">
        <v>481</v>
      </c>
      <c r="E112">
        <f>LEN(Tabla1[[#This Row],[Categorías]])</f>
        <v>24</v>
      </c>
    </row>
    <row r="113" spans="2:5" x14ac:dyDescent="0.3">
      <c r="B113" t="s">
        <v>462</v>
      </c>
      <c r="C113" t="s">
        <v>484</v>
      </c>
      <c r="E113">
        <f>LEN(Tabla1[[#This Row],[Categorías]])</f>
        <v>25</v>
      </c>
    </row>
    <row r="114" spans="2:5" x14ac:dyDescent="0.3">
      <c r="B114" t="s">
        <v>462</v>
      </c>
      <c r="C114" t="s">
        <v>477</v>
      </c>
      <c r="E114">
        <f>LEN(Tabla1[[#This Row],[Categorías]])</f>
        <v>25</v>
      </c>
    </row>
    <row r="115" spans="2:5" x14ac:dyDescent="0.3">
      <c r="B115" t="s">
        <v>462</v>
      </c>
      <c r="C115" t="s">
        <v>478</v>
      </c>
      <c r="E115">
        <f>LEN(Tabla1[[#This Row],[Categorías]])</f>
        <v>21</v>
      </c>
    </row>
    <row r="116" spans="2:5" x14ac:dyDescent="0.3">
      <c r="B116" t="s">
        <v>325</v>
      </c>
      <c r="C116" t="s">
        <v>414</v>
      </c>
      <c r="D116" s="16" t="s">
        <v>324</v>
      </c>
      <c r="E116">
        <f>LEN(Tabla1[[#This Row],[Categorías]])</f>
        <v>46</v>
      </c>
    </row>
    <row r="117" spans="2:5" x14ac:dyDescent="0.3">
      <c r="B117" t="s">
        <v>325</v>
      </c>
      <c r="C117" t="s">
        <v>440</v>
      </c>
      <c r="D117" s="16" t="s">
        <v>324</v>
      </c>
      <c r="E117">
        <f>LEN(Tabla1[[#This Row],[Categorías]])</f>
        <v>19</v>
      </c>
    </row>
    <row r="118" spans="2:5" x14ac:dyDescent="0.3">
      <c r="B118" t="s">
        <v>325</v>
      </c>
      <c r="C118" t="s">
        <v>433</v>
      </c>
      <c r="D118" s="16" t="s">
        <v>324</v>
      </c>
      <c r="E118">
        <f>LEN(Tabla1[[#This Row],[Categorías]])</f>
        <v>127</v>
      </c>
    </row>
    <row r="119" spans="2:5" x14ac:dyDescent="0.3">
      <c r="B119" t="s">
        <v>325</v>
      </c>
      <c r="C119" t="s">
        <v>403</v>
      </c>
      <c r="D119" s="16" t="s">
        <v>324</v>
      </c>
      <c r="E119">
        <f>LEN(Tabla1[[#This Row],[Categorías]])</f>
        <v>54</v>
      </c>
    </row>
    <row r="120" spans="2:5" x14ac:dyDescent="0.3">
      <c r="B120" t="s">
        <v>325</v>
      </c>
      <c r="C120" t="s">
        <v>376</v>
      </c>
      <c r="D120" s="16" t="s">
        <v>324</v>
      </c>
      <c r="E120">
        <f>LEN(Tabla1[[#This Row],[Categorías]])</f>
        <v>60</v>
      </c>
    </row>
    <row r="121" spans="2:5" x14ac:dyDescent="0.3">
      <c r="B121" t="s">
        <v>325</v>
      </c>
      <c r="C121" t="s">
        <v>402</v>
      </c>
      <c r="D121" s="16" t="s">
        <v>324</v>
      </c>
      <c r="E121">
        <f>LEN(Tabla1[[#This Row],[Categorías]])</f>
        <v>41</v>
      </c>
    </row>
    <row r="122" spans="2:5" x14ac:dyDescent="0.3">
      <c r="B122" t="s">
        <v>325</v>
      </c>
      <c r="C122" t="s">
        <v>413</v>
      </c>
      <c r="D122" s="16" t="s">
        <v>324</v>
      </c>
      <c r="E122">
        <f>LEN(Tabla1[[#This Row],[Categorías]])</f>
        <v>49</v>
      </c>
    </row>
    <row r="123" spans="2:5" x14ac:dyDescent="0.3">
      <c r="B123" t="s">
        <v>325</v>
      </c>
      <c r="C123" t="s">
        <v>397</v>
      </c>
      <c r="D123" s="16" t="s">
        <v>324</v>
      </c>
      <c r="E123">
        <f>LEN(Tabla1[[#This Row],[Categorías]])</f>
        <v>39</v>
      </c>
    </row>
    <row r="124" spans="2:5" x14ac:dyDescent="0.3">
      <c r="B124" t="s">
        <v>325</v>
      </c>
      <c r="C124" t="s">
        <v>427</v>
      </c>
      <c r="D124" s="16" t="s">
        <v>324</v>
      </c>
      <c r="E124">
        <f>LEN(Tabla1[[#This Row],[Categorías]])</f>
        <v>40</v>
      </c>
    </row>
    <row r="125" spans="2:5" x14ac:dyDescent="0.3">
      <c r="B125" t="s">
        <v>325</v>
      </c>
      <c r="C125" t="s">
        <v>410</v>
      </c>
      <c r="D125" s="16" t="s">
        <v>324</v>
      </c>
      <c r="E125">
        <f>LEN(Tabla1[[#This Row],[Categorías]])</f>
        <v>23</v>
      </c>
    </row>
    <row r="126" spans="2:5" x14ac:dyDescent="0.3">
      <c r="B126" t="s">
        <v>13</v>
      </c>
      <c r="C126" t="s">
        <v>314</v>
      </c>
      <c r="D126" s="16" t="s">
        <v>324</v>
      </c>
      <c r="E126">
        <f>LEN(Tabla1[[#This Row],[Categorías]])</f>
        <v>53</v>
      </c>
    </row>
    <row r="127" spans="2:5" x14ac:dyDescent="0.3">
      <c r="B127" t="s">
        <v>325</v>
      </c>
      <c r="C127" t="s">
        <v>401</v>
      </c>
      <c r="D127" s="16" t="s">
        <v>324</v>
      </c>
      <c r="E127">
        <f>LEN(Tabla1[[#This Row],[Categorías]])</f>
        <v>53</v>
      </c>
    </row>
    <row r="128" spans="2:5" x14ac:dyDescent="0.3">
      <c r="B128" t="s">
        <v>13</v>
      </c>
      <c r="C128" t="s">
        <v>83</v>
      </c>
      <c r="D128" s="16" t="s">
        <v>324</v>
      </c>
      <c r="E128">
        <f>LEN(Tabla1[[#This Row],[Categorías]])</f>
        <v>89</v>
      </c>
    </row>
    <row r="129" spans="2:5" x14ac:dyDescent="0.3">
      <c r="B129" t="s">
        <v>325</v>
      </c>
      <c r="C129" t="s">
        <v>83</v>
      </c>
      <c r="D129" s="16" t="s">
        <v>324</v>
      </c>
      <c r="E129">
        <f>LEN(Tabla1[[#This Row],[Categorías]])</f>
        <v>89</v>
      </c>
    </row>
    <row r="130" spans="2:5" x14ac:dyDescent="0.3">
      <c r="B130" t="s">
        <v>443</v>
      </c>
      <c r="C130" t="s">
        <v>83</v>
      </c>
      <c r="E130">
        <f>LEN(Tabla1[[#This Row],[Categorías]])</f>
        <v>89</v>
      </c>
    </row>
    <row r="131" spans="2:5" x14ac:dyDescent="0.3">
      <c r="B131" t="s">
        <v>13</v>
      </c>
      <c r="C131" t="s">
        <v>206</v>
      </c>
      <c r="D131" s="16" t="s">
        <v>324</v>
      </c>
      <c r="E131">
        <f>LEN(Tabla1[[#This Row],[Categorías]])</f>
        <v>71</v>
      </c>
    </row>
    <row r="132" spans="2:5" x14ac:dyDescent="0.3">
      <c r="B132" t="s">
        <v>325</v>
      </c>
      <c r="C132" t="s">
        <v>206</v>
      </c>
      <c r="D132" s="16" t="s">
        <v>324</v>
      </c>
      <c r="E132">
        <f>LEN(Tabla1[[#This Row],[Categorías]])</f>
        <v>71</v>
      </c>
    </row>
    <row r="133" spans="2:5" x14ac:dyDescent="0.3">
      <c r="B133" t="s">
        <v>443</v>
      </c>
      <c r="C133" t="s">
        <v>206</v>
      </c>
      <c r="E133">
        <f>LEN(Tabla1[[#This Row],[Categorías]])</f>
        <v>71</v>
      </c>
    </row>
    <row r="134" spans="2:5" x14ac:dyDescent="0.3">
      <c r="B134" t="s">
        <v>13</v>
      </c>
      <c r="C134" t="s">
        <v>89</v>
      </c>
      <c r="D134" s="16" t="s">
        <v>324</v>
      </c>
      <c r="E134">
        <f>LEN(Tabla1[[#This Row],[Categorías]])</f>
        <v>71</v>
      </c>
    </row>
    <row r="135" spans="2:5" x14ac:dyDescent="0.3">
      <c r="B135" t="s">
        <v>325</v>
      </c>
      <c r="C135" t="s">
        <v>89</v>
      </c>
      <c r="D135" s="16" t="s">
        <v>324</v>
      </c>
      <c r="E135">
        <f>LEN(Tabla1[[#This Row],[Categorías]])</f>
        <v>71</v>
      </c>
    </row>
    <row r="136" spans="2:5" x14ac:dyDescent="0.3">
      <c r="B136" t="s">
        <v>443</v>
      </c>
      <c r="C136" t="s">
        <v>89</v>
      </c>
      <c r="E136">
        <f>LEN(Tabla1[[#This Row],[Categorías]])</f>
        <v>71</v>
      </c>
    </row>
    <row r="137" spans="2:5" x14ac:dyDescent="0.3">
      <c r="B137" t="s">
        <v>13</v>
      </c>
      <c r="C137" t="s">
        <v>88</v>
      </c>
      <c r="D137" s="16" t="s">
        <v>324</v>
      </c>
      <c r="E137">
        <f>LEN(Tabla1[[#This Row],[Categorías]])</f>
        <v>115</v>
      </c>
    </row>
    <row r="138" spans="2:5" x14ac:dyDescent="0.3">
      <c r="B138" t="s">
        <v>325</v>
      </c>
      <c r="C138" t="s">
        <v>88</v>
      </c>
      <c r="D138" s="16" t="s">
        <v>324</v>
      </c>
      <c r="E138">
        <f>LEN(Tabla1[[#This Row],[Categorías]])</f>
        <v>115</v>
      </c>
    </row>
    <row r="139" spans="2:5" x14ac:dyDescent="0.3">
      <c r="B139" t="s">
        <v>443</v>
      </c>
      <c r="C139" t="s">
        <v>88</v>
      </c>
      <c r="E139">
        <f>LEN(Tabla1[[#This Row],[Categorías]])</f>
        <v>115</v>
      </c>
    </row>
    <row r="140" spans="2:5" x14ac:dyDescent="0.3">
      <c r="B140" t="s">
        <v>13</v>
      </c>
      <c r="C140" t="s">
        <v>87</v>
      </c>
      <c r="D140" s="16" t="s">
        <v>324</v>
      </c>
      <c r="E140">
        <f>LEN(Tabla1[[#This Row],[Categorías]])</f>
        <v>66</v>
      </c>
    </row>
    <row r="141" spans="2:5" x14ac:dyDescent="0.3">
      <c r="B141" t="s">
        <v>325</v>
      </c>
      <c r="C141" t="s">
        <v>87</v>
      </c>
      <c r="D141" s="16" t="s">
        <v>324</v>
      </c>
      <c r="E141">
        <f>LEN(Tabla1[[#This Row],[Categorías]])</f>
        <v>66</v>
      </c>
    </row>
    <row r="142" spans="2:5" x14ac:dyDescent="0.3">
      <c r="B142" t="s">
        <v>443</v>
      </c>
      <c r="C142" t="s">
        <v>87</v>
      </c>
      <c r="E142">
        <f>LEN(Tabla1[[#This Row],[Categorías]])</f>
        <v>66</v>
      </c>
    </row>
    <row r="143" spans="2:5" x14ac:dyDescent="0.3">
      <c r="B143" t="s">
        <v>13</v>
      </c>
      <c r="C143" t="s">
        <v>85</v>
      </c>
      <c r="D143" s="16" t="s">
        <v>324</v>
      </c>
      <c r="E143">
        <f>LEN(Tabla1[[#This Row],[Categorías]])</f>
        <v>76</v>
      </c>
    </row>
    <row r="144" spans="2:5" x14ac:dyDescent="0.3">
      <c r="B144" t="s">
        <v>325</v>
      </c>
      <c r="C144" t="s">
        <v>85</v>
      </c>
      <c r="D144" s="16" t="s">
        <v>324</v>
      </c>
      <c r="E144">
        <f>LEN(Tabla1[[#This Row],[Categorías]])</f>
        <v>76</v>
      </c>
    </row>
    <row r="145" spans="2:5" x14ac:dyDescent="0.3">
      <c r="B145" t="s">
        <v>443</v>
      </c>
      <c r="C145" t="s">
        <v>85</v>
      </c>
      <c r="E145">
        <f>LEN(Tabla1[[#This Row],[Categorías]])</f>
        <v>76</v>
      </c>
    </row>
    <row r="146" spans="2:5" x14ac:dyDescent="0.3">
      <c r="B146" t="s">
        <v>13</v>
      </c>
      <c r="C146" t="s">
        <v>84</v>
      </c>
      <c r="D146" s="16" t="s">
        <v>324</v>
      </c>
      <c r="E146">
        <f>LEN(Tabla1[[#This Row],[Categorías]])</f>
        <v>91</v>
      </c>
    </row>
    <row r="147" spans="2:5" x14ac:dyDescent="0.3">
      <c r="B147" t="s">
        <v>325</v>
      </c>
      <c r="C147" t="s">
        <v>84</v>
      </c>
      <c r="D147" s="16" t="s">
        <v>324</v>
      </c>
      <c r="E147">
        <f>LEN(Tabla1[[#This Row],[Categorías]])</f>
        <v>91</v>
      </c>
    </row>
    <row r="148" spans="2:5" x14ac:dyDescent="0.3">
      <c r="B148" t="s">
        <v>443</v>
      </c>
      <c r="C148" t="s">
        <v>84</v>
      </c>
      <c r="E148">
        <f>LEN(Tabla1[[#This Row],[Categorías]])</f>
        <v>91</v>
      </c>
    </row>
    <row r="149" spans="2:5" x14ac:dyDescent="0.3">
      <c r="B149" t="s">
        <v>13</v>
      </c>
      <c r="C149" t="s">
        <v>86</v>
      </c>
      <c r="D149" s="16" t="s">
        <v>324</v>
      </c>
      <c r="E149">
        <f>LEN(Tabla1[[#This Row],[Categorías]])</f>
        <v>70</v>
      </c>
    </row>
    <row r="150" spans="2:5" x14ac:dyDescent="0.3">
      <c r="B150" t="s">
        <v>325</v>
      </c>
      <c r="C150" t="s">
        <v>86</v>
      </c>
      <c r="D150" s="16" t="s">
        <v>324</v>
      </c>
      <c r="E150">
        <f>LEN(Tabla1[[#This Row],[Categorías]])</f>
        <v>70</v>
      </c>
    </row>
    <row r="151" spans="2:5" x14ac:dyDescent="0.3">
      <c r="B151" t="s">
        <v>443</v>
      </c>
      <c r="C151" t="s">
        <v>86</v>
      </c>
      <c r="E151">
        <f>LEN(Tabla1[[#This Row],[Categorías]])</f>
        <v>70</v>
      </c>
    </row>
    <row r="152" spans="2:5" x14ac:dyDescent="0.3">
      <c r="B152" t="s">
        <v>13</v>
      </c>
      <c r="C152" t="s">
        <v>320</v>
      </c>
      <c r="D152" s="16" t="s">
        <v>324</v>
      </c>
      <c r="E152">
        <f>LEN(Tabla1[[#This Row],[Categorías]])</f>
        <v>80</v>
      </c>
    </row>
    <row r="153" spans="2:5" x14ac:dyDescent="0.3">
      <c r="B153" t="s">
        <v>325</v>
      </c>
      <c r="C153" t="s">
        <v>320</v>
      </c>
      <c r="D153" s="16" t="s">
        <v>324</v>
      </c>
      <c r="E153">
        <f>LEN(Tabla1[[#This Row],[Categorías]])</f>
        <v>80</v>
      </c>
    </row>
    <row r="154" spans="2:5" x14ac:dyDescent="0.3">
      <c r="B154" t="s">
        <v>13</v>
      </c>
      <c r="C154" t="s">
        <v>144</v>
      </c>
      <c r="D154" s="16" t="s">
        <v>324</v>
      </c>
      <c r="E154">
        <f>LEN(Tabla1[[#This Row],[Categorías]])</f>
        <v>195</v>
      </c>
    </row>
    <row r="155" spans="2:5" x14ac:dyDescent="0.3">
      <c r="B155" t="s">
        <v>325</v>
      </c>
      <c r="C155" t="s">
        <v>144</v>
      </c>
      <c r="D155" s="16" t="s">
        <v>324</v>
      </c>
      <c r="E155">
        <f>LEN(Tabla1[[#This Row],[Categorías]])</f>
        <v>195</v>
      </c>
    </row>
    <row r="156" spans="2:5" x14ac:dyDescent="0.3">
      <c r="B156" t="s">
        <v>443</v>
      </c>
      <c r="C156" t="s">
        <v>144</v>
      </c>
      <c r="E156">
        <f>LEN(Tabla1[[#This Row],[Categorías]])</f>
        <v>195</v>
      </c>
    </row>
    <row r="157" spans="2:5" x14ac:dyDescent="0.3">
      <c r="B157" t="s">
        <v>13</v>
      </c>
      <c r="C157" t="s">
        <v>143</v>
      </c>
      <c r="D157" s="16" t="s">
        <v>324</v>
      </c>
      <c r="E157">
        <f>LEN(Tabla1[[#This Row],[Categorías]])</f>
        <v>186</v>
      </c>
    </row>
    <row r="158" spans="2:5" x14ac:dyDescent="0.3">
      <c r="B158" t="s">
        <v>325</v>
      </c>
      <c r="C158" t="s">
        <v>143</v>
      </c>
      <c r="D158" s="16" t="s">
        <v>324</v>
      </c>
      <c r="E158">
        <f>LEN(Tabla1[[#This Row],[Categorías]])</f>
        <v>186</v>
      </c>
    </row>
    <row r="159" spans="2:5" x14ac:dyDescent="0.3">
      <c r="B159" t="s">
        <v>443</v>
      </c>
      <c r="C159" t="s">
        <v>143</v>
      </c>
      <c r="E159">
        <f>LEN(Tabla1[[#This Row],[Categorías]])</f>
        <v>186</v>
      </c>
    </row>
    <row r="160" spans="2:5" x14ac:dyDescent="0.3">
      <c r="B160" t="s">
        <v>13</v>
      </c>
      <c r="C160" t="s">
        <v>308</v>
      </c>
      <c r="D160" s="16" t="s">
        <v>324</v>
      </c>
      <c r="E160">
        <f>LEN(Tabla1[[#This Row],[Categorías]])</f>
        <v>187</v>
      </c>
    </row>
    <row r="161" spans="2:5" x14ac:dyDescent="0.3">
      <c r="B161" t="s">
        <v>325</v>
      </c>
      <c r="C161" t="s">
        <v>308</v>
      </c>
      <c r="D161" s="16" t="s">
        <v>324</v>
      </c>
      <c r="E161">
        <f>LEN(Tabla1[[#This Row],[Categorías]])</f>
        <v>187</v>
      </c>
    </row>
    <row r="162" spans="2:5" x14ac:dyDescent="0.3">
      <c r="B162" t="s">
        <v>443</v>
      </c>
      <c r="C162" t="s">
        <v>308</v>
      </c>
      <c r="E162">
        <f>LEN(Tabla1[[#This Row],[Categorías]])</f>
        <v>187</v>
      </c>
    </row>
    <row r="163" spans="2:5" x14ac:dyDescent="0.3">
      <c r="B163" t="s">
        <v>13</v>
      </c>
      <c r="C163" t="s">
        <v>146</v>
      </c>
      <c r="D163" s="16" t="s">
        <v>324</v>
      </c>
      <c r="E163">
        <f>LEN(Tabla1[[#This Row],[Categorías]])</f>
        <v>122</v>
      </c>
    </row>
    <row r="164" spans="2:5" x14ac:dyDescent="0.3">
      <c r="B164" t="s">
        <v>325</v>
      </c>
      <c r="C164" t="s">
        <v>146</v>
      </c>
      <c r="D164" s="16" t="s">
        <v>324</v>
      </c>
      <c r="E164">
        <f>LEN(Tabla1[[#This Row],[Categorías]])</f>
        <v>122</v>
      </c>
    </row>
    <row r="165" spans="2:5" x14ac:dyDescent="0.3">
      <c r="B165" t="s">
        <v>443</v>
      </c>
      <c r="C165" t="s">
        <v>146</v>
      </c>
      <c r="E165">
        <f>LEN(Tabla1[[#This Row],[Categorías]])</f>
        <v>122</v>
      </c>
    </row>
    <row r="166" spans="2:5" x14ac:dyDescent="0.3">
      <c r="B166" t="s">
        <v>13</v>
      </c>
      <c r="C166" t="s">
        <v>213</v>
      </c>
      <c r="D166" s="16" t="s">
        <v>324</v>
      </c>
      <c r="E166">
        <f>LEN(Tabla1[[#This Row],[Categorías]])</f>
        <v>98</v>
      </c>
    </row>
    <row r="167" spans="2:5" x14ac:dyDescent="0.3">
      <c r="B167" t="s">
        <v>325</v>
      </c>
      <c r="C167" t="s">
        <v>213</v>
      </c>
      <c r="D167" s="16" t="s">
        <v>324</v>
      </c>
      <c r="E167">
        <f>LEN(Tabla1[[#This Row],[Categorías]])</f>
        <v>98</v>
      </c>
    </row>
    <row r="168" spans="2:5" x14ac:dyDescent="0.3">
      <c r="B168" t="s">
        <v>443</v>
      </c>
      <c r="C168" t="s">
        <v>213</v>
      </c>
      <c r="E168">
        <f>LEN(Tabla1[[#This Row],[Categorías]])</f>
        <v>98</v>
      </c>
    </row>
    <row r="169" spans="2:5" x14ac:dyDescent="0.3">
      <c r="B169" t="s">
        <v>13</v>
      </c>
      <c r="C169" t="s">
        <v>148</v>
      </c>
      <c r="D169" s="16" t="s">
        <v>324</v>
      </c>
      <c r="E169">
        <f>LEN(Tabla1[[#This Row],[Categorías]])</f>
        <v>98</v>
      </c>
    </row>
    <row r="170" spans="2:5" x14ac:dyDescent="0.3">
      <c r="B170" t="s">
        <v>325</v>
      </c>
      <c r="C170" t="s">
        <v>148</v>
      </c>
      <c r="D170" s="16" t="s">
        <v>324</v>
      </c>
      <c r="E170">
        <f>LEN(Tabla1[[#This Row],[Categorías]])</f>
        <v>98</v>
      </c>
    </row>
    <row r="171" spans="2:5" x14ac:dyDescent="0.3">
      <c r="B171" t="s">
        <v>443</v>
      </c>
      <c r="C171" t="s">
        <v>148</v>
      </c>
      <c r="E171">
        <f>LEN(Tabla1[[#This Row],[Categorías]])</f>
        <v>98</v>
      </c>
    </row>
    <row r="172" spans="2:5" x14ac:dyDescent="0.3">
      <c r="B172" t="s">
        <v>13</v>
      </c>
      <c r="C172" t="s">
        <v>147</v>
      </c>
      <c r="D172" s="16" t="s">
        <v>324</v>
      </c>
      <c r="E172">
        <f>LEN(Tabla1[[#This Row],[Categorías]])</f>
        <v>169</v>
      </c>
    </row>
    <row r="173" spans="2:5" x14ac:dyDescent="0.3">
      <c r="B173" t="s">
        <v>325</v>
      </c>
      <c r="C173" t="s">
        <v>147</v>
      </c>
      <c r="D173" s="16" t="s">
        <v>324</v>
      </c>
      <c r="E173">
        <f>LEN(Tabla1[[#This Row],[Categorías]])</f>
        <v>169</v>
      </c>
    </row>
    <row r="174" spans="2:5" x14ac:dyDescent="0.3">
      <c r="B174" t="s">
        <v>443</v>
      </c>
      <c r="C174" t="s">
        <v>147</v>
      </c>
      <c r="E174">
        <f>LEN(Tabla1[[#This Row],[Categorías]])</f>
        <v>169</v>
      </c>
    </row>
    <row r="175" spans="2:5" x14ac:dyDescent="0.3">
      <c r="B175" t="s">
        <v>13</v>
      </c>
      <c r="C175" t="s">
        <v>142</v>
      </c>
      <c r="D175" s="16" t="s">
        <v>324</v>
      </c>
      <c r="E175">
        <f>LEN(Tabla1[[#This Row],[Categorías]])</f>
        <v>177</v>
      </c>
    </row>
    <row r="176" spans="2:5" x14ac:dyDescent="0.3">
      <c r="B176" t="s">
        <v>325</v>
      </c>
      <c r="C176" t="s">
        <v>142</v>
      </c>
      <c r="D176" s="16" t="s">
        <v>324</v>
      </c>
      <c r="E176">
        <f>LEN(Tabla1[[#This Row],[Categorías]])</f>
        <v>177</v>
      </c>
    </row>
    <row r="177" spans="2:5" x14ac:dyDescent="0.3">
      <c r="B177" t="s">
        <v>443</v>
      </c>
      <c r="C177" t="s">
        <v>142</v>
      </c>
      <c r="E177">
        <f>LEN(Tabla1[[#This Row],[Categorías]])</f>
        <v>177</v>
      </c>
    </row>
    <row r="178" spans="2:5" x14ac:dyDescent="0.3">
      <c r="B178" t="s">
        <v>13</v>
      </c>
      <c r="C178" t="s">
        <v>307</v>
      </c>
      <c r="D178" s="16" t="s">
        <v>324</v>
      </c>
      <c r="E178">
        <f>LEN(Tabla1[[#This Row],[Categorías]])</f>
        <v>178</v>
      </c>
    </row>
    <row r="179" spans="2:5" x14ac:dyDescent="0.3">
      <c r="B179" t="s">
        <v>325</v>
      </c>
      <c r="C179" t="s">
        <v>307</v>
      </c>
      <c r="D179" s="16" t="s">
        <v>324</v>
      </c>
      <c r="E179">
        <f>LEN(Tabla1[[#This Row],[Categorías]])</f>
        <v>178</v>
      </c>
    </row>
    <row r="180" spans="2:5" x14ac:dyDescent="0.3">
      <c r="B180" t="s">
        <v>443</v>
      </c>
      <c r="C180" t="s">
        <v>307</v>
      </c>
      <c r="E180">
        <f>LEN(Tabla1[[#This Row],[Categorías]])</f>
        <v>178</v>
      </c>
    </row>
    <row r="181" spans="2:5" x14ac:dyDescent="0.3">
      <c r="B181" t="s">
        <v>13</v>
      </c>
      <c r="C181" t="s">
        <v>145</v>
      </c>
      <c r="D181" s="16" t="s">
        <v>324</v>
      </c>
      <c r="E181">
        <f>LEN(Tabla1[[#This Row],[Categorías]])</f>
        <v>125</v>
      </c>
    </row>
    <row r="182" spans="2:5" x14ac:dyDescent="0.3">
      <c r="B182" t="s">
        <v>325</v>
      </c>
      <c r="C182" t="s">
        <v>145</v>
      </c>
      <c r="D182" s="16" t="s">
        <v>324</v>
      </c>
      <c r="E182">
        <f>LEN(Tabla1[[#This Row],[Categorías]])</f>
        <v>125</v>
      </c>
    </row>
    <row r="183" spans="2:5" x14ac:dyDescent="0.3">
      <c r="B183" t="s">
        <v>443</v>
      </c>
      <c r="C183" t="s">
        <v>145</v>
      </c>
      <c r="E183">
        <f>LEN(Tabla1[[#This Row],[Categorías]])</f>
        <v>125</v>
      </c>
    </row>
    <row r="184" spans="2:5" x14ac:dyDescent="0.3">
      <c r="B184" t="s">
        <v>13</v>
      </c>
      <c r="C184" t="s">
        <v>319</v>
      </c>
      <c r="D184" s="16" t="s">
        <v>324</v>
      </c>
      <c r="E184">
        <f>LEN(Tabla1[[#This Row],[Categorías]])</f>
        <v>44</v>
      </c>
    </row>
    <row r="185" spans="2:5" x14ac:dyDescent="0.3">
      <c r="B185" t="s">
        <v>325</v>
      </c>
      <c r="C185" t="s">
        <v>319</v>
      </c>
      <c r="D185" s="16" t="s">
        <v>324</v>
      </c>
      <c r="E185">
        <f>LEN(Tabla1[[#This Row],[Categorías]])</f>
        <v>44</v>
      </c>
    </row>
    <row r="186" spans="2:5" x14ac:dyDescent="0.3">
      <c r="B186" t="s">
        <v>13</v>
      </c>
      <c r="C186" t="s">
        <v>134</v>
      </c>
      <c r="D186" s="16" t="s">
        <v>324</v>
      </c>
      <c r="E186">
        <f>LEN(Tabla1[[#This Row],[Categorías]])</f>
        <v>67</v>
      </c>
    </row>
    <row r="187" spans="2:5" x14ac:dyDescent="0.3">
      <c r="B187" t="s">
        <v>325</v>
      </c>
      <c r="C187" t="s">
        <v>134</v>
      </c>
      <c r="D187" s="16" t="s">
        <v>324</v>
      </c>
      <c r="E187">
        <f>LEN(Tabla1[[#This Row],[Categorías]])</f>
        <v>67</v>
      </c>
    </row>
    <row r="188" spans="2:5" x14ac:dyDescent="0.3">
      <c r="B188" t="s">
        <v>443</v>
      </c>
      <c r="C188" t="s">
        <v>134</v>
      </c>
      <c r="E188">
        <f>LEN(Tabla1[[#This Row],[Categorías]])</f>
        <v>67</v>
      </c>
    </row>
    <row r="189" spans="2:5" x14ac:dyDescent="0.3">
      <c r="B189" t="s">
        <v>13</v>
      </c>
      <c r="C189" t="s">
        <v>212</v>
      </c>
      <c r="D189" s="16" t="s">
        <v>324</v>
      </c>
      <c r="E189">
        <f>LEN(Tabla1[[#This Row],[Categorías]])</f>
        <v>62</v>
      </c>
    </row>
    <row r="190" spans="2:5" x14ac:dyDescent="0.3">
      <c r="B190" t="s">
        <v>325</v>
      </c>
      <c r="C190" t="s">
        <v>212</v>
      </c>
      <c r="D190" s="16" t="s">
        <v>324</v>
      </c>
      <c r="E190">
        <f>LEN(Tabla1[[#This Row],[Categorías]])</f>
        <v>62</v>
      </c>
    </row>
    <row r="191" spans="2:5" x14ac:dyDescent="0.3">
      <c r="B191" t="s">
        <v>443</v>
      </c>
      <c r="C191" t="s">
        <v>212</v>
      </c>
      <c r="E191">
        <f>LEN(Tabla1[[#This Row],[Categorías]])</f>
        <v>62</v>
      </c>
    </row>
    <row r="192" spans="2:5" x14ac:dyDescent="0.3">
      <c r="B192" t="s">
        <v>13</v>
      </c>
      <c r="C192" t="s">
        <v>136</v>
      </c>
      <c r="D192" s="16" t="s">
        <v>324</v>
      </c>
      <c r="E192">
        <f>LEN(Tabla1[[#This Row],[Categorías]])</f>
        <v>62</v>
      </c>
    </row>
    <row r="193" spans="2:5" x14ac:dyDescent="0.3">
      <c r="B193" t="s">
        <v>325</v>
      </c>
      <c r="C193" t="s">
        <v>136</v>
      </c>
      <c r="D193" s="16" t="s">
        <v>324</v>
      </c>
      <c r="E193">
        <f>LEN(Tabla1[[#This Row],[Categorías]])</f>
        <v>62</v>
      </c>
    </row>
    <row r="194" spans="2:5" x14ac:dyDescent="0.3">
      <c r="B194" t="s">
        <v>443</v>
      </c>
      <c r="C194" t="s">
        <v>136</v>
      </c>
      <c r="E194">
        <f>LEN(Tabla1[[#This Row],[Categorías]])</f>
        <v>62</v>
      </c>
    </row>
    <row r="195" spans="2:5" x14ac:dyDescent="0.3">
      <c r="B195" t="s">
        <v>13</v>
      </c>
      <c r="C195" t="s">
        <v>135</v>
      </c>
      <c r="D195" s="16" t="s">
        <v>324</v>
      </c>
      <c r="E195">
        <f>LEN(Tabla1[[#This Row],[Categorías]])</f>
        <v>97</v>
      </c>
    </row>
    <row r="196" spans="2:5" x14ac:dyDescent="0.3">
      <c r="B196" t="s">
        <v>325</v>
      </c>
      <c r="C196" t="s">
        <v>135</v>
      </c>
      <c r="D196" s="16" t="s">
        <v>324</v>
      </c>
      <c r="E196">
        <f>LEN(Tabla1[[#This Row],[Categorías]])</f>
        <v>97</v>
      </c>
    </row>
    <row r="197" spans="2:5" x14ac:dyDescent="0.3">
      <c r="B197" t="s">
        <v>443</v>
      </c>
      <c r="C197" t="s">
        <v>135</v>
      </c>
      <c r="E197">
        <f>LEN(Tabla1[[#This Row],[Categorías]])</f>
        <v>97</v>
      </c>
    </row>
    <row r="198" spans="2:5" x14ac:dyDescent="0.3">
      <c r="B198" t="s">
        <v>325</v>
      </c>
      <c r="C198" t="s">
        <v>399</v>
      </c>
      <c r="D198" s="16" t="s">
        <v>324</v>
      </c>
      <c r="E198">
        <f>LEN(Tabla1[[#This Row],[Categorías]])</f>
        <v>27</v>
      </c>
    </row>
    <row r="199" spans="2:5" x14ac:dyDescent="0.3">
      <c r="B199" t="s">
        <v>325</v>
      </c>
      <c r="C199" t="s">
        <v>348</v>
      </c>
      <c r="D199" s="16" t="s">
        <v>324</v>
      </c>
      <c r="E199">
        <f>LEN(Tabla1[[#This Row],[Categorías]])</f>
        <v>75</v>
      </c>
    </row>
    <row r="200" spans="2:5" x14ac:dyDescent="0.3">
      <c r="B200" t="s">
        <v>325</v>
      </c>
      <c r="C200" t="s">
        <v>405</v>
      </c>
      <c r="D200" s="16" t="s">
        <v>324</v>
      </c>
      <c r="E200">
        <f>LEN(Tabla1[[#This Row],[Categorías]])</f>
        <v>34</v>
      </c>
    </row>
    <row r="201" spans="2:5" x14ac:dyDescent="0.3">
      <c r="B201" t="s">
        <v>325</v>
      </c>
      <c r="C201" t="s">
        <v>426</v>
      </c>
      <c r="D201" s="16" t="s">
        <v>324</v>
      </c>
      <c r="E201">
        <f>LEN(Tabla1[[#This Row],[Categorías]])</f>
        <v>27</v>
      </c>
    </row>
    <row r="202" spans="2:5" x14ac:dyDescent="0.3">
      <c r="B202" t="s">
        <v>325</v>
      </c>
      <c r="C202" t="s">
        <v>406</v>
      </c>
      <c r="D202" s="16" t="s">
        <v>324</v>
      </c>
      <c r="E202">
        <f>LEN(Tabla1[[#This Row],[Categorías]])</f>
        <v>61</v>
      </c>
    </row>
    <row r="203" spans="2:5" x14ac:dyDescent="0.3">
      <c r="B203" t="s">
        <v>325</v>
      </c>
      <c r="C203" t="s">
        <v>408</v>
      </c>
      <c r="D203" s="16" t="s">
        <v>324</v>
      </c>
      <c r="E203">
        <f>LEN(Tabla1[[#This Row],[Categorías]])</f>
        <v>49</v>
      </c>
    </row>
    <row r="204" spans="2:5" x14ac:dyDescent="0.3">
      <c r="B204" t="s">
        <v>325</v>
      </c>
      <c r="C204" t="s">
        <v>400</v>
      </c>
      <c r="D204" s="16" t="s">
        <v>324</v>
      </c>
      <c r="E204">
        <f>LEN(Tabla1[[#This Row],[Categorías]])</f>
        <v>23</v>
      </c>
    </row>
    <row r="205" spans="2:5" x14ac:dyDescent="0.3">
      <c r="B205" t="s">
        <v>325</v>
      </c>
      <c r="C205" t="s">
        <v>435</v>
      </c>
      <c r="D205" s="16" t="s">
        <v>324</v>
      </c>
      <c r="E205">
        <f>LEN(Tabla1[[#This Row],[Categorías]])</f>
        <v>116</v>
      </c>
    </row>
    <row r="206" spans="2:5" x14ac:dyDescent="0.3">
      <c r="B206" t="s">
        <v>13</v>
      </c>
      <c r="C206" t="s">
        <v>156</v>
      </c>
      <c r="D206" s="16" t="s">
        <v>324</v>
      </c>
      <c r="E206">
        <f>LEN(Tabla1[[#This Row],[Categorías]])</f>
        <v>54</v>
      </c>
    </row>
    <row r="207" spans="2:5" x14ac:dyDescent="0.3">
      <c r="B207" t="s">
        <v>325</v>
      </c>
      <c r="C207" t="s">
        <v>156</v>
      </c>
      <c r="D207" s="16" t="s">
        <v>324</v>
      </c>
      <c r="E207">
        <f>LEN(Tabla1[[#This Row],[Categorías]])</f>
        <v>54</v>
      </c>
    </row>
    <row r="208" spans="2:5" x14ac:dyDescent="0.3">
      <c r="B208" t="s">
        <v>443</v>
      </c>
      <c r="C208" t="s">
        <v>156</v>
      </c>
      <c r="E208">
        <f>LEN(Tabla1[[#This Row],[Categorías]])</f>
        <v>54</v>
      </c>
    </row>
    <row r="209" spans="2:5" x14ac:dyDescent="0.3">
      <c r="B209" t="s">
        <v>13</v>
      </c>
      <c r="C209" t="s">
        <v>315</v>
      </c>
      <c r="D209" s="16" t="s">
        <v>324</v>
      </c>
      <c r="E209">
        <f>LEN(Tabla1[[#This Row],[Categorías]])</f>
        <v>83</v>
      </c>
    </row>
    <row r="210" spans="2:5" x14ac:dyDescent="0.3">
      <c r="B210" t="s">
        <v>325</v>
      </c>
      <c r="C210" t="s">
        <v>315</v>
      </c>
      <c r="D210" s="16" t="s">
        <v>324</v>
      </c>
      <c r="E210">
        <f>LEN(Tabla1[[#This Row],[Categorías]])</f>
        <v>83</v>
      </c>
    </row>
    <row r="211" spans="2:5" x14ac:dyDescent="0.3">
      <c r="B211" t="s">
        <v>13</v>
      </c>
      <c r="C211" t="s">
        <v>101</v>
      </c>
      <c r="D211" s="16" t="s">
        <v>324</v>
      </c>
      <c r="E211">
        <f>LEN(Tabla1[[#This Row],[Categorías]])</f>
        <v>108</v>
      </c>
    </row>
    <row r="212" spans="2:5" x14ac:dyDescent="0.3">
      <c r="B212" t="s">
        <v>325</v>
      </c>
      <c r="C212" t="s">
        <v>101</v>
      </c>
      <c r="D212" s="16" t="s">
        <v>324</v>
      </c>
      <c r="E212">
        <f>LEN(Tabla1[[#This Row],[Categorías]])</f>
        <v>108</v>
      </c>
    </row>
    <row r="213" spans="2:5" x14ac:dyDescent="0.3">
      <c r="B213" t="s">
        <v>443</v>
      </c>
      <c r="C213" t="s">
        <v>101</v>
      </c>
      <c r="E213">
        <f>LEN(Tabla1[[#This Row],[Categorías]])</f>
        <v>108</v>
      </c>
    </row>
    <row r="214" spans="2:5" x14ac:dyDescent="0.3">
      <c r="B214" t="s">
        <v>13</v>
      </c>
      <c r="C214" t="s">
        <v>312</v>
      </c>
      <c r="D214" s="16" t="s">
        <v>324</v>
      </c>
      <c r="E214">
        <f>LEN(Tabla1[[#This Row],[Categorías]])</f>
        <v>109</v>
      </c>
    </row>
    <row r="215" spans="2:5" x14ac:dyDescent="0.3">
      <c r="B215" t="s">
        <v>325</v>
      </c>
      <c r="C215" t="s">
        <v>312</v>
      </c>
      <c r="D215" s="16" t="s">
        <v>324</v>
      </c>
      <c r="E215">
        <f>LEN(Tabla1[[#This Row],[Categorías]])</f>
        <v>109</v>
      </c>
    </row>
    <row r="216" spans="2:5" x14ac:dyDescent="0.3">
      <c r="B216" t="s">
        <v>443</v>
      </c>
      <c r="C216" t="s">
        <v>312</v>
      </c>
      <c r="E216">
        <f>LEN(Tabla1[[#This Row],[Categorías]])</f>
        <v>109</v>
      </c>
    </row>
    <row r="217" spans="2:5" x14ac:dyDescent="0.3">
      <c r="B217" t="s">
        <v>13</v>
      </c>
      <c r="C217" t="s">
        <v>208</v>
      </c>
      <c r="D217" s="16" t="s">
        <v>324</v>
      </c>
      <c r="E217">
        <f>LEN(Tabla1[[#This Row],[Categorías]])</f>
        <v>101</v>
      </c>
    </row>
    <row r="218" spans="2:5" x14ac:dyDescent="0.3">
      <c r="B218" t="s">
        <v>325</v>
      </c>
      <c r="C218" t="s">
        <v>208</v>
      </c>
      <c r="D218" s="16" t="s">
        <v>324</v>
      </c>
      <c r="E218">
        <f>LEN(Tabla1[[#This Row],[Categorías]])</f>
        <v>101</v>
      </c>
    </row>
    <row r="219" spans="2:5" x14ac:dyDescent="0.3">
      <c r="B219" t="s">
        <v>443</v>
      </c>
      <c r="C219" t="s">
        <v>208</v>
      </c>
      <c r="E219">
        <f>LEN(Tabla1[[#This Row],[Categorías]])</f>
        <v>101</v>
      </c>
    </row>
    <row r="220" spans="2:5" x14ac:dyDescent="0.3">
      <c r="B220" t="s">
        <v>13</v>
      </c>
      <c r="C220" t="s">
        <v>104</v>
      </c>
      <c r="D220" s="16" t="s">
        <v>324</v>
      </c>
      <c r="E220">
        <f>LEN(Tabla1[[#This Row],[Categorías]])</f>
        <v>101</v>
      </c>
    </row>
    <row r="221" spans="2:5" x14ac:dyDescent="0.3">
      <c r="B221" t="s">
        <v>325</v>
      </c>
      <c r="C221" t="s">
        <v>104</v>
      </c>
      <c r="D221" s="16" t="s">
        <v>324</v>
      </c>
      <c r="E221">
        <f>LEN(Tabla1[[#This Row],[Categorías]])</f>
        <v>101</v>
      </c>
    </row>
    <row r="222" spans="2:5" x14ac:dyDescent="0.3">
      <c r="B222" t="s">
        <v>443</v>
      </c>
      <c r="C222" t="s">
        <v>104</v>
      </c>
      <c r="E222">
        <f>LEN(Tabla1[[#This Row],[Categorías]])</f>
        <v>101</v>
      </c>
    </row>
    <row r="223" spans="2:5" x14ac:dyDescent="0.3">
      <c r="B223" t="s">
        <v>13</v>
      </c>
      <c r="C223" t="s">
        <v>248</v>
      </c>
      <c r="D223" s="16" t="s">
        <v>324</v>
      </c>
      <c r="E223">
        <f>LEN(Tabla1[[#This Row],[Categorías]])</f>
        <v>91</v>
      </c>
    </row>
    <row r="224" spans="2:5" x14ac:dyDescent="0.3">
      <c r="B224" t="s">
        <v>325</v>
      </c>
      <c r="C224" t="s">
        <v>248</v>
      </c>
      <c r="D224" s="16" t="s">
        <v>324</v>
      </c>
      <c r="E224">
        <f>LEN(Tabla1[[#This Row],[Categorías]])</f>
        <v>91</v>
      </c>
    </row>
    <row r="225" spans="2:5" x14ac:dyDescent="0.3">
      <c r="B225" t="s">
        <v>443</v>
      </c>
      <c r="C225" t="s">
        <v>248</v>
      </c>
      <c r="E225">
        <f>LEN(Tabla1[[#This Row],[Categorías]])</f>
        <v>91</v>
      </c>
    </row>
    <row r="226" spans="2:5" x14ac:dyDescent="0.3">
      <c r="B226" t="s">
        <v>13</v>
      </c>
      <c r="C226" t="s">
        <v>103</v>
      </c>
      <c r="D226" s="16" t="s">
        <v>324</v>
      </c>
      <c r="E226">
        <f>LEN(Tabla1[[#This Row],[Categorías]])</f>
        <v>175</v>
      </c>
    </row>
    <row r="227" spans="2:5" x14ac:dyDescent="0.3">
      <c r="B227" t="s">
        <v>325</v>
      </c>
      <c r="C227" t="s">
        <v>103</v>
      </c>
      <c r="D227" s="16" t="s">
        <v>324</v>
      </c>
      <c r="E227">
        <f>LEN(Tabla1[[#This Row],[Categorías]])</f>
        <v>175</v>
      </c>
    </row>
    <row r="228" spans="2:5" x14ac:dyDescent="0.3">
      <c r="B228" t="s">
        <v>443</v>
      </c>
      <c r="C228" t="s">
        <v>103</v>
      </c>
      <c r="E228">
        <f>LEN(Tabla1[[#This Row],[Categorías]])</f>
        <v>175</v>
      </c>
    </row>
    <row r="229" spans="2:5" x14ac:dyDescent="0.3">
      <c r="B229" t="s">
        <v>13</v>
      </c>
      <c r="C229" t="s">
        <v>247</v>
      </c>
      <c r="D229" s="16" t="s">
        <v>324</v>
      </c>
      <c r="E229">
        <f>LEN(Tabla1[[#This Row],[Categorías]])</f>
        <v>127</v>
      </c>
    </row>
    <row r="230" spans="2:5" x14ac:dyDescent="0.3">
      <c r="B230" t="s">
        <v>325</v>
      </c>
      <c r="C230" t="s">
        <v>247</v>
      </c>
      <c r="D230" s="16" t="s">
        <v>324</v>
      </c>
      <c r="E230">
        <f>LEN(Tabla1[[#This Row],[Categorías]])</f>
        <v>127</v>
      </c>
    </row>
    <row r="231" spans="2:5" x14ac:dyDescent="0.3">
      <c r="B231" t="s">
        <v>13</v>
      </c>
      <c r="C231" t="s">
        <v>100</v>
      </c>
      <c r="D231" s="16" t="s">
        <v>324</v>
      </c>
      <c r="E231">
        <f>LEN(Tabla1[[#This Row],[Categorías]])</f>
        <v>143</v>
      </c>
    </row>
    <row r="232" spans="2:5" x14ac:dyDescent="0.3">
      <c r="B232" t="s">
        <v>325</v>
      </c>
      <c r="C232" t="s">
        <v>100</v>
      </c>
      <c r="D232" s="16" t="s">
        <v>324</v>
      </c>
      <c r="E232">
        <f>LEN(Tabla1[[#This Row],[Categorías]])</f>
        <v>143</v>
      </c>
    </row>
    <row r="233" spans="2:5" x14ac:dyDescent="0.3">
      <c r="B233" t="s">
        <v>443</v>
      </c>
      <c r="C233" t="s">
        <v>100</v>
      </c>
      <c r="E233">
        <f>LEN(Tabla1[[#This Row],[Categorías]])</f>
        <v>143</v>
      </c>
    </row>
    <row r="234" spans="2:5" x14ac:dyDescent="0.3">
      <c r="B234" t="s">
        <v>13</v>
      </c>
      <c r="C234" t="s">
        <v>99</v>
      </c>
      <c r="D234" s="16" t="s">
        <v>324</v>
      </c>
      <c r="E234">
        <f>LEN(Tabla1[[#This Row],[Categorías]])</f>
        <v>115</v>
      </c>
    </row>
    <row r="235" spans="2:5" x14ac:dyDescent="0.3">
      <c r="B235" t="s">
        <v>325</v>
      </c>
      <c r="C235" t="s">
        <v>99</v>
      </c>
      <c r="D235" s="16" t="s">
        <v>324</v>
      </c>
      <c r="E235">
        <f>LEN(Tabla1[[#This Row],[Categorías]])</f>
        <v>115</v>
      </c>
    </row>
    <row r="236" spans="2:5" x14ac:dyDescent="0.3">
      <c r="B236" t="s">
        <v>443</v>
      </c>
      <c r="C236" t="s">
        <v>99</v>
      </c>
      <c r="E236">
        <f>LEN(Tabla1[[#This Row],[Categorías]])</f>
        <v>115</v>
      </c>
    </row>
    <row r="237" spans="2:5" x14ac:dyDescent="0.3">
      <c r="B237" t="s">
        <v>13</v>
      </c>
      <c r="C237" t="s">
        <v>102</v>
      </c>
      <c r="D237" s="16" t="s">
        <v>324</v>
      </c>
      <c r="E237">
        <f>LEN(Tabla1[[#This Row],[Categorías]])</f>
        <v>110</v>
      </c>
    </row>
    <row r="238" spans="2:5" x14ac:dyDescent="0.3">
      <c r="B238" t="s">
        <v>325</v>
      </c>
      <c r="C238" t="s">
        <v>102</v>
      </c>
      <c r="D238" s="16" t="s">
        <v>324</v>
      </c>
      <c r="E238">
        <f>LEN(Tabla1[[#This Row],[Categorías]])</f>
        <v>110</v>
      </c>
    </row>
    <row r="239" spans="2:5" x14ac:dyDescent="0.3">
      <c r="B239" t="s">
        <v>443</v>
      </c>
      <c r="C239" t="s">
        <v>102</v>
      </c>
      <c r="E239">
        <f>LEN(Tabla1[[#This Row],[Categorías]])</f>
        <v>110</v>
      </c>
    </row>
    <row r="240" spans="2:5" x14ac:dyDescent="0.3">
      <c r="B240" t="s">
        <v>13</v>
      </c>
      <c r="C240" t="s">
        <v>306</v>
      </c>
      <c r="D240" s="16" t="s">
        <v>324</v>
      </c>
      <c r="E240">
        <f>LEN(Tabla1[[#This Row],[Categorías]])</f>
        <v>111</v>
      </c>
    </row>
    <row r="241" spans="2:5" x14ac:dyDescent="0.3">
      <c r="B241" t="s">
        <v>325</v>
      </c>
      <c r="C241" t="s">
        <v>306</v>
      </c>
      <c r="D241" s="16" t="s">
        <v>324</v>
      </c>
      <c r="E241">
        <f>LEN(Tabla1[[#This Row],[Categorías]])</f>
        <v>111</v>
      </c>
    </row>
    <row r="242" spans="2:5" x14ac:dyDescent="0.3">
      <c r="B242" t="s">
        <v>443</v>
      </c>
      <c r="C242" t="s">
        <v>306</v>
      </c>
      <c r="E242">
        <f>LEN(Tabla1[[#This Row],[Categorías]])</f>
        <v>111</v>
      </c>
    </row>
    <row r="243" spans="2:5" x14ac:dyDescent="0.3">
      <c r="B243" t="s">
        <v>325</v>
      </c>
      <c r="C243" t="s">
        <v>396</v>
      </c>
      <c r="D243" s="16" t="s">
        <v>324</v>
      </c>
      <c r="E243">
        <f>LEN(Tabla1[[#This Row],[Categorías]])</f>
        <v>40</v>
      </c>
    </row>
    <row r="244" spans="2:5" x14ac:dyDescent="0.3">
      <c r="B244" t="s">
        <v>13</v>
      </c>
      <c r="C244" t="s">
        <v>322</v>
      </c>
      <c r="D244" s="16" t="s">
        <v>324</v>
      </c>
      <c r="E244">
        <f>LEN(Tabla1[[#This Row],[Categorías]])</f>
        <v>76</v>
      </c>
    </row>
    <row r="245" spans="2:5" x14ac:dyDescent="0.3">
      <c r="B245" t="s">
        <v>325</v>
      </c>
      <c r="C245" t="s">
        <v>322</v>
      </c>
      <c r="D245" s="16" t="s">
        <v>324</v>
      </c>
      <c r="E245">
        <f>LEN(Tabla1[[#This Row],[Categorías]])</f>
        <v>76</v>
      </c>
    </row>
    <row r="246" spans="2:5" x14ac:dyDescent="0.3">
      <c r="B246" t="s">
        <v>13</v>
      </c>
      <c r="C246" t="s">
        <v>161</v>
      </c>
      <c r="D246" s="16" t="s">
        <v>324</v>
      </c>
      <c r="E246">
        <f>LEN(Tabla1[[#This Row],[Categorías]])</f>
        <v>127</v>
      </c>
    </row>
    <row r="247" spans="2:5" x14ac:dyDescent="0.3">
      <c r="B247" t="s">
        <v>325</v>
      </c>
      <c r="C247" t="s">
        <v>161</v>
      </c>
      <c r="D247" s="16" t="s">
        <v>324</v>
      </c>
      <c r="E247">
        <f>LEN(Tabla1[[#This Row],[Categorías]])</f>
        <v>127</v>
      </c>
    </row>
    <row r="248" spans="2:5" x14ac:dyDescent="0.3">
      <c r="B248" t="s">
        <v>443</v>
      </c>
      <c r="C248" t="s">
        <v>161</v>
      </c>
      <c r="E248">
        <f>LEN(Tabla1[[#This Row],[Categorías]])</f>
        <v>127</v>
      </c>
    </row>
    <row r="249" spans="2:5" x14ac:dyDescent="0.3">
      <c r="B249" t="s">
        <v>13</v>
      </c>
      <c r="C249" t="s">
        <v>162</v>
      </c>
      <c r="D249" s="16" t="s">
        <v>324</v>
      </c>
      <c r="E249">
        <f>LEN(Tabla1[[#This Row],[Categorías]])</f>
        <v>105</v>
      </c>
    </row>
    <row r="250" spans="2:5" x14ac:dyDescent="0.3">
      <c r="B250" t="s">
        <v>325</v>
      </c>
      <c r="C250" t="s">
        <v>162</v>
      </c>
      <c r="D250" s="16" t="s">
        <v>324</v>
      </c>
      <c r="E250">
        <f>LEN(Tabla1[[#This Row],[Categorías]])</f>
        <v>105</v>
      </c>
    </row>
    <row r="251" spans="2:5" x14ac:dyDescent="0.3">
      <c r="B251" t="s">
        <v>443</v>
      </c>
      <c r="C251" t="s">
        <v>162</v>
      </c>
      <c r="E251">
        <f>LEN(Tabla1[[#This Row],[Categorías]])</f>
        <v>105</v>
      </c>
    </row>
    <row r="252" spans="2:5" x14ac:dyDescent="0.3">
      <c r="B252" t="s">
        <v>13</v>
      </c>
      <c r="C252" t="s">
        <v>163</v>
      </c>
      <c r="D252" s="16" t="s">
        <v>324</v>
      </c>
      <c r="E252">
        <f>LEN(Tabla1[[#This Row],[Categorías]])</f>
        <v>150</v>
      </c>
    </row>
    <row r="253" spans="2:5" x14ac:dyDescent="0.3">
      <c r="B253" t="s">
        <v>325</v>
      </c>
      <c r="C253" t="s">
        <v>163</v>
      </c>
      <c r="D253" s="16" t="s">
        <v>324</v>
      </c>
      <c r="E253">
        <f>LEN(Tabla1[[#This Row],[Categorías]])</f>
        <v>150</v>
      </c>
    </row>
    <row r="254" spans="2:5" x14ac:dyDescent="0.3">
      <c r="B254" t="s">
        <v>443</v>
      </c>
      <c r="C254" t="s">
        <v>163</v>
      </c>
      <c r="E254">
        <f>LEN(Tabla1[[#This Row],[Categorías]])</f>
        <v>150</v>
      </c>
    </row>
    <row r="255" spans="2:5" x14ac:dyDescent="0.3">
      <c r="B255" t="s">
        <v>13</v>
      </c>
      <c r="C255" t="s">
        <v>215</v>
      </c>
      <c r="D255" s="16" t="s">
        <v>324</v>
      </c>
      <c r="E255">
        <f>LEN(Tabla1[[#This Row],[Categorías]])</f>
        <v>94</v>
      </c>
    </row>
    <row r="256" spans="2:5" x14ac:dyDescent="0.3">
      <c r="B256" t="s">
        <v>325</v>
      </c>
      <c r="C256" t="s">
        <v>215</v>
      </c>
      <c r="D256" s="16" t="s">
        <v>324</v>
      </c>
      <c r="E256">
        <f>LEN(Tabla1[[#This Row],[Categorías]])</f>
        <v>94</v>
      </c>
    </row>
    <row r="257" spans="2:5" x14ac:dyDescent="0.3">
      <c r="B257" t="s">
        <v>443</v>
      </c>
      <c r="C257" t="s">
        <v>215</v>
      </c>
      <c r="E257">
        <f>LEN(Tabla1[[#This Row],[Categorías]])</f>
        <v>94</v>
      </c>
    </row>
    <row r="258" spans="2:5" x14ac:dyDescent="0.3">
      <c r="B258" t="s">
        <v>13</v>
      </c>
      <c r="C258" t="s">
        <v>165</v>
      </c>
      <c r="D258" s="16" t="s">
        <v>324</v>
      </c>
      <c r="E258">
        <f>LEN(Tabla1[[#This Row],[Categorías]])</f>
        <v>94</v>
      </c>
    </row>
    <row r="259" spans="2:5" x14ac:dyDescent="0.3">
      <c r="B259" t="s">
        <v>325</v>
      </c>
      <c r="C259" t="s">
        <v>165</v>
      </c>
      <c r="D259" s="16" t="s">
        <v>324</v>
      </c>
      <c r="E259">
        <f>LEN(Tabla1[[#This Row],[Categorías]])</f>
        <v>94</v>
      </c>
    </row>
    <row r="260" spans="2:5" x14ac:dyDescent="0.3">
      <c r="B260" t="s">
        <v>443</v>
      </c>
      <c r="C260" t="s">
        <v>165</v>
      </c>
      <c r="E260">
        <f>LEN(Tabla1[[#This Row],[Categorías]])</f>
        <v>94</v>
      </c>
    </row>
    <row r="261" spans="2:5" x14ac:dyDescent="0.3">
      <c r="B261" t="s">
        <v>13</v>
      </c>
      <c r="C261" t="s">
        <v>164</v>
      </c>
      <c r="D261" s="16" t="s">
        <v>324</v>
      </c>
      <c r="E261">
        <f>LEN(Tabla1[[#This Row],[Categorías]])</f>
        <v>161</v>
      </c>
    </row>
    <row r="262" spans="2:5" x14ac:dyDescent="0.3">
      <c r="B262" t="s">
        <v>325</v>
      </c>
      <c r="C262" t="s">
        <v>164</v>
      </c>
      <c r="D262" s="16" t="s">
        <v>324</v>
      </c>
      <c r="E262">
        <f>LEN(Tabla1[[#This Row],[Categorías]])</f>
        <v>161</v>
      </c>
    </row>
    <row r="263" spans="2:5" x14ac:dyDescent="0.3">
      <c r="B263" t="s">
        <v>443</v>
      </c>
      <c r="C263" t="s">
        <v>164</v>
      </c>
      <c r="E263">
        <f>LEN(Tabla1[[#This Row],[Categorías]])</f>
        <v>161</v>
      </c>
    </row>
    <row r="264" spans="2:5" x14ac:dyDescent="0.3">
      <c r="B264" t="s">
        <v>325</v>
      </c>
      <c r="C264" t="s">
        <v>377</v>
      </c>
      <c r="D264" s="16" t="s">
        <v>324</v>
      </c>
      <c r="E264">
        <f>LEN(Tabla1[[#This Row],[Categorías]])</f>
        <v>68</v>
      </c>
    </row>
    <row r="265" spans="2:5" x14ac:dyDescent="0.3">
      <c r="B265" t="s">
        <v>443</v>
      </c>
      <c r="C265" t="s">
        <v>377</v>
      </c>
      <c r="E265">
        <f>LEN(Tabla1[[#This Row],[Categorías]])</f>
        <v>68</v>
      </c>
    </row>
    <row r="266" spans="2:5" x14ac:dyDescent="0.3">
      <c r="B266" t="s">
        <v>325</v>
      </c>
      <c r="C266" t="s">
        <v>398</v>
      </c>
      <c r="D266" s="16" t="s">
        <v>324</v>
      </c>
      <c r="E266">
        <f>LEN(Tabla1[[#This Row],[Categorías]])</f>
        <v>35</v>
      </c>
    </row>
    <row r="267" spans="2:5" x14ac:dyDescent="0.3">
      <c r="B267" t="s">
        <v>325</v>
      </c>
      <c r="C267" t="s">
        <v>409</v>
      </c>
      <c r="D267" s="16" t="s">
        <v>324</v>
      </c>
      <c r="E267">
        <f>LEN(Tabla1[[#This Row],[Categorías]])</f>
        <v>47</v>
      </c>
    </row>
    <row r="268" spans="2:5" x14ac:dyDescent="0.3">
      <c r="B268" t="s">
        <v>13</v>
      </c>
      <c r="C268" t="s">
        <v>115</v>
      </c>
      <c r="D268" s="16" t="s">
        <v>324</v>
      </c>
      <c r="E268">
        <f>LEN(Tabla1[[#This Row],[Categorías]])</f>
        <v>34</v>
      </c>
    </row>
    <row r="269" spans="2:5" x14ac:dyDescent="0.3">
      <c r="B269" t="s">
        <v>325</v>
      </c>
      <c r="C269" t="s">
        <v>115</v>
      </c>
      <c r="D269" s="16" t="s">
        <v>324</v>
      </c>
      <c r="E269">
        <f>LEN(Tabla1[[#This Row],[Categorías]])</f>
        <v>34</v>
      </c>
    </row>
    <row r="270" spans="2:5" x14ac:dyDescent="0.3">
      <c r="B270" t="s">
        <v>443</v>
      </c>
      <c r="C270" t="s">
        <v>115</v>
      </c>
      <c r="E270">
        <f>LEN(Tabla1[[#This Row],[Categorías]])</f>
        <v>34</v>
      </c>
    </row>
    <row r="271" spans="2:5" x14ac:dyDescent="0.3">
      <c r="B271" t="s">
        <v>13</v>
      </c>
      <c r="C271" t="s">
        <v>138</v>
      </c>
      <c r="D271" s="16" t="s">
        <v>324</v>
      </c>
      <c r="E271">
        <f>LEN(Tabla1[[#This Row],[Categorías]])</f>
        <v>19</v>
      </c>
    </row>
    <row r="272" spans="2:5" x14ac:dyDescent="0.3">
      <c r="B272" t="s">
        <v>325</v>
      </c>
      <c r="C272" t="s">
        <v>138</v>
      </c>
      <c r="D272" s="16" t="s">
        <v>324</v>
      </c>
      <c r="E272">
        <f>LEN(Tabla1[[#This Row],[Categorías]])</f>
        <v>19</v>
      </c>
    </row>
    <row r="273" spans="2:5" x14ac:dyDescent="0.3">
      <c r="B273" t="s">
        <v>443</v>
      </c>
      <c r="C273" t="s">
        <v>138</v>
      </c>
      <c r="E273">
        <f>LEN(Tabla1[[#This Row],[Categorías]])</f>
        <v>19</v>
      </c>
    </row>
    <row r="274" spans="2:5" x14ac:dyDescent="0.3">
      <c r="B274" t="s">
        <v>325</v>
      </c>
      <c r="C274" t="s">
        <v>434</v>
      </c>
      <c r="D274" s="16" t="s">
        <v>324</v>
      </c>
      <c r="E274">
        <f>LEN(Tabla1[[#This Row],[Categorías]])</f>
        <v>126</v>
      </c>
    </row>
    <row r="275" spans="2:5" x14ac:dyDescent="0.3">
      <c r="B275" t="s">
        <v>325</v>
      </c>
      <c r="C275" t="s">
        <v>412</v>
      </c>
      <c r="D275" s="16" t="s">
        <v>324</v>
      </c>
      <c r="E275">
        <f>LEN(Tabla1[[#This Row],[Categorías]])</f>
        <v>67</v>
      </c>
    </row>
    <row r="276" spans="2:5" x14ac:dyDescent="0.3">
      <c r="B276" t="s">
        <v>325</v>
      </c>
      <c r="C276" t="s">
        <v>441</v>
      </c>
      <c r="D276" s="16" t="s">
        <v>324</v>
      </c>
      <c r="E276">
        <f>LEN(Tabla1[[#This Row],[Categorías]])</f>
        <v>54</v>
      </c>
    </row>
    <row r="277" spans="2:5" x14ac:dyDescent="0.3">
      <c r="B277" t="s">
        <v>325</v>
      </c>
      <c r="C277" t="s">
        <v>411</v>
      </c>
      <c r="D277" s="16" t="s">
        <v>324</v>
      </c>
      <c r="E277">
        <f>LEN(Tabla1[[#This Row],[Categorías]])</f>
        <v>50</v>
      </c>
    </row>
    <row r="278" spans="2:5" x14ac:dyDescent="0.3">
      <c r="B278" t="s">
        <v>325</v>
      </c>
      <c r="C278" t="s">
        <v>378</v>
      </c>
      <c r="D278" s="16" t="s">
        <v>324</v>
      </c>
      <c r="E278">
        <f>LEN(Tabla1[[#This Row],[Categorías]])</f>
        <v>80</v>
      </c>
    </row>
    <row r="279" spans="2:5" x14ac:dyDescent="0.3">
      <c r="B279" t="s">
        <v>443</v>
      </c>
      <c r="C279" t="s">
        <v>378</v>
      </c>
      <c r="E279">
        <f>LEN(Tabla1[[#This Row],[Categorías]])</f>
        <v>80</v>
      </c>
    </row>
    <row r="280" spans="2:5" x14ac:dyDescent="0.3">
      <c r="B280" t="s">
        <v>13</v>
      </c>
      <c r="C280" t="s">
        <v>114</v>
      </c>
      <c r="D280" s="16" t="s">
        <v>324</v>
      </c>
      <c r="E280">
        <f>LEN(Tabla1[[#This Row],[Categorías]])</f>
        <v>48</v>
      </c>
    </row>
    <row r="281" spans="2:5" x14ac:dyDescent="0.3">
      <c r="B281" t="s">
        <v>325</v>
      </c>
      <c r="C281" t="s">
        <v>114</v>
      </c>
      <c r="D281" s="16" t="s">
        <v>324</v>
      </c>
      <c r="E281">
        <f>LEN(Tabla1[[#This Row],[Categorías]])</f>
        <v>48</v>
      </c>
    </row>
    <row r="282" spans="2:5" x14ac:dyDescent="0.3">
      <c r="B282" t="s">
        <v>443</v>
      </c>
      <c r="C282" t="s">
        <v>114</v>
      </c>
      <c r="E282">
        <f>LEN(Tabla1[[#This Row],[Categorías]])</f>
        <v>48</v>
      </c>
    </row>
    <row r="283" spans="2:5" x14ac:dyDescent="0.3">
      <c r="B283" t="s">
        <v>13</v>
      </c>
      <c r="C283" t="s">
        <v>317</v>
      </c>
      <c r="D283" s="16" t="s">
        <v>324</v>
      </c>
      <c r="E283">
        <f>LEN(Tabla1[[#This Row],[Categorías]])</f>
        <v>71</v>
      </c>
    </row>
    <row r="284" spans="2:5" x14ac:dyDescent="0.3">
      <c r="B284" t="s">
        <v>325</v>
      </c>
      <c r="C284" t="s">
        <v>317</v>
      </c>
      <c r="D284" s="16" t="s">
        <v>324</v>
      </c>
      <c r="E284">
        <f>LEN(Tabla1[[#This Row],[Categorías]])</f>
        <v>71</v>
      </c>
    </row>
    <row r="285" spans="2:5" x14ac:dyDescent="0.3">
      <c r="B285" t="s">
        <v>13</v>
      </c>
      <c r="C285" t="s">
        <v>118</v>
      </c>
      <c r="D285" s="16" t="s">
        <v>324</v>
      </c>
      <c r="E285">
        <f>LEN(Tabla1[[#This Row],[Categorías]])</f>
        <v>97</v>
      </c>
    </row>
    <row r="286" spans="2:5" x14ac:dyDescent="0.3">
      <c r="B286" t="s">
        <v>325</v>
      </c>
      <c r="C286" t="s">
        <v>118</v>
      </c>
      <c r="D286" s="16" t="s">
        <v>324</v>
      </c>
      <c r="E286">
        <f>LEN(Tabla1[[#This Row],[Categorías]])</f>
        <v>97</v>
      </c>
    </row>
    <row r="287" spans="2:5" x14ac:dyDescent="0.3">
      <c r="B287" t="s">
        <v>443</v>
      </c>
      <c r="C287" t="s">
        <v>118</v>
      </c>
      <c r="E287">
        <f>LEN(Tabla1[[#This Row],[Categorías]])</f>
        <v>97</v>
      </c>
    </row>
    <row r="288" spans="2:5" x14ac:dyDescent="0.3">
      <c r="B288" t="s">
        <v>13</v>
      </c>
      <c r="C288" t="s">
        <v>210</v>
      </c>
      <c r="D288" s="16" t="s">
        <v>324</v>
      </c>
      <c r="E288">
        <f>LEN(Tabla1[[#This Row],[Categorías]])</f>
        <v>89</v>
      </c>
    </row>
    <row r="289" spans="2:5" x14ac:dyDescent="0.3">
      <c r="B289" t="s">
        <v>325</v>
      </c>
      <c r="C289" t="s">
        <v>210</v>
      </c>
      <c r="D289" s="16" t="s">
        <v>324</v>
      </c>
      <c r="E289">
        <f>LEN(Tabla1[[#This Row],[Categorías]])</f>
        <v>89</v>
      </c>
    </row>
    <row r="290" spans="2:5" x14ac:dyDescent="0.3">
      <c r="B290" t="s">
        <v>443</v>
      </c>
      <c r="C290" t="s">
        <v>210</v>
      </c>
      <c r="E290">
        <f>LEN(Tabla1[[#This Row],[Categorías]])</f>
        <v>89</v>
      </c>
    </row>
    <row r="291" spans="2:5" x14ac:dyDescent="0.3">
      <c r="B291" t="s">
        <v>13</v>
      </c>
      <c r="C291" t="s">
        <v>121</v>
      </c>
      <c r="D291" s="16" t="s">
        <v>324</v>
      </c>
      <c r="E291">
        <f>LEN(Tabla1[[#This Row],[Categorías]])</f>
        <v>89</v>
      </c>
    </row>
    <row r="292" spans="2:5" x14ac:dyDescent="0.3">
      <c r="B292" t="s">
        <v>325</v>
      </c>
      <c r="C292" t="s">
        <v>121</v>
      </c>
      <c r="D292" s="16" t="s">
        <v>324</v>
      </c>
      <c r="E292">
        <f>LEN(Tabla1[[#This Row],[Categorías]])</f>
        <v>89</v>
      </c>
    </row>
    <row r="293" spans="2:5" x14ac:dyDescent="0.3">
      <c r="B293" t="s">
        <v>443</v>
      </c>
      <c r="C293" t="s">
        <v>121</v>
      </c>
      <c r="E293">
        <f>LEN(Tabla1[[#This Row],[Categorías]])</f>
        <v>89</v>
      </c>
    </row>
    <row r="294" spans="2:5" x14ac:dyDescent="0.3">
      <c r="B294" t="s">
        <v>13</v>
      </c>
      <c r="C294" t="s">
        <v>120</v>
      </c>
      <c r="D294" s="16" t="s">
        <v>324</v>
      </c>
      <c r="E294">
        <f>LEN(Tabla1[[#This Row],[Categorías]])</f>
        <v>151</v>
      </c>
    </row>
    <row r="295" spans="2:5" x14ac:dyDescent="0.3">
      <c r="B295" t="s">
        <v>325</v>
      </c>
      <c r="C295" t="s">
        <v>120</v>
      </c>
      <c r="D295" s="16" t="s">
        <v>324</v>
      </c>
      <c r="E295">
        <f>LEN(Tabla1[[#This Row],[Categorías]])</f>
        <v>151</v>
      </c>
    </row>
    <row r="296" spans="2:5" x14ac:dyDescent="0.3">
      <c r="B296" t="s">
        <v>443</v>
      </c>
      <c r="C296" t="s">
        <v>120</v>
      </c>
      <c r="E296">
        <f>LEN(Tabla1[[#This Row],[Categorías]])</f>
        <v>151</v>
      </c>
    </row>
    <row r="297" spans="2:5" x14ac:dyDescent="0.3">
      <c r="B297" t="s">
        <v>13</v>
      </c>
      <c r="C297" t="s">
        <v>116</v>
      </c>
      <c r="D297" s="16" t="s">
        <v>324</v>
      </c>
      <c r="E297">
        <f>LEN(Tabla1[[#This Row],[Categorías]])</f>
        <v>100</v>
      </c>
    </row>
    <row r="298" spans="2:5" x14ac:dyDescent="0.3">
      <c r="B298" t="s">
        <v>325</v>
      </c>
      <c r="C298" t="s">
        <v>116</v>
      </c>
      <c r="D298" s="16" t="s">
        <v>324</v>
      </c>
      <c r="E298">
        <f>LEN(Tabla1[[#This Row],[Categorías]])</f>
        <v>100</v>
      </c>
    </row>
    <row r="299" spans="2:5" x14ac:dyDescent="0.3">
      <c r="B299" t="s">
        <v>443</v>
      </c>
      <c r="C299" t="s">
        <v>116</v>
      </c>
      <c r="E299">
        <f>LEN(Tabla1[[#This Row],[Categorías]])</f>
        <v>100</v>
      </c>
    </row>
    <row r="300" spans="2:5" x14ac:dyDescent="0.3">
      <c r="B300" t="s">
        <v>13</v>
      </c>
      <c r="C300" t="s">
        <v>117</v>
      </c>
      <c r="D300" s="16" t="s">
        <v>324</v>
      </c>
      <c r="E300">
        <f>LEN(Tabla1[[#This Row],[Categorías]])</f>
        <v>123</v>
      </c>
    </row>
    <row r="301" spans="2:5" x14ac:dyDescent="0.3">
      <c r="B301" t="s">
        <v>325</v>
      </c>
      <c r="C301" t="s">
        <v>117</v>
      </c>
      <c r="D301" s="16" t="s">
        <v>324</v>
      </c>
      <c r="E301">
        <f>LEN(Tabla1[[#This Row],[Categorías]])</f>
        <v>123</v>
      </c>
    </row>
    <row r="302" spans="2:5" x14ac:dyDescent="0.3">
      <c r="B302" t="s">
        <v>443</v>
      </c>
      <c r="C302" t="s">
        <v>117</v>
      </c>
      <c r="E302">
        <f>LEN(Tabla1[[#This Row],[Categorías]])</f>
        <v>123</v>
      </c>
    </row>
    <row r="303" spans="2:5" x14ac:dyDescent="0.3">
      <c r="B303" t="s">
        <v>13</v>
      </c>
      <c r="C303" t="s">
        <v>119</v>
      </c>
      <c r="D303" s="16" t="s">
        <v>324</v>
      </c>
      <c r="E303">
        <f>LEN(Tabla1[[#This Row],[Categorías]])</f>
        <v>142</v>
      </c>
    </row>
    <row r="304" spans="2:5" x14ac:dyDescent="0.3">
      <c r="B304" t="s">
        <v>325</v>
      </c>
      <c r="C304" t="s">
        <v>119</v>
      </c>
      <c r="D304" s="16" t="s">
        <v>324</v>
      </c>
      <c r="E304">
        <f>LEN(Tabla1[[#This Row],[Categorías]])</f>
        <v>142</v>
      </c>
    </row>
    <row r="305" spans="2:5" x14ac:dyDescent="0.3">
      <c r="B305" t="s">
        <v>443</v>
      </c>
      <c r="C305" t="s">
        <v>119</v>
      </c>
      <c r="E305">
        <f>LEN(Tabla1[[#This Row],[Categorías]])</f>
        <v>142</v>
      </c>
    </row>
    <row r="306" spans="2:5" x14ac:dyDescent="0.3">
      <c r="B306" t="s">
        <v>13</v>
      </c>
      <c r="C306" t="s">
        <v>153</v>
      </c>
      <c r="D306" s="16" t="s">
        <v>324</v>
      </c>
      <c r="E306">
        <f>LEN(Tabla1[[#This Row],[Categorías]])</f>
        <v>39</v>
      </c>
    </row>
    <row r="307" spans="2:5" x14ac:dyDescent="0.3">
      <c r="B307" t="s">
        <v>325</v>
      </c>
      <c r="C307" t="s">
        <v>153</v>
      </c>
      <c r="D307" s="16" t="s">
        <v>324</v>
      </c>
      <c r="E307">
        <f>LEN(Tabla1[[#This Row],[Categorías]])</f>
        <v>39</v>
      </c>
    </row>
    <row r="308" spans="2:5" x14ac:dyDescent="0.3">
      <c r="B308" t="s">
        <v>443</v>
      </c>
      <c r="C308" t="s">
        <v>153</v>
      </c>
      <c r="E308">
        <f>LEN(Tabla1[[#This Row],[Categorías]])</f>
        <v>39</v>
      </c>
    </row>
    <row r="309" spans="2:5" x14ac:dyDescent="0.3">
      <c r="B309" t="s">
        <v>13</v>
      </c>
      <c r="C309" t="s">
        <v>313</v>
      </c>
      <c r="D309" s="16" t="s">
        <v>324</v>
      </c>
      <c r="E309">
        <f>LEN(Tabla1[[#This Row],[Categorías]])</f>
        <v>51</v>
      </c>
    </row>
    <row r="310" spans="2:5" x14ac:dyDescent="0.3">
      <c r="B310" t="s">
        <v>325</v>
      </c>
      <c r="C310" t="s">
        <v>313</v>
      </c>
      <c r="D310" s="16" t="s">
        <v>324</v>
      </c>
      <c r="E310">
        <f>LEN(Tabla1[[#This Row],[Categorías]])</f>
        <v>51</v>
      </c>
    </row>
    <row r="311" spans="2:5" x14ac:dyDescent="0.3">
      <c r="B311" t="s">
        <v>13</v>
      </c>
      <c r="C311" t="s">
        <v>69</v>
      </c>
      <c r="D311" s="16" t="s">
        <v>324</v>
      </c>
      <c r="E311">
        <f>LEN(Tabla1[[#This Row],[Categorías]])</f>
        <v>102</v>
      </c>
    </row>
    <row r="312" spans="2:5" x14ac:dyDescent="0.3">
      <c r="B312" t="s">
        <v>325</v>
      </c>
      <c r="C312" t="s">
        <v>69</v>
      </c>
      <c r="D312" s="16" t="s">
        <v>324</v>
      </c>
      <c r="E312">
        <f>LEN(Tabla1[[#This Row],[Categorías]])</f>
        <v>102</v>
      </c>
    </row>
    <row r="313" spans="2:5" x14ac:dyDescent="0.3">
      <c r="B313" t="s">
        <v>443</v>
      </c>
      <c r="C313" t="s">
        <v>69</v>
      </c>
      <c r="E313">
        <f>LEN(Tabla1[[#This Row],[Categorías]])</f>
        <v>102</v>
      </c>
    </row>
    <row r="314" spans="2:5" x14ac:dyDescent="0.3">
      <c r="B314" t="s">
        <v>13</v>
      </c>
      <c r="C314" t="s">
        <v>204</v>
      </c>
      <c r="D314" s="16" t="s">
        <v>324</v>
      </c>
      <c r="E314">
        <f>LEN(Tabla1[[#This Row],[Categorías]])</f>
        <v>69</v>
      </c>
    </row>
    <row r="315" spans="2:5" x14ac:dyDescent="0.3">
      <c r="B315" t="s">
        <v>325</v>
      </c>
      <c r="C315" t="s">
        <v>204</v>
      </c>
      <c r="D315" s="16" t="s">
        <v>324</v>
      </c>
      <c r="E315">
        <f>LEN(Tabla1[[#This Row],[Categorías]])</f>
        <v>69</v>
      </c>
    </row>
    <row r="316" spans="2:5" x14ac:dyDescent="0.3">
      <c r="B316" t="s">
        <v>443</v>
      </c>
      <c r="C316" t="s">
        <v>204</v>
      </c>
      <c r="E316">
        <f>LEN(Tabla1[[#This Row],[Categorías]])</f>
        <v>69</v>
      </c>
    </row>
    <row r="317" spans="2:5" x14ac:dyDescent="0.3">
      <c r="B317" t="s">
        <v>13</v>
      </c>
      <c r="C317" t="s">
        <v>72</v>
      </c>
      <c r="D317" s="16" t="s">
        <v>324</v>
      </c>
      <c r="E317">
        <f>LEN(Tabla1[[#This Row],[Categorías]])</f>
        <v>69</v>
      </c>
    </row>
    <row r="318" spans="2:5" x14ac:dyDescent="0.3">
      <c r="B318" t="s">
        <v>325</v>
      </c>
      <c r="C318" t="s">
        <v>72</v>
      </c>
      <c r="D318" s="16" t="s">
        <v>324</v>
      </c>
      <c r="E318">
        <f>LEN(Tabla1[[#This Row],[Categorías]])</f>
        <v>69</v>
      </c>
    </row>
    <row r="319" spans="2:5" x14ac:dyDescent="0.3">
      <c r="B319" t="s">
        <v>443</v>
      </c>
      <c r="C319" t="s">
        <v>72</v>
      </c>
      <c r="E319">
        <f>LEN(Tabla1[[#This Row],[Categorías]])</f>
        <v>69</v>
      </c>
    </row>
    <row r="320" spans="2:5" x14ac:dyDescent="0.3">
      <c r="B320" t="s">
        <v>13</v>
      </c>
      <c r="C320" t="s">
        <v>71</v>
      </c>
      <c r="D320" s="16" t="s">
        <v>324</v>
      </c>
      <c r="E320">
        <f>LEN(Tabla1[[#This Row],[Categorías]])</f>
        <v>111</v>
      </c>
    </row>
    <row r="321" spans="2:5" x14ac:dyDescent="0.3">
      <c r="B321" t="s">
        <v>325</v>
      </c>
      <c r="C321" t="s">
        <v>71</v>
      </c>
      <c r="D321" s="16" t="s">
        <v>324</v>
      </c>
      <c r="E321">
        <f>LEN(Tabla1[[#This Row],[Categorías]])</f>
        <v>111</v>
      </c>
    </row>
    <row r="322" spans="2:5" x14ac:dyDescent="0.3">
      <c r="B322" t="s">
        <v>443</v>
      </c>
      <c r="C322" t="s">
        <v>71</v>
      </c>
      <c r="E322">
        <f>LEN(Tabla1[[#This Row],[Categorías]])</f>
        <v>111</v>
      </c>
    </row>
    <row r="323" spans="2:5" x14ac:dyDescent="0.3">
      <c r="B323" t="s">
        <v>13</v>
      </c>
      <c r="C323" t="s">
        <v>70</v>
      </c>
      <c r="D323" s="16" t="s">
        <v>324</v>
      </c>
      <c r="E323">
        <f>LEN(Tabla1[[#This Row],[Categorías]])</f>
        <v>103</v>
      </c>
    </row>
    <row r="324" spans="2:5" x14ac:dyDescent="0.3">
      <c r="B324" t="s">
        <v>325</v>
      </c>
      <c r="C324" t="s">
        <v>70</v>
      </c>
      <c r="D324" s="16" t="s">
        <v>324</v>
      </c>
      <c r="E324">
        <f>LEN(Tabla1[[#This Row],[Categorías]])</f>
        <v>103</v>
      </c>
    </row>
    <row r="325" spans="2:5" x14ac:dyDescent="0.3">
      <c r="B325" t="s">
        <v>443</v>
      </c>
      <c r="C325" t="s">
        <v>70</v>
      </c>
      <c r="E325">
        <f>LEN(Tabla1[[#This Row],[Categorías]])</f>
        <v>103</v>
      </c>
    </row>
    <row r="326" spans="2:5" x14ac:dyDescent="0.3">
      <c r="B326" t="s">
        <v>13</v>
      </c>
      <c r="C326" t="s">
        <v>68</v>
      </c>
      <c r="D326" s="16" t="s">
        <v>324</v>
      </c>
      <c r="E326">
        <f>LEN(Tabla1[[#This Row],[Categorías]])</f>
        <v>98</v>
      </c>
    </row>
    <row r="327" spans="2:5" x14ac:dyDescent="0.3">
      <c r="B327" t="s">
        <v>325</v>
      </c>
      <c r="C327" t="s">
        <v>68</v>
      </c>
      <c r="D327" s="16" t="s">
        <v>324</v>
      </c>
      <c r="E327">
        <f>LEN(Tabla1[[#This Row],[Categorías]])</f>
        <v>98</v>
      </c>
    </row>
    <row r="328" spans="2:5" x14ac:dyDescent="0.3">
      <c r="B328" t="s">
        <v>443</v>
      </c>
      <c r="C328" t="s">
        <v>68</v>
      </c>
      <c r="E328">
        <f>LEN(Tabla1[[#This Row],[Categorías]])</f>
        <v>98</v>
      </c>
    </row>
    <row r="329" spans="2:5" x14ac:dyDescent="0.3">
      <c r="B329" t="s">
        <v>325</v>
      </c>
      <c r="C329" t="s">
        <v>407</v>
      </c>
      <c r="D329" s="16" t="s">
        <v>324</v>
      </c>
      <c r="E329">
        <f>LEN(Tabla1[[#This Row],[Categorías]])</f>
        <v>49</v>
      </c>
    </row>
    <row r="330" spans="2:5" x14ac:dyDescent="0.3">
      <c r="B330" t="s">
        <v>13</v>
      </c>
      <c r="C330" t="s">
        <v>154</v>
      </c>
      <c r="D330" s="16" t="s">
        <v>324</v>
      </c>
      <c r="E330">
        <f>LEN(Tabla1[[#This Row],[Categorías]])</f>
        <v>76</v>
      </c>
    </row>
    <row r="331" spans="2:5" x14ac:dyDescent="0.3">
      <c r="B331" t="s">
        <v>325</v>
      </c>
      <c r="C331" t="s">
        <v>154</v>
      </c>
      <c r="D331" s="16" t="s">
        <v>324</v>
      </c>
      <c r="E331">
        <f>LEN(Tabla1[[#This Row],[Categorías]])</f>
        <v>76</v>
      </c>
    </row>
    <row r="332" spans="2:5" x14ac:dyDescent="0.3">
      <c r="B332" t="s">
        <v>443</v>
      </c>
      <c r="C332" t="s">
        <v>154</v>
      </c>
      <c r="E332">
        <f>LEN(Tabla1[[#This Row],[Categorías]])</f>
        <v>76</v>
      </c>
    </row>
    <row r="333" spans="2:5" x14ac:dyDescent="0.3">
      <c r="B333" t="s">
        <v>13</v>
      </c>
      <c r="C333" t="s">
        <v>321</v>
      </c>
      <c r="D333" s="16" t="s">
        <v>324</v>
      </c>
      <c r="E333">
        <f>LEN(Tabla1[[#This Row],[Categorías]])</f>
        <v>31</v>
      </c>
    </row>
    <row r="334" spans="2:5" x14ac:dyDescent="0.3">
      <c r="B334" t="s">
        <v>325</v>
      </c>
      <c r="C334" t="s">
        <v>321</v>
      </c>
      <c r="D334" s="16" t="s">
        <v>324</v>
      </c>
      <c r="E334">
        <f>LEN(Tabla1[[#This Row],[Categorías]])</f>
        <v>31</v>
      </c>
    </row>
    <row r="335" spans="2:5" x14ac:dyDescent="0.3">
      <c r="B335" t="s">
        <v>13</v>
      </c>
      <c r="C335" t="s">
        <v>214</v>
      </c>
      <c r="D335" s="16" t="s">
        <v>324</v>
      </c>
      <c r="E335">
        <f>LEN(Tabla1[[#This Row],[Categorías]])</f>
        <v>49</v>
      </c>
    </row>
    <row r="336" spans="2:5" x14ac:dyDescent="0.3">
      <c r="B336" t="s">
        <v>325</v>
      </c>
      <c r="C336" t="s">
        <v>214</v>
      </c>
      <c r="D336" s="16" t="s">
        <v>324</v>
      </c>
      <c r="E336">
        <f>LEN(Tabla1[[#This Row],[Categorías]])</f>
        <v>49</v>
      </c>
    </row>
    <row r="337" spans="2:5" x14ac:dyDescent="0.3">
      <c r="B337" t="s">
        <v>443</v>
      </c>
      <c r="C337" t="s">
        <v>214</v>
      </c>
      <c r="E337">
        <f>LEN(Tabla1[[#This Row],[Categorías]])</f>
        <v>49</v>
      </c>
    </row>
    <row r="338" spans="2:5" x14ac:dyDescent="0.3">
      <c r="B338" t="s">
        <v>13</v>
      </c>
      <c r="C338" t="s">
        <v>152</v>
      </c>
      <c r="D338" s="16" t="s">
        <v>324</v>
      </c>
      <c r="E338">
        <f>LEN(Tabla1[[#This Row],[Categorías]])</f>
        <v>49</v>
      </c>
    </row>
    <row r="339" spans="2:5" x14ac:dyDescent="0.3">
      <c r="B339" t="s">
        <v>325</v>
      </c>
      <c r="C339" t="s">
        <v>152</v>
      </c>
      <c r="D339" s="16" t="s">
        <v>324</v>
      </c>
      <c r="E339">
        <f>LEN(Tabla1[[#This Row],[Categorías]])</f>
        <v>49</v>
      </c>
    </row>
    <row r="340" spans="2:5" x14ac:dyDescent="0.3">
      <c r="B340" t="s">
        <v>443</v>
      </c>
      <c r="C340" t="s">
        <v>152</v>
      </c>
      <c r="E340">
        <f>LEN(Tabla1[[#This Row],[Categorías]])</f>
        <v>49</v>
      </c>
    </row>
    <row r="341" spans="2:5" x14ac:dyDescent="0.3">
      <c r="B341" t="s">
        <v>13</v>
      </c>
      <c r="C341" t="s">
        <v>151</v>
      </c>
      <c r="D341" s="16" t="s">
        <v>324</v>
      </c>
      <c r="E341">
        <f>LEN(Tabla1[[#This Row],[Categorías]])</f>
        <v>71</v>
      </c>
    </row>
    <row r="342" spans="2:5" x14ac:dyDescent="0.3">
      <c r="B342" t="s">
        <v>325</v>
      </c>
      <c r="C342" t="s">
        <v>151</v>
      </c>
      <c r="D342" s="16" t="s">
        <v>324</v>
      </c>
      <c r="E342">
        <f>LEN(Tabla1[[#This Row],[Categorías]])</f>
        <v>71</v>
      </c>
    </row>
    <row r="343" spans="2:5" x14ac:dyDescent="0.3">
      <c r="B343" t="s">
        <v>443</v>
      </c>
      <c r="C343" t="s">
        <v>151</v>
      </c>
      <c r="E343">
        <f>LEN(Tabla1[[#This Row],[Categorías]])</f>
        <v>71</v>
      </c>
    </row>
    <row r="344" spans="2:5" x14ac:dyDescent="0.3">
      <c r="B344" t="s">
        <v>13</v>
      </c>
      <c r="C344" t="s">
        <v>150</v>
      </c>
      <c r="D344" s="16" t="s">
        <v>324</v>
      </c>
      <c r="E344">
        <f>LEN(Tabla1[[#This Row],[Categorías]])</f>
        <v>59</v>
      </c>
    </row>
    <row r="345" spans="2:5" x14ac:dyDescent="0.3">
      <c r="B345" t="s">
        <v>325</v>
      </c>
      <c r="C345" t="s">
        <v>150</v>
      </c>
      <c r="D345" s="16" t="s">
        <v>324</v>
      </c>
      <c r="E345">
        <f>LEN(Tabla1[[#This Row],[Categorías]])</f>
        <v>59</v>
      </c>
    </row>
    <row r="346" spans="2:5" x14ac:dyDescent="0.3">
      <c r="B346" t="s">
        <v>443</v>
      </c>
      <c r="C346" t="s">
        <v>150</v>
      </c>
      <c r="E346">
        <f>LEN(Tabla1[[#This Row],[Categorías]])</f>
        <v>59</v>
      </c>
    </row>
    <row r="347" spans="2:5" x14ac:dyDescent="0.3">
      <c r="B347" t="s">
        <v>13</v>
      </c>
      <c r="C347" t="s">
        <v>155</v>
      </c>
      <c r="D347" s="16" t="s">
        <v>324</v>
      </c>
      <c r="E347">
        <f>LEN(Tabla1[[#This Row],[Categorías]])</f>
        <v>42</v>
      </c>
    </row>
    <row r="348" spans="2:5" x14ac:dyDescent="0.3">
      <c r="B348" t="s">
        <v>325</v>
      </c>
      <c r="C348" t="s">
        <v>155</v>
      </c>
      <c r="D348" s="16" t="s">
        <v>324</v>
      </c>
      <c r="E348">
        <f>LEN(Tabla1[[#This Row],[Categorías]])</f>
        <v>42</v>
      </c>
    </row>
    <row r="349" spans="2:5" x14ac:dyDescent="0.3">
      <c r="B349" t="s">
        <v>443</v>
      </c>
      <c r="C349" t="s">
        <v>155</v>
      </c>
      <c r="E349">
        <f>LEN(Tabla1[[#This Row],[Categorías]])</f>
        <v>42</v>
      </c>
    </row>
    <row r="350" spans="2:5" x14ac:dyDescent="0.3">
      <c r="B350" t="s">
        <v>13</v>
      </c>
      <c r="C350" t="s">
        <v>149</v>
      </c>
      <c r="D350" s="16" t="s">
        <v>324</v>
      </c>
      <c r="E350">
        <f>LEN(Tabla1[[#This Row],[Categorías]])</f>
        <v>60</v>
      </c>
    </row>
    <row r="351" spans="2:5" x14ac:dyDescent="0.3">
      <c r="B351" t="s">
        <v>325</v>
      </c>
      <c r="C351" t="s">
        <v>149</v>
      </c>
      <c r="D351" s="16" t="s">
        <v>324</v>
      </c>
      <c r="E351">
        <f>LEN(Tabla1[[#This Row],[Categorías]])</f>
        <v>60</v>
      </c>
    </row>
    <row r="352" spans="2:5" x14ac:dyDescent="0.3">
      <c r="B352" t="s">
        <v>443</v>
      </c>
      <c r="C352" t="s">
        <v>149</v>
      </c>
      <c r="E352">
        <f>LEN(Tabla1[[#This Row],[Categorías]])</f>
        <v>60</v>
      </c>
    </row>
    <row r="353" spans="2:5" x14ac:dyDescent="0.3">
      <c r="B353" t="s">
        <v>13</v>
      </c>
      <c r="C353" t="s">
        <v>137</v>
      </c>
      <c r="D353" s="16" t="s">
        <v>324</v>
      </c>
      <c r="E353">
        <f>LEN(Tabla1[[#This Row],[Categorías]])</f>
        <v>25</v>
      </c>
    </row>
    <row r="354" spans="2:5" x14ac:dyDescent="0.3">
      <c r="B354" t="s">
        <v>325</v>
      </c>
      <c r="C354" t="s">
        <v>137</v>
      </c>
      <c r="D354" s="16" t="s">
        <v>324</v>
      </c>
      <c r="E354">
        <f>LEN(Tabla1[[#This Row],[Categorías]])</f>
        <v>25</v>
      </c>
    </row>
    <row r="355" spans="2:5" x14ac:dyDescent="0.3">
      <c r="B355" t="s">
        <v>443</v>
      </c>
      <c r="C355" t="s">
        <v>137</v>
      </c>
      <c r="E355">
        <f>LEN(Tabla1[[#This Row],[Categorías]])</f>
        <v>25</v>
      </c>
    </row>
    <row r="356" spans="2:5" x14ac:dyDescent="0.3">
      <c r="B356" t="s">
        <v>13</v>
      </c>
      <c r="C356" t="s">
        <v>316</v>
      </c>
      <c r="D356" s="16" t="s">
        <v>324</v>
      </c>
      <c r="E356">
        <f>LEN(Tabla1[[#This Row],[Categorías]])</f>
        <v>61</v>
      </c>
    </row>
    <row r="357" spans="2:5" x14ac:dyDescent="0.3">
      <c r="B357" t="s">
        <v>325</v>
      </c>
      <c r="C357" t="s">
        <v>316</v>
      </c>
      <c r="D357" s="16" t="s">
        <v>324</v>
      </c>
      <c r="E357">
        <f>LEN(Tabla1[[#This Row],[Categorías]])</f>
        <v>61</v>
      </c>
    </row>
    <row r="358" spans="2:5" x14ac:dyDescent="0.3">
      <c r="B358" t="s">
        <v>13</v>
      </c>
      <c r="C358" t="s">
        <v>108</v>
      </c>
      <c r="D358" s="16" t="s">
        <v>324</v>
      </c>
      <c r="E358">
        <f>LEN(Tabla1[[#This Row],[Categorías]])</f>
        <v>86</v>
      </c>
    </row>
    <row r="359" spans="2:5" x14ac:dyDescent="0.3">
      <c r="B359" t="s">
        <v>325</v>
      </c>
      <c r="C359" t="s">
        <v>108</v>
      </c>
      <c r="D359" s="16" t="s">
        <v>324</v>
      </c>
      <c r="E359">
        <f>LEN(Tabla1[[#This Row],[Categorías]])</f>
        <v>86</v>
      </c>
    </row>
    <row r="360" spans="2:5" x14ac:dyDescent="0.3">
      <c r="B360" t="s">
        <v>443</v>
      </c>
      <c r="C360" t="s">
        <v>108</v>
      </c>
      <c r="E360">
        <f>LEN(Tabla1[[#This Row],[Categorías]])</f>
        <v>86</v>
      </c>
    </row>
    <row r="361" spans="2:5" x14ac:dyDescent="0.3">
      <c r="B361" t="s">
        <v>13</v>
      </c>
      <c r="C361" t="s">
        <v>209</v>
      </c>
      <c r="D361" s="16" t="s">
        <v>324</v>
      </c>
      <c r="E361">
        <f>LEN(Tabla1[[#This Row],[Categorías]])</f>
        <v>79</v>
      </c>
    </row>
    <row r="362" spans="2:5" x14ac:dyDescent="0.3">
      <c r="B362" t="s">
        <v>325</v>
      </c>
      <c r="C362" t="s">
        <v>209</v>
      </c>
      <c r="D362" s="16" t="s">
        <v>324</v>
      </c>
      <c r="E362">
        <f>LEN(Tabla1[[#This Row],[Categorías]])</f>
        <v>79</v>
      </c>
    </row>
    <row r="363" spans="2:5" x14ac:dyDescent="0.3">
      <c r="B363" t="s">
        <v>443</v>
      </c>
      <c r="C363" t="s">
        <v>209</v>
      </c>
      <c r="E363">
        <f>LEN(Tabla1[[#This Row],[Categorías]])</f>
        <v>79</v>
      </c>
    </row>
    <row r="364" spans="2:5" x14ac:dyDescent="0.3">
      <c r="B364" t="s">
        <v>13</v>
      </c>
      <c r="C364" t="s">
        <v>112</v>
      </c>
      <c r="D364" s="16" t="s">
        <v>324</v>
      </c>
      <c r="E364">
        <f>LEN(Tabla1[[#This Row],[Categorías]])</f>
        <v>79</v>
      </c>
    </row>
    <row r="365" spans="2:5" x14ac:dyDescent="0.3">
      <c r="B365" t="s">
        <v>325</v>
      </c>
      <c r="C365" t="s">
        <v>112</v>
      </c>
      <c r="D365" s="16" t="s">
        <v>324</v>
      </c>
      <c r="E365">
        <f>LEN(Tabla1[[#This Row],[Categorías]])</f>
        <v>79</v>
      </c>
    </row>
    <row r="366" spans="2:5" x14ac:dyDescent="0.3">
      <c r="B366" t="s">
        <v>443</v>
      </c>
      <c r="C366" t="s">
        <v>112</v>
      </c>
      <c r="E366">
        <f>LEN(Tabla1[[#This Row],[Categorías]])</f>
        <v>79</v>
      </c>
    </row>
    <row r="367" spans="2:5" x14ac:dyDescent="0.3">
      <c r="B367" t="s">
        <v>13</v>
      </c>
      <c r="C367" t="s">
        <v>249</v>
      </c>
      <c r="D367" s="16" t="s">
        <v>324</v>
      </c>
      <c r="E367">
        <f>LEN(Tabla1[[#This Row],[Categorías]])</f>
        <v>69</v>
      </c>
    </row>
    <row r="368" spans="2:5" x14ac:dyDescent="0.3">
      <c r="B368" t="s">
        <v>325</v>
      </c>
      <c r="C368" t="s">
        <v>249</v>
      </c>
      <c r="D368" s="16" t="s">
        <v>324</v>
      </c>
      <c r="E368">
        <f>LEN(Tabla1[[#This Row],[Categorías]])</f>
        <v>69</v>
      </c>
    </row>
    <row r="369" spans="2:5" x14ac:dyDescent="0.3">
      <c r="B369" t="s">
        <v>13</v>
      </c>
      <c r="C369" t="s">
        <v>111</v>
      </c>
      <c r="D369" s="16" t="s">
        <v>324</v>
      </c>
      <c r="E369">
        <f>LEN(Tabla1[[#This Row],[Categorías]])</f>
        <v>131</v>
      </c>
    </row>
    <row r="370" spans="2:5" x14ac:dyDescent="0.3">
      <c r="B370" t="s">
        <v>325</v>
      </c>
      <c r="C370" t="s">
        <v>111</v>
      </c>
      <c r="D370" s="16" t="s">
        <v>324</v>
      </c>
      <c r="E370">
        <f>LEN(Tabla1[[#This Row],[Categorías]])</f>
        <v>131</v>
      </c>
    </row>
    <row r="371" spans="2:5" x14ac:dyDescent="0.3">
      <c r="B371" t="s">
        <v>443</v>
      </c>
      <c r="C371" t="s">
        <v>111</v>
      </c>
      <c r="E371">
        <f>LEN(Tabla1[[#This Row],[Categorías]])</f>
        <v>131</v>
      </c>
    </row>
    <row r="372" spans="2:5" x14ac:dyDescent="0.3">
      <c r="B372" t="s">
        <v>13</v>
      </c>
      <c r="C372" t="s">
        <v>110</v>
      </c>
      <c r="D372" s="16" t="s">
        <v>324</v>
      </c>
      <c r="E372">
        <f>LEN(Tabla1[[#This Row],[Categorías]])</f>
        <v>86</v>
      </c>
    </row>
    <row r="373" spans="2:5" x14ac:dyDescent="0.3">
      <c r="B373" t="s">
        <v>325</v>
      </c>
      <c r="C373" t="s">
        <v>110</v>
      </c>
      <c r="D373" s="16" t="s">
        <v>324</v>
      </c>
      <c r="E373">
        <f>LEN(Tabla1[[#This Row],[Categorías]])</f>
        <v>86</v>
      </c>
    </row>
    <row r="374" spans="2:5" x14ac:dyDescent="0.3">
      <c r="B374" t="s">
        <v>443</v>
      </c>
      <c r="C374" t="s">
        <v>110</v>
      </c>
      <c r="E374">
        <f>LEN(Tabla1[[#This Row],[Categorías]])</f>
        <v>86</v>
      </c>
    </row>
    <row r="375" spans="2:5" x14ac:dyDescent="0.3">
      <c r="B375" t="s">
        <v>13</v>
      </c>
      <c r="C375" t="s">
        <v>105</v>
      </c>
      <c r="D375" s="16" t="s">
        <v>324</v>
      </c>
      <c r="E375">
        <f>LEN(Tabla1[[#This Row],[Categorías]])</f>
        <v>88</v>
      </c>
    </row>
    <row r="376" spans="2:5" x14ac:dyDescent="0.3">
      <c r="B376" t="s">
        <v>325</v>
      </c>
      <c r="C376" t="s">
        <v>105</v>
      </c>
      <c r="D376" s="16" t="s">
        <v>324</v>
      </c>
      <c r="E376">
        <f>LEN(Tabla1[[#This Row],[Categorías]])</f>
        <v>88</v>
      </c>
    </row>
    <row r="377" spans="2:5" x14ac:dyDescent="0.3">
      <c r="B377" t="s">
        <v>443</v>
      </c>
      <c r="C377" t="s">
        <v>105</v>
      </c>
      <c r="E377">
        <f>LEN(Tabla1[[#This Row],[Categorías]])</f>
        <v>88</v>
      </c>
    </row>
    <row r="378" spans="2:5" x14ac:dyDescent="0.3">
      <c r="B378" t="s">
        <v>13</v>
      </c>
      <c r="C378" t="s">
        <v>109</v>
      </c>
      <c r="D378" s="16" t="s">
        <v>324</v>
      </c>
      <c r="E378">
        <f>LEN(Tabla1[[#This Row],[Categorías]])</f>
        <v>88</v>
      </c>
    </row>
    <row r="379" spans="2:5" x14ac:dyDescent="0.3">
      <c r="B379" t="s">
        <v>325</v>
      </c>
      <c r="C379" t="s">
        <v>109</v>
      </c>
      <c r="D379" s="16" t="s">
        <v>324</v>
      </c>
      <c r="E379">
        <f>LEN(Tabla1[[#This Row],[Categorías]])</f>
        <v>88</v>
      </c>
    </row>
    <row r="380" spans="2:5" x14ac:dyDescent="0.3">
      <c r="B380" t="s">
        <v>443</v>
      </c>
      <c r="C380" t="s">
        <v>109</v>
      </c>
      <c r="E380">
        <f>LEN(Tabla1[[#This Row],[Categorías]])</f>
        <v>88</v>
      </c>
    </row>
    <row r="381" spans="2:5" x14ac:dyDescent="0.3">
      <c r="B381" t="s">
        <v>13</v>
      </c>
      <c r="C381" t="s">
        <v>107</v>
      </c>
      <c r="D381" s="16" t="s">
        <v>324</v>
      </c>
      <c r="E381">
        <f>LEN(Tabla1[[#This Row],[Categorías]])</f>
        <v>85</v>
      </c>
    </row>
    <row r="382" spans="2:5" x14ac:dyDescent="0.3">
      <c r="B382" t="s">
        <v>325</v>
      </c>
      <c r="C382" t="s">
        <v>107</v>
      </c>
      <c r="D382" s="16" t="s">
        <v>324</v>
      </c>
      <c r="E382">
        <f>LEN(Tabla1[[#This Row],[Categorías]])</f>
        <v>85</v>
      </c>
    </row>
    <row r="383" spans="2:5" x14ac:dyDescent="0.3">
      <c r="B383" t="s">
        <v>443</v>
      </c>
      <c r="C383" t="s">
        <v>107</v>
      </c>
      <c r="E383">
        <f>LEN(Tabla1[[#This Row],[Categorías]])</f>
        <v>85</v>
      </c>
    </row>
    <row r="384" spans="2:5" x14ac:dyDescent="0.3">
      <c r="B384" t="s">
        <v>13</v>
      </c>
      <c r="C384" t="s">
        <v>106</v>
      </c>
      <c r="D384" s="16" t="s">
        <v>324</v>
      </c>
      <c r="E384">
        <f>LEN(Tabla1[[#This Row],[Categorías]])</f>
        <v>88</v>
      </c>
    </row>
    <row r="385" spans="2:5" x14ac:dyDescent="0.3">
      <c r="B385" t="s">
        <v>325</v>
      </c>
      <c r="C385" t="s">
        <v>106</v>
      </c>
      <c r="D385" s="16" t="s">
        <v>324</v>
      </c>
      <c r="E385">
        <f>LEN(Tabla1[[#This Row],[Categorías]])</f>
        <v>88</v>
      </c>
    </row>
    <row r="386" spans="2:5" x14ac:dyDescent="0.3">
      <c r="B386" t="s">
        <v>443</v>
      </c>
      <c r="C386" t="s">
        <v>106</v>
      </c>
      <c r="E386">
        <f>LEN(Tabla1[[#This Row],[Categorías]])</f>
        <v>88</v>
      </c>
    </row>
    <row r="387" spans="2:5" x14ac:dyDescent="0.3">
      <c r="B387" t="s">
        <v>13</v>
      </c>
      <c r="C387" t="s">
        <v>318</v>
      </c>
      <c r="D387" s="16" t="s">
        <v>324</v>
      </c>
      <c r="E387">
        <f>LEN(Tabla1[[#This Row],[Categorías]])</f>
        <v>32</v>
      </c>
    </row>
    <row r="388" spans="2:5" x14ac:dyDescent="0.3">
      <c r="B388" t="s">
        <v>325</v>
      </c>
      <c r="C388" t="s">
        <v>318</v>
      </c>
      <c r="D388" s="16" t="s">
        <v>324</v>
      </c>
      <c r="E388">
        <f>LEN(Tabla1[[#This Row],[Categorías]])</f>
        <v>32</v>
      </c>
    </row>
    <row r="389" spans="2:5" x14ac:dyDescent="0.3">
      <c r="B389" t="s">
        <v>13</v>
      </c>
      <c r="C389" t="s">
        <v>126</v>
      </c>
      <c r="D389" s="16" t="s">
        <v>324</v>
      </c>
      <c r="E389">
        <f>LEN(Tabla1[[#This Row],[Categorías]])</f>
        <v>53</v>
      </c>
    </row>
    <row r="390" spans="2:5" x14ac:dyDescent="0.3">
      <c r="B390" t="s">
        <v>325</v>
      </c>
      <c r="C390" t="s">
        <v>126</v>
      </c>
      <c r="D390" s="16" t="s">
        <v>324</v>
      </c>
      <c r="E390">
        <f>LEN(Tabla1[[#This Row],[Categorías]])</f>
        <v>53</v>
      </c>
    </row>
    <row r="391" spans="2:5" x14ac:dyDescent="0.3">
      <c r="B391" t="s">
        <v>443</v>
      </c>
      <c r="C391" t="s">
        <v>126</v>
      </c>
      <c r="E391">
        <f>LEN(Tabla1[[#This Row],[Categorías]])</f>
        <v>53</v>
      </c>
    </row>
    <row r="392" spans="2:5" x14ac:dyDescent="0.3">
      <c r="B392" t="s">
        <v>13</v>
      </c>
      <c r="C392" t="s">
        <v>127</v>
      </c>
      <c r="D392" s="16" t="s">
        <v>324</v>
      </c>
      <c r="E392">
        <f>LEN(Tabla1[[#This Row],[Categorías]])</f>
        <v>42</v>
      </c>
    </row>
    <row r="393" spans="2:5" x14ac:dyDescent="0.3">
      <c r="B393" t="s">
        <v>325</v>
      </c>
      <c r="C393" t="s">
        <v>127</v>
      </c>
      <c r="D393" s="16" t="s">
        <v>324</v>
      </c>
      <c r="E393">
        <f>LEN(Tabla1[[#This Row],[Categorías]])</f>
        <v>42</v>
      </c>
    </row>
    <row r="394" spans="2:5" x14ac:dyDescent="0.3">
      <c r="B394" t="s">
        <v>443</v>
      </c>
      <c r="C394" t="s">
        <v>127</v>
      </c>
      <c r="E394">
        <f>LEN(Tabla1[[#This Row],[Categorías]])</f>
        <v>42</v>
      </c>
    </row>
    <row r="395" spans="2:5" x14ac:dyDescent="0.3">
      <c r="B395" t="s">
        <v>13</v>
      </c>
      <c r="C395" t="s">
        <v>130</v>
      </c>
      <c r="D395" s="16" t="s">
        <v>324</v>
      </c>
      <c r="E395">
        <f>LEN(Tabla1[[#This Row],[Categorías]])</f>
        <v>65</v>
      </c>
    </row>
    <row r="396" spans="2:5" x14ac:dyDescent="0.3">
      <c r="B396" t="s">
        <v>325</v>
      </c>
      <c r="C396" t="s">
        <v>130</v>
      </c>
      <c r="D396" s="16" t="s">
        <v>324</v>
      </c>
      <c r="E396">
        <f>LEN(Tabla1[[#This Row],[Categorías]])</f>
        <v>65</v>
      </c>
    </row>
    <row r="397" spans="2:5" x14ac:dyDescent="0.3">
      <c r="B397" t="s">
        <v>443</v>
      </c>
      <c r="C397" t="s">
        <v>130</v>
      </c>
      <c r="E397">
        <f>LEN(Tabla1[[#This Row],[Categorías]])</f>
        <v>65</v>
      </c>
    </row>
    <row r="398" spans="2:5" x14ac:dyDescent="0.3">
      <c r="B398" t="s">
        <v>13</v>
      </c>
      <c r="C398" t="s">
        <v>125</v>
      </c>
      <c r="D398" s="16" t="s">
        <v>324</v>
      </c>
      <c r="E398">
        <f>LEN(Tabla1[[#This Row],[Categorías]])</f>
        <v>74</v>
      </c>
    </row>
    <row r="399" spans="2:5" x14ac:dyDescent="0.3">
      <c r="B399" t="s">
        <v>325</v>
      </c>
      <c r="C399" t="s">
        <v>125</v>
      </c>
      <c r="D399" s="16" t="s">
        <v>324</v>
      </c>
      <c r="E399">
        <f>LEN(Tabla1[[#This Row],[Categorías]])</f>
        <v>74</v>
      </c>
    </row>
    <row r="400" spans="2:5" x14ac:dyDescent="0.3">
      <c r="B400" t="s">
        <v>443</v>
      </c>
      <c r="C400" t="s">
        <v>125</v>
      </c>
      <c r="E400">
        <f>LEN(Tabla1[[#This Row],[Categorías]])</f>
        <v>74</v>
      </c>
    </row>
    <row r="401" spans="2:5" x14ac:dyDescent="0.3">
      <c r="B401" t="s">
        <v>13</v>
      </c>
      <c r="C401" t="s">
        <v>129</v>
      </c>
      <c r="D401" s="16" t="s">
        <v>324</v>
      </c>
      <c r="E401">
        <f>LEN(Tabla1[[#This Row],[Categorías]])</f>
        <v>58</v>
      </c>
    </row>
    <row r="402" spans="2:5" x14ac:dyDescent="0.3">
      <c r="B402" t="s">
        <v>325</v>
      </c>
      <c r="C402" t="s">
        <v>129</v>
      </c>
      <c r="D402" s="16" t="s">
        <v>324</v>
      </c>
      <c r="E402">
        <f>LEN(Tabla1[[#This Row],[Categorías]])</f>
        <v>58</v>
      </c>
    </row>
    <row r="403" spans="2:5" x14ac:dyDescent="0.3">
      <c r="B403" t="s">
        <v>443</v>
      </c>
      <c r="C403" t="s">
        <v>129</v>
      </c>
      <c r="E403">
        <f>LEN(Tabla1[[#This Row],[Categorías]])</f>
        <v>58</v>
      </c>
    </row>
    <row r="404" spans="2:5" x14ac:dyDescent="0.3">
      <c r="B404" t="s">
        <v>13</v>
      </c>
      <c r="C404" t="s">
        <v>211</v>
      </c>
      <c r="D404" s="16" t="s">
        <v>324</v>
      </c>
      <c r="E404">
        <f>LEN(Tabla1[[#This Row],[Categorías]])</f>
        <v>50</v>
      </c>
    </row>
    <row r="405" spans="2:5" x14ac:dyDescent="0.3">
      <c r="B405" t="s">
        <v>325</v>
      </c>
      <c r="C405" t="s">
        <v>211</v>
      </c>
      <c r="D405" s="16" t="s">
        <v>324</v>
      </c>
      <c r="E405">
        <f>LEN(Tabla1[[#This Row],[Categorías]])</f>
        <v>50</v>
      </c>
    </row>
    <row r="406" spans="2:5" x14ac:dyDescent="0.3">
      <c r="B406" t="s">
        <v>443</v>
      </c>
      <c r="C406" t="s">
        <v>211</v>
      </c>
      <c r="E406">
        <f>LEN(Tabla1[[#This Row],[Categorías]])</f>
        <v>50</v>
      </c>
    </row>
    <row r="407" spans="2:5" x14ac:dyDescent="0.3">
      <c r="B407" t="s">
        <v>13</v>
      </c>
      <c r="C407" t="s">
        <v>133</v>
      </c>
      <c r="D407" s="16" t="s">
        <v>324</v>
      </c>
      <c r="E407">
        <f>LEN(Tabla1[[#This Row],[Categorías]])</f>
        <v>50</v>
      </c>
    </row>
    <row r="408" spans="2:5" x14ac:dyDescent="0.3">
      <c r="B408" t="s">
        <v>325</v>
      </c>
      <c r="C408" t="s">
        <v>133</v>
      </c>
      <c r="D408" s="16" t="s">
        <v>324</v>
      </c>
      <c r="E408">
        <f>LEN(Tabla1[[#This Row],[Categorías]])</f>
        <v>50</v>
      </c>
    </row>
    <row r="409" spans="2:5" x14ac:dyDescent="0.3">
      <c r="B409" t="s">
        <v>443</v>
      </c>
      <c r="C409" t="s">
        <v>133</v>
      </c>
      <c r="E409">
        <f>LEN(Tabla1[[#This Row],[Categorías]])</f>
        <v>50</v>
      </c>
    </row>
    <row r="410" spans="2:5" x14ac:dyDescent="0.3">
      <c r="B410" t="s">
        <v>13</v>
      </c>
      <c r="C410" t="s">
        <v>132</v>
      </c>
      <c r="D410" s="16" t="s">
        <v>324</v>
      </c>
      <c r="E410">
        <f>LEN(Tabla1[[#This Row],[Categorías]])</f>
        <v>73</v>
      </c>
    </row>
    <row r="411" spans="2:5" x14ac:dyDescent="0.3">
      <c r="B411" t="s">
        <v>325</v>
      </c>
      <c r="C411" t="s">
        <v>132</v>
      </c>
      <c r="D411" s="16" t="s">
        <v>324</v>
      </c>
      <c r="E411">
        <f>LEN(Tabla1[[#This Row],[Categorías]])</f>
        <v>73</v>
      </c>
    </row>
    <row r="412" spans="2:5" x14ac:dyDescent="0.3">
      <c r="B412" t="s">
        <v>443</v>
      </c>
      <c r="C412" t="s">
        <v>132</v>
      </c>
      <c r="E412">
        <f>LEN(Tabla1[[#This Row],[Categorías]])</f>
        <v>73</v>
      </c>
    </row>
    <row r="413" spans="2:5" x14ac:dyDescent="0.3">
      <c r="B413" t="s">
        <v>13</v>
      </c>
      <c r="C413" t="s">
        <v>128</v>
      </c>
      <c r="D413" s="16" t="s">
        <v>324</v>
      </c>
      <c r="E413">
        <f>LEN(Tabla1[[#This Row],[Categorías]])</f>
        <v>43</v>
      </c>
    </row>
    <row r="414" spans="2:5" x14ac:dyDescent="0.3">
      <c r="B414" t="s">
        <v>325</v>
      </c>
      <c r="C414" t="s">
        <v>128</v>
      </c>
      <c r="D414" s="16" t="s">
        <v>324</v>
      </c>
      <c r="E414">
        <f>LEN(Tabla1[[#This Row],[Categorías]])</f>
        <v>43</v>
      </c>
    </row>
    <row r="415" spans="2:5" x14ac:dyDescent="0.3">
      <c r="B415" t="s">
        <v>443</v>
      </c>
      <c r="C415" t="s">
        <v>128</v>
      </c>
      <c r="E415">
        <f>LEN(Tabla1[[#This Row],[Categorías]])</f>
        <v>43</v>
      </c>
    </row>
    <row r="416" spans="2:5" x14ac:dyDescent="0.3">
      <c r="B416" t="s">
        <v>13</v>
      </c>
      <c r="C416" t="s">
        <v>131</v>
      </c>
      <c r="D416" s="16" t="s">
        <v>324</v>
      </c>
      <c r="E416">
        <f>LEN(Tabla1[[#This Row],[Categorías]])</f>
        <v>57</v>
      </c>
    </row>
    <row r="417" spans="2:5" x14ac:dyDescent="0.3">
      <c r="B417" t="s">
        <v>325</v>
      </c>
      <c r="C417" t="s">
        <v>131</v>
      </c>
      <c r="D417" s="16" t="s">
        <v>324</v>
      </c>
      <c r="E417">
        <f>LEN(Tabla1[[#This Row],[Categorías]])</f>
        <v>57</v>
      </c>
    </row>
    <row r="418" spans="2:5" x14ac:dyDescent="0.3">
      <c r="B418" t="s">
        <v>443</v>
      </c>
      <c r="C418" t="s">
        <v>131</v>
      </c>
      <c r="E418">
        <f>LEN(Tabla1[[#This Row],[Categorías]])</f>
        <v>57</v>
      </c>
    </row>
    <row r="419" spans="2:5" x14ac:dyDescent="0.3">
      <c r="B419" t="s">
        <v>325</v>
      </c>
      <c r="C419" t="s">
        <v>442</v>
      </c>
      <c r="D419" s="16" t="s">
        <v>324</v>
      </c>
      <c r="E419">
        <f>LEN(Tabla1[[#This Row],[Categorías]])</f>
        <v>67</v>
      </c>
    </row>
    <row r="420" spans="2:5" x14ac:dyDescent="0.3">
      <c r="B420" t="s">
        <v>325</v>
      </c>
      <c r="C420" t="s">
        <v>415</v>
      </c>
      <c r="D420" s="16" t="s">
        <v>324</v>
      </c>
      <c r="E420">
        <f>LEN(Tabla1[[#This Row],[Categorías]])</f>
        <v>54</v>
      </c>
    </row>
    <row r="421" spans="2:5" x14ac:dyDescent="0.3">
      <c r="B421" t="s">
        <v>325</v>
      </c>
      <c r="C421" t="s">
        <v>419</v>
      </c>
      <c r="D421" s="16" t="s">
        <v>324</v>
      </c>
      <c r="E421">
        <f>LEN(Tabla1[[#This Row],[Categorías]])</f>
        <v>52</v>
      </c>
    </row>
    <row r="422" spans="2:5" x14ac:dyDescent="0.3">
      <c r="B422" t="s">
        <v>325</v>
      </c>
      <c r="C422" t="s">
        <v>417</v>
      </c>
      <c r="D422" s="16" t="s">
        <v>324</v>
      </c>
      <c r="E422">
        <f>LEN(Tabla1[[#This Row],[Categorías]])</f>
        <v>40</v>
      </c>
    </row>
    <row r="423" spans="2:5" x14ac:dyDescent="0.3">
      <c r="B423" t="s">
        <v>325</v>
      </c>
      <c r="C423" t="s">
        <v>420</v>
      </c>
      <c r="D423" s="16" t="s">
        <v>324</v>
      </c>
      <c r="E423">
        <f>LEN(Tabla1[[#This Row],[Categorías]])</f>
        <v>69</v>
      </c>
    </row>
    <row r="424" spans="2:5" x14ac:dyDescent="0.3">
      <c r="B424" t="s">
        <v>325</v>
      </c>
      <c r="C424" t="s">
        <v>418</v>
      </c>
      <c r="D424" s="16" t="s">
        <v>324</v>
      </c>
      <c r="E424">
        <f>LEN(Tabla1[[#This Row],[Categorías]])</f>
        <v>66</v>
      </c>
    </row>
    <row r="425" spans="2:5" x14ac:dyDescent="0.3">
      <c r="B425" t="s">
        <v>325</v>
      </c>
      <c r="C425" t="s">
        <v>436</v>
      </c>
      <c r="D425" s="16" t="s">
        <v>324</v>
      </c>
      <c r="E425">
        <f>LEN(Tabla1[[#This Row],[Categorías]])</f>
        <v>56</v>
      </c>
    </row>
    <row r="426" spans="2:5" x14ac:dyDescent="0.3">
      <c r="B426" t="s">
        <v>325</v>
      </c>
      <c r="C426" t="s">
        <v>424</v>
      </c>
      <c r="D426" s="16" t="s">
        <v>324</v>
      </c>
      <c r="E426">
        <f>LEN(Tabla1[[#This Row],[Categorías]])</f>
        <v>99</v>
      </c>
    </row>
    <row r="427" spans="2:5" x14ac:dyDescent="0.3">
      <c r="B427" t="s">
        <v>325</v>
      </c>
      <c r="C427" t="s">
        <v>416</v>
      </c>
      <c r="D427" s="16" t="s">
        <v>324</v>
      </c>
      <c r="E427">
        <f>LEN(Tabla1[[#This Row],[Categorías]])</f>
        <v>48</v>
      </c>
    </row>
    <row r="428" spans="2:5" x14ac:dyDescent="0.3">
      <c r="B428" t="s">
        <v>325</v>
      </c>
      <c r="C428" t="s">
        <v>425</v>
      </c>
      <c r="D428" s="16" t="s">
        <v>324</v>
      </c>
      <c r="E428">
        <f>LEN(Tabla1[[#This Row],[Categorías]])</f>
        <v>53</v>
      </c>
    </row>
    <row r="429" spans="2:5" x14ac:dyDescent="0.3">
      <c r="B429" t="s">
        <v>325</v>
      </c>
      <c r="C429" t="s">
        <v>421</v>
      </c>
      <c r="D429" s="16" t="s">
        <v>324</v>
      </c>
      <c r="E429">
        <f>LEN(Tabla1[[#This Row],[Categorías]])</f>
        <v>76</v>
      </c>
    </row>
    <row r="430" spans="2:5" x14ac:dyDescent="0.3">
      <c r="B430" t="s">
        <v>325</v>
      </c>
      <c r="C430" t="s">
        <v>422</v>
      </c>
      <c r="D430" s="16" t="s">
        <v>324</v>
      </c>
      <c r="E430">
        <f>LEN(Tabla1[[#This Row],[Categorías]])</f>
        <v>65</v>
      </c>
    </row>
    <row r="431" spans="2:5" x14ac:dyDescent="0.3">
      <c r="B431" t="s">
        <v>325</v>
      </c>
      <c r="C431" t="s">
        <v>423</v>
      </c>
      <c r="D431" s="16" t="s">
        <v>324</v>
      </c>
      <c r="E431">
        <f>LEN(Tabla1[[#This Row],[Categorías]])</f>
        <v>66</v>
      </c>
    </row>
    <row r="432" spans="2:5" x14ac:dyDescent="0.3">
      <c r="B432" t="s">
        <v>325</v>
      </c>
      <c r="C432" t="s">
        <v>349</v>
      </c>
      <c r="D432" s="16" t="s">
        <v>324</v>
      </c>
      <c r="E432">
        <f>LEN(Tabla1[[#This Row],[Categorías]])</f>
        <v>20</v>
      </c>
    </row>
    <row r="433" spans="2:5" x14ac:dyDescent="0.3">
      <c r="B433" t="s">
        <v>443</v>
      </c>
      <c r="C433" t="s">
        <v>349</v>
      </c>
      <c r="E433">
        <f>LEN(Tabla1[[#This Row],[Categorías]])</f>
        <v>20</v>
      </c>
    </row>
    <row r="434" spans="2:5" x14ac:dyDescent="0.3">
      <c r="B434" t="s">
        <v>13</v>
      </c>
      <c r="C434" t="s">
        <v>33</v>
      </c>
      <c r="D434" s="16" t="s">
        <v>324</v>
      </c>
      <c r="E434">
        <f>LEN(Tabla1[[#This Row],[Categorías]])</f>
        <v>32</v>
      </c>
    </row>
    <row r="435" spans="2:5" x14ac:dyDescent="0.3">
      <c r="B435" t="s">
        <v>325</v>
      </c>
      <c r="C435" t="s">
        <v>33</v>
      </c>
      <c r="D435" s="16" t="s">
        <v>324</v>
      </c>
      <c r="E435">
        <f>LEN(Tabla1[[#This Row],[Categorías]])</f>
        <v>32</v>
      </c>
    </row>
    <row r="436" spans="2:5" x14ac:dyDescent="0.3">
      <c r="B436" t="s">
        <v>443</v>
      </c>
      <c r="C436" t="s">
        <v>33</v>
      </c>
      <c r="E436">
        <f>LEN(Tabla1[[#This Row],[Categorías]])</f>
        <v>32</v>
      </c>
    </row>
    <row r="437" spans="2:5" x14ac:dyDescent="0.3">
      <c r="B437" t="s">
        <v>13</v>
      </c>
      <c r="C437" t="s">
        <v>78</v>
      </c>
      <c r="D437" s="16" t="s">
        <v>324</v>
      </c>
      <c r="E437">
        <f>LEN(Tabla1[[#This Row],[Categorías]])</f>
        <v>7</v>
      </c>
    </row>
    <row r="438" spans="2:5" x14ac:dyDescent="0.3">
      <c r="B438" t="s">
        <v>325</v>
      </c>
      <c r="C438" t="s">
        <v>78</v>
      </c>
      <c r="D438" s="16" t="s">
        <v>324</v>
      </c>
      <c r="E438">
        <f>LEN(Tabla1[[#This Row],[Categorías]])</f>
        <v>7</v>
      </c>
    </row>
    <row r="439" spans="2:5" x14ac:dyDescent="0.3">
      <c r="B439" t="s">
        <v>443</v>
      </c>
      <c r="C439" t="s">
        <v>78</v>
      </c>
      <c r="E439">
        <f>LEN(Tabla1[[#This Row],[Categorías]])</f>
        <v>7</v>
      </c>
    </row>
    <row r="440" spans="2:5" x14ac:dyDescent="0.3">
      <c r="B440" t="s">
        <v>13</v>
      </c>
      <c r="C440" t="s">
        <v>96</v>
      </c>
      <c r="D440" s="16" t="s">
        <v>324</v>
      </c>
      <c r="E440">
        <f>LEN(Tabla1[[#This Row],[Categorías]])</f>
        <v>14</v>
      </c>
    </row>
    <row r="441" spans="2:5" x14ac:dyDescent="0.3">
      <c r="B441" t="s">
        <v>325</v>
      </c>
      <c r="C441" t="s">
        <v>96</v>
      </c>
      <c r="D441" s="16" t="s">
        <v>324</v>
      </c>
      <c r="E441">
        <f>LEN(Tabla1[[#This Row],[Categorías]])</f>
        <v>14</v>
      </c>
    </row>
    <row r="442" spans="2:5" x14ac:dyDescent="0.3">
      <c r="B442" t="s">
        <v>443</v>
      </c>
      <c r="C442" t="s">
        <v>96</v>
      </c>
      <c r="E442">
        <f>LEN(Tabla1[[#This Row],[Categorías]])</f>
        <v>14</v>
      </c>
    </row>
    <row r="443" spans="2:5" x14ac:dyDescent="0.3">
      <c r="B443" t="s">
        <v>485</v>
      </c>
      <c r="C443" t="s">
        <v>493</v>
      </c>
      <c r="E443">
        <f>LEN(Tabla1[[#This Row],[Categorías]])</f>
        <v>9</v>
      </c>
    </row>
    <row r="444" spans="2:5" x14ac:dyDescent="0.3">
      <c r="B444" t="s">
        <v>13</v>
      </c>
      <c r="C444" t="s">
        <v>258</v>
      </c>
      <c r="D444" s="16" t="s">
        <v>324</v>
      </c>
      <c r="E444">
        <f>LEN(Tabla1[[#This Row],[Categorías]])</f>
        <v>30</v>
      </c>
    </row>
    <row r="445" spans="2:5" x14ac:dyDescent="0.3">
      <c r="B445" t="s">
        <v>325</v>
      </c>
      <c r="C445" t="s">
        <v>258</v>
      </c>
      <c r="D445" s="16" t="s">
        <v>324</v>
      </c>
      <c r="E445">
        <f>LEN(Tabla1[[#This Row],[Categorías]])</f>
        <v>30</v>
      </c>
    </row>
    <row r="446" spans="2:5" x14ac:dyDescent="0.3">
      <c r="B446" t="s">
        <v>443</v>
      </c>
      <c r="C446" t="s">
        <v>258</v>
      </c>
      <c r="E446">
        <f>LEN(Tabla1[[#This Row],[Categorías]])</f>
        <v>30</v>
      </c>
    </row>
    <row r="447" spans="2:5" x14ac:dyDescent="0.3">
      <c r="B447" t="s">
        <v>13</v>
      </c>
      <c r="C447" t="s">
        <v>254</v>
      </c>
      <c r="D447" s="16" t="s">
        <v>324</v>
      </c>
      <c r="E447">
        <f>LEN(Tabla1[[#This Row],[Categorías]])</f>
        <v>39</v>
      </c>
    </row>
    <row r="448" spans="2:5" x14ac:dyDescent="0.3">
      <c r="B448" t="s">
        <v>325</v>
      </c>
      <c r="C448" t="s">
        <v>254</v>
      </c>
      <c r="D448" s="16" t="s">
        <v>324</v>
      </c>
      <c r="E448">
        <f>LEN(Tabla1[[#This Row],[Categorías]])</f>
        <v>39</v>
      </c>
    </row>
    <row r="449" spans="2:5" x14ac:dyDescent="0.3">
      <c r="B449" t="s">
        <v>443</v>
      </c>
      <c r="C449" t="s">
        <v>254</v>
      </c>
      <c r="E449">
        <f>LEN(Tabla1[[#This Row],[Categorías]])</f>
        <v>39</v>
      </c>
    </row>
    <row r="450" spans="2:5" x14ac:dyDescent="0.3">
      <c r="B450" t="s">
        <v>325</v>
      </c>
      <c r="C450" t="s">
        <v>350</v>
      </c>
      <c r="D450" s="16" t="s">
        <v>324</v>
      </c>
      <c r="E450">
        <f>LEN(Tabla1[[#This Row],[Categorías]])</f>
        <v>11</v>
      </c>
    </row>
    <row r="451" spans="2:5" x14ac:dyDescent="0.3">
      <c r="B451" t="s">
        <v>443</v>
      </c>
      <c r="C451" t="s">
        <v>350</v>
      </c>
      <c r="E451">
        <f>LEN(Tabla1[[#This Row],[Categorías]])</f>
        <v>11</v>
      </c>
    </row>
    <row r="452" spans="2:5" x14ac:dyDescent="0.3">
      <c r="B452" t="s">
        <v>325</v>
      </c>
      <c r="C452" t="s">
        <v>351</v>
      </c>
      <c r="D452" s="16" t="s">
        <v>324</v>
      </c>
      <c r="E452">
        <f>LEN(Tabla1[[#This Row],[Categorías]])</f>
        <v>59</v>
      </c>
    </row>
    <row r="453" spans="2:5" x14ac:dyDescent="0.3">
      <c r="B453" t="s">
        <v>455</v>
      </c>
      <c r="C453" t="s">
        <v>457</v>
      </c>
      <c r="E453">
        <f>LEN(Tabla1[[#This Row],[Categorías]])</f>
        <v>11</v>
      </c>
    </row>
    <row r="454" spans="2:5" x14ac:dyDescent="0.3">
      <c r="B454" t="s">
        <v>461</v>
      </c>
      <c r="C454" t="s">
        <v>457</v>
      </c>
      <c r="E454">
        <f>LEN(Tabla1[[#This Row],[Categorías]])</f>
        <v>11</v>
      </c>
    </row>
    <row r="455" spans="2:5" x14ac:dyDescent="0.3">
      <c r="B455" t="s">
        <v>455</v>
      </c>
      <c r="C455" t="s">
        <v>459</v>
      </c>
      <c r="E455">
        <f>LEN(Tabla1[[#This Row],[Categorías]])</f>
        <v>39</v>
      </c>
    </row>
    <row r="456" spans="2:5" x14ac:dyDescent="0.3">
      <c r="B456" t="s">
        <v>461</v>
      </c>
      <c r="C456" t="s">
        <v>459</v>
      </c>
      <c r="E456">
        <f>LEN(Tabla1[[#This Row],[Categorías]])</f>
        <v>39</v>
      </c>
    </row>
    <row r="457" spans="2:5" x14ac:dyDescent="0.3">
      <c r="B457" t="s">
        <v>455</v>
      </c>
      <c r="C457" t="s">
        <v>456</v>
      </c>
      <c r="E457">
        <f>LEN(Tabla1[[#This Row],[Categorías]])</f>
        <v>39</v>
      </c>
    </row>
    <row r="458" spans="2:5" x14ac:dyDescent="0.3">
      <c r="B458" t="s">
        <v>461</v>
      </c>
      <c r="C458" t="s">
        <v>456</v>
      </c>
      <c r="E458">
        <f>LEN(Tabla1[[#This Row],[Categorías]])</f>
        <v>39</v>
      </c>
    </row>
    <row r="459" spans="2:5" x14ac:dyDescent="0.3">
      <c r="B459" t="s">
        <v>13</v>
      </c>
      <c r="C459" t="s">
        <v>261</v>
      </c>
      <c r="D459" s="16" t="s">
        <v>324</v>
      </c>
      <c r="E459">
        <f>LEN(Tabla1[[#This Row],[Categorías]])</f>
        <v>20</v>
      </c>
    </row>
    <row r="460" spans="2:5" x14ac:dyDescent="0.3">
      <c r="B460" t="s">
        <v>325</v>
      </c>
      <c r="C460" t="s">
        <v>261</v>
      </c>
      <c r="D460" s="16" t="s">
        <v>324</v>
      </c>
      <c r="E460">
        <f>LEN(Tabla1[[#This Row],[Categorías]])</f>
        <v>20</v>
      </c>
    </row>
    <row r="461" spans="2:5" x14ac:dyDescent="0.3">
      <c r="B461" t="s">
        <v>325</v>
      </c>
      <c r="C461" t="s">
        <v>352</v>
      </c>
      <c r="D461" s="16" t="s">
        <v>324</v>
      </c>
      <c r="E461">
        <f>LEN(Tabla1[[#This Row],[Categorías]])</f>
        <v>31</v>
      </c>
    </row>
    <row r="462" spans="2:5" x14ac:dyDescent="0.3">
      <c r="B462" t="s">
        <v>325</v>
      </c>
      <c r="C462" t="s">
        <v>353</v>
      </c>
      <c r="D462" s="16" t="s">
        <v>324</v>
      </c>
      <c r="E462">
        <f>LEN(Tabla1[[#This Row],[Categorías]])</f>
        <v>41</v>
      </c>
    </row>
    <row r="463" spans="2:5" x14ac:dyDescent="0.3">
      <c r="B463" t="s">
        <v>325</v>
      </c>
      <c r="C463" t="s">
        <v>354</v>
      </c>
      <c r="D463" s="16" t="s">
        <v>324</v>
      </c>
      <c r="E463">
        <f>LEN(Tabla1[[#This Row],[Categorías]])</f>
        <v>52</v>
      </c>
    </row>
    <row r="464" spans="2:5" x14ac:dyDescent="0.3">
      <c r="B464" t="s">
        <v>455</v>
      </c>
      <c r="C464" t="s">
        <v>458</v>
      </c>
      <c r="E464">
        <f>LEN(Tabla1[[#This Row],[Categorías]])</f>
        <v>24</v>
      </c>
    </row>
    <row r="465" spans="2:5" x14ac:dyDescent="0.3">
      <c r="B465" t="s">
        <v>461</v>
      </c>
      <c r="C465" t="s">
        <v>458</v>
      </c>
      <c r="E465">
        <f>LEN(Tabla1[[#This Row],[Categorías]])</f>
        <v>24</v>
      </c>
    </row>
    <row r="466" spans="2:5" x14ac:dyDescent="0.3">
      <c r="B466" t="s">
        <v>13</v>
      </c>
      <c r="C466" t="s">
        <v>157</v>
      </c>
      <c r="D466" s="16" t="s">
        <v>324</v>
      </c>
      <c r="E466">
        <f>LEN(Tabla1[[#This Row],[Categorías]])</f>
        <v>13</v>
      </c>
    </row>
    <row r="467" spans="2:5" x14ac:dyDescent="0.3">
      <c r="B467" t="s">
        <v>325</v>
      </c>
      <c r="C467" t="s">
        <v>157</v>
      </c>
      <c r="D467" s="16" t="s">
        <v>324</v>
      </c>
      <c r="E467">
        <f>LEN(Tabla1[[#This Row],[Categorías]])</f>
        <v>13</v>
      </c>
    </row>
    <row r="468" spans="2:5" x14ac:dyDescent="0.3">
      <c r="B468" t="s">
        <v>443</v>
      </c>
      <c r="C468" t="s">
        <v>157</v>
      </c>
      <c r="E468">
        <f>LEN(Tabla1[[#This Row],[Categorías]])</f>
        <v>13</v>
      </c>
    </row>
    <row r="469" spans="2:5" x14ac:dyDescent="0.3">
      <c r="B469" t="s">
        <v>13</v>
      </c>
      <c r="C469" t="s">
        <v>309</v>
      </c>
      <c r="D469" s="16" t="s">
        <v>324</v>
      </c>
      <c r="E469">
        <f>LEN(Tabla1[[#This Row],[Categorías]])</f>
        <v>14</v>
      </c>
    </row>
    <row r="470" spans="2:5" x14ac:dyDescent="0.3">
      <c r="B470" t="s">
        <v>325</v>
      </c>
      <c r="C470" t="s">
        <v>309</v>
      </c>
      <c r="D470" s="16" t="s">
        <v>324</v>
      </c>
      <c r="E470">
        <f>LEN(Tabla1[[#This Row],[Categorías]])</f>
        <v>14</v>
      </c>
    </row>
    <row r="471" spans="2:5" x14ac:dyDescent="0.3">
      <c r="B471" t="s">
        <v>443</v>
      </c>
      <c r="C471" t="s">
        <v>309</v>
      </c>
      <c r="E471">
        <f>LEN(Tabla1[[#This Row],[Categorías]])</f>
        <v>14</v>
      </c>
    </row>
    <row r="472" spans="2:5" x14ac:dyDescent="0.3">
      <c r="B472" t="s">
        <v>325</v>
      </c>
      <c r="C472" t="s">
        <v>355</v>
      </c>
      <c r="D472" s="16" t="s">
        <v>324</v>
      </c>
      <c r="E472">
        <f>LEN(Tabla1[[#This Row],[Categorías]])</f>
        <v>63</v>
      </c>
    </row>
    <row r="473" spans="2:5" x14ac:dyDescent="0.3">
      <c r="B473" t="s">
        <v>13</v>
      </c>
      <c r="C473" t="s">
        <v>257</v>
      </c>
      <c r="D473" s="16" t="s">
        <v>324</v>
      </c>
      <c r="E473">
        <f>LEN(Tabla1[[#This Row],[Categorías]])</f>
        <v>23</v>
      </c>
    </row>
    <row r="474" spans="2:5" x14ac:dyDescent="0.3">
      <c r="B474" t="s">
        <v>325</v>
      </c>
      <c r="C474" t="s">
        <v>257</v>
      </c>
      <c r="D474" s="16" t="s">
        <v>324</v>
      </c>
      <c r="E474">
        <f>LEN(Tabla1[[#This Row],[Categorías]])</f>
        <v>23</v>
      </c>
    </row>
    <row r="475" spans="2:5" x14ac:dyDescent="0.3">
      <c r="B475" t="s">
        <v>462</v>
      </c>
      <c r="C475" t="s">
        <v>464</v>
      </c>
      <c r="E475">
        <f>LEN(Tabla1[[#This Row],[Categorías]])</f>
        <v>14</v>
      </c>
    </row>
    <row r="476" spans="2:5" x14ac:dyDescent="0.3">
      <c r="B476" t="s">
        <v>13</v>
      </c>
      <c r="C476" t="s">
        <v>47</v>
      </c>
      <c r="D476" s="16" t="s">
        <v>324</v>
      </c>
      <c r="E476">
        <f>LEN(Tabla1[[#This Row],[Categorías]])</f>
        <v>7</v>
      </c>
    </row>
    <row r="477" spans="2:5" x14ac:dyDescent="0.3">
      <c r="B477" t="s">
        <v>325</v>
      </c>
      <c r="C477" t="s">
        <v>47</v>
      </c>
      <c r="D477" s="16" t="s">
        <v>324</v>
      </c>
      <c r="E477">
        <f>LEN(Tabla1[[#This Row],[Categorías]])</f>
        <v>7</v>
      </c>
    </row>
    <row r="478" spans="2:5" x14ac:dyDescent="0.3">
      <c r="B478" t="s">
        <v>443</v>
      </c>
      <c r="C478" t="s">
        <v>47</v>
      </c>
      <c r="E478">
        <f>LEN(Tabla1[[#This Row],[Categorías]])</f>
        <v>7</v>
      </c>
    </row>
    <row r="479" spans="2:5" x14ac:dyDescent="0.3">
      <c r="B479" t="s">
        <v>13</v>
      </c>
      <c r="C479" t="s">
        <v>113</v>
      </c>
      <c r="D479" s="16" t="s">
        <v>324</v>
      </c>
      <c r="E479">
        <f>LEN(Tabla1[[#This Row],[Categorías]])</f>
        <v>17</v>
      </c>
    </row>
    <row r="480" spans="2:5" x14ac:dyDescent="0.3">
      <c r="B480" t="s">
        <v>325</v>
      </c>
      <c r="C480" t="s">
        <v>113</v>
      </c>
      <c r="D480" s="16" t="s">
        <v>324</v>
      </c>
      <c r="E480">
        <f>LEN(Tabla1[[#This Row],[Categorías]])</f>
        <v>17</v>
      </c>
    </row>
    <row r="481" spans="2:5" x14ac:dyDescent="0.3">
      <c r="B481" t="s">
        <v>443</v>
      </c>
      <c r="C481" t="s">
        <v>113</v>
      </c>
      <c r="E481">
        <f>LEN(Tabla1[[#This Row],[Categorías]])</f>
        <v>17</v>
      </c>
    </row>
    <row r="482" spans="2:5" x14ac:dyDescent="0.3">
      <c r="B482" t="s">
        <v>13</v>
      </c>
      <c r="C482" t="s">
        <v>178</v>
      </c>
      <c r="D482" s="16" t="s">
        <v>324</v>
      </c>
      <c r="E482">
        <f>LEN(Tabla1[[#This Row],[Categorías]])</f>
        <v>9</v>
      </c>
    </row>
    <row r="483" spans="2:5" x14ac:dyDescent="0.3">
      <c r="B483" t="s">
        <v>325</v>
      </c>
      <c r="C483" t="s">
        <v>178</v>
      </c>
      <c r="D483" s="16" t="s">
        <v>324</v>
      </c>
      <c r="E483">
        <f>LEN(Tabla1[[#This Row],[Categorías]])</f>
        <v>9</v>
      </c>
    </row>
    <row r="484" spans="2:5" x14ac:dyDescent="0.3">
      <c r="B484" t="s">
        <v>443</v>
      </c>
      <c r="C484" t="s">
        <v>178</v>
      </c>
      <c r="E484">
        <f>LEN(Tabla1[[#This Row],[Categorías]])</f>
        <v>9</v>
      </c>
    </row>
    <row r="485" spans="2:5" x14ac:dyDescent="0.3">
      <c r="B485" t="s">
        <v>13</v>
      </c>
      <c r="C485" t="s">
        <v>74</v>
      </c>
      <c r="D485" s="16" t="s">
        <v>324</v>
      </c>
      <c r="E485">
        <f>LEN(Tabla1[[#This Row],[Categorías]])</f>
        <v>102</v>
      </c>
    </row>
    <row r="486" spans="2:5" x14ac:dyDescent="0.3">
      <c r="B486" t="s">
        <v>325</v>
      </c>
      <c r="C486" t="s">
        <v>74</v>
      </c>
      <c r="D486" s="16" t="s">
        <v>324</v>
      </c>
      <c r="E486">
        <f>LEN(Tabla1[[#This Row],[Categorías]])</f>
        <v>102</v>
      </c>
    </row>
    <row r="487" spans="2:5" x14ac:dyDescent="0.3">
      <c r="B487" t="s">
        <v>443</v>
      </c>
      <c r="C487" t="s">
        <v>74</v>
      </c>
      <c r="E487">
        <f>LEN(Tabla1[[#This Row],[Categorías]])</f>
        <v>102</v>
      </c>
    </row>
    <row r="488" spans="2:5" x14ac:dyDescent="0.3">
      <c r="B488" t="s">
        <v>13</v>
      </c>
      <c r="C488" t="s">
        <v>205</v>
      </c>
      <c r="D488" s="16" t="s">
        <v>324</v>
      </c>
      <c r="E488">
        <f>LEN(Tabla1[[#This Row],[Categorías]])</f>
        <v>27</v>
      </c>
    </row>
    <row r="489" spans="2:5" x14ac:dyDescent="0.3">
      <c r="B489" t="s">
        <v>325</v>
      </c>
      <c r="C489" t="s">
        <v>205</v>
      </c>
      <c r="D489" s="16" t="s">
        <v>324</v>
      </c>
      <c r="E489">
        <f>LEN(Tabla1[[#This Row],[Categorías]])</f>
        <v>27</v>
      </c>
    </row>
    <row r="490" spans="2:5" x14ac:dyDescent="0.3">
      <c r="B490" t="s">
        <v>443</v>
      </c>
      <c r="C490" t="s">
        <v>205</v>
      </c>
      <c r="E490">
        <f>LEN(Tabla1[[#This Row],[Categorías]])</f>
        <v>27</v>
      </c>
    </row>
    <row r="491" spans="2:5" x14ac:dyDescent="0.3">
      <c r="B491" t="s">
        <v>13</v>
      </c>
      <c r="C491" t="s">
        <v>76</v>
      </c>
      <c r="D491" s="16" t="s">
        <v>324</v>
      </c>
      <c r="E491">
        <f>LEN(Tabla1[[#This Row],[Categorías]])</f>
        <v>27</v>
      </c>
    </row>
    <row r="492" spans="2:5" x14ac:dyDescent="0.3">
      <c r="B492" t="s">
        <v>325</v>
      </c>
      <c r="C492" t="s">
        <v>76</v>
      </c>
      <c r="D492" s="16" t="s">
        <v>324</v>
      </c>
      <c r="E492">
        <f>LEN(Tabla1[[#This Row],[Categorías]])</f>
        <v>27</v>
      </c>
    </row>
    <row r="493" spans="2:5" x14ac:dyDescent="0.3">
      <c r="B493" t="s">
        <v>443</v>
      </c>
      <c r="C493" t="s">
        <v>76</v>
      </c>
      <c r="E493">
        <f>LEN(Tabla1[[#This Row],[Categorías]])</f>
        <v>27</v>
      </c>
    </row>
    <row r="494" spans="2:5" x14ac:dyDescent="0.3">
      <c r="B494" t="s">
        <v>13</v>
      </c>
      <c r="C494" t="s">
        <v>75</v>
      </c>
      <c r="D494" s="16" t="s">
        <v>324</v>
      </c>
      <c r="E494">
        <f>LEN(Tabla1[[#This Row],[Categorías]])</f>
        <v>34</v>
      </c>
    </row>
    <row r="495" spans="2:5" x14ac:dyDescent="0.3">
      <c r="B495" t="s">
        <v>325</v>
      </c>
      <c r="C495" t="s">
        <v>75</v>
      </c>
      <c r="D495" s="16" t="s">
        <v>324</v>
      </c>
      <c r="E495">
        <f>LEN(Tabla1[[#This Row],[Categorías]])</f>
        <v>34</v>
      </c>
    </row>
    <row r="496" spans="2:5" x14ac:dyDescent="0.3">
      <c r="B496" t="s">
        <v>443</v>
      </c>
      <c r="C496" t="s">
        <v>75</v>
      </c>
      <c r="E496">
        <f>LEN(Tabla1[[#This Row],[Categorías]])</f>
        <v>34</v>
      </c>
    </row>
    <row r="497" spans="2:5" x14ac:dyDescent="0.3">
      <c r="B497" t="s">
        <v>13</v>
      </c>
      <c r="C497" t="s">
        <v>235</v>
      </c>
      <c r="D497" s="16" t="s">
        <v>324</v>
      </c>
      <c r="E497">
        <f>LEN(Tabla1[[#This Row],[Categorías]])</f>
        <v>90</v>
      </c>
    </row>
    <row r="498" spans="2:5" x14ac:dyDescent="0.3">
      <c r="B498" t="s">
        <v>325</v>
      </c>
      <c r="C498" t="s">
        <v>235</v>
      </c>
      <c r="D498" s="16" t="s">
        <v>324</v>
      </c>
      <c r="E498">
        <f>LEN(Tabla1[[#This Row],[Categorías]])</f>
        <v>90</v>
      </c>
    </row>
    <row r="499" spans="2:5" x14ac:dyDescent="0.3">
      <c r="B499" t="s">
        <v>443</v>
      </c>
      <c r="C499" t="s">
        <v>235</v>
      </c>
      <c r="E499">
        <f>LEN(Tabla1[[#This Row],[Categorías]])</f>
        <v>90</v>
      </c>
    </row>
    <row r="500" spans="2:5" x14ac:dyDescent="0.3">
      <c r="B500" t="s">
        <v>13</v>
      </c>
      <c r="C500" t="s">
        <v>140</v>
      </c>
      <c r="D500" s="16" t="s">
        <v>324</v>
      </c>
      <c r="E500">
        <f>LEN(Tabla1[[#This Row],[Categorías]])</f>
        <v>8</v>
      </c>
    </row>
    <row r="501" spans="2:5" x14ac:dyDescent="0.3">
      <c r="B501" t="s">
        <v>325</v>
      </c>
      <c r="C501" t="s">
        <v>140</v>
      </c>
      <c r="D501" s="16" t="s">
        <v>324</v>
      </c>
      <c r="E501">
        <f>LEN(Tabla1[[#This Row],[Categorías]])</f>
        <v>8</v>
      </c>
    </row>
    <row r="502" spans="2:5" x14ac:dyDescent="0.3">
      <c r="B502" t="s">
        <v>443</v>
      </c>
      <c r="C502" t="s">
        <v>140</v>
      </c>
      <c r="E502">
        <f>LEN(Tabla1[[#This Row],[Categorías]])</f>
        <v>8</v>
      </c>
    </row>
    <row r="503" spans="2:5" x14ac:dyDescent="0.3">
      <c r="B503" t="s">
        <v>325</v>
      </c>
      <c r="C503" t="s">
        <v>430</v>
      </c>
      <c r="D503" s="16" t="s">
        <v>324</v>
      </c>
      <c r="E503">
        <f>LEN(Tabla1[[#This Row],[Categorías]])</f>
        <v>25</v>
      </c>
    </row>
    <row r="504" spans="2:5" x14ac:dyDescent="0.3">
      <c r="B504" t="s">
        <v>13</v>
      </c>
      <c r="C504" t="s">
        <v>141</v>
      </c>
      <c r="D504" s="16" t="s">
        <v>324</v>
      </c>
      <c r="E504">
        <f>LEN(Tabla1[[#This Row],[Categorías]])</f>
        <v>13</v>
      </c>
    </row>
    <row r="505" spans="2:5" x14ac:dyDescent="0.3">
      <c r="B505" t="s">
        <v>325</v>
      </c>
      <c r="C505" t="s">
        <v>141</v>
      </c>
      <c r="D505" s="16" t="s">
        <v>324</v>
      </c>
      <c r="E505">
        <f>LEN(Tabla1[[#This Row],[Categorías]])</f>
        <v>13</v>
      </c>
    </row>
    <row r="506" spans="2:5" x14ac:dyDescent="0.3">
      <c r="B506" t="s">
        <v>443</v>
      </c>
      <c r="C506" t="s">
        <v>141</v>
      </c>
      <c r="E506">
        <f>LEN(Tabla1[[#This Row],[Categorías]])</f>
        <v>13</v>
      </c>
    </row>
    <row r="507" spans="2:5" x14ac:dyDescent="0.3">
      <c r="B507" t="s">
        <v>325</v>
      </c>
      <c r="C507" t="s">
        <v>431</v>
      </c>
      <c r="D507" s="16" t="s">
        <v>324</v>
      </c>
      <c r="E507">
        <f>LEN(Tabla1[[#This Row],[Categorías]])</f>
        <v>27</v>
      </c>
    </row>
    <row r="508" spans="2:5" x14ac:dyDescent="0.3">
      <c r="B508" t="s">
        <v>13</v>
      </c>
      <c r="C508" t="s">
        <v>26</v>
      </c>
      <c r="D508" s="16" t="s">
        <v>324</v>
      </c>
      <c r="E508">
        <f>LEN(Tabla1[[#This Row],[Categorías]])</f>
        <v>11</v>
      </c>
    </row>
    <row r="509" spans="2:5" x14ac:dyDescent="0.3">
      <c r="B509" t="s">
        <v>325</v>
      </c>
      <c r="C509" t="s">
        <v>26</v>
      </c>
      <c r="D509" s="16" t="s">
        <v>324</v>
      </c>
      <c r="E509">
        <f>LEN(Tabla1[[#This Row],[Categorías]])</f>
        <v>11</v>
      </c>
    </row>
    <row r="510" spans="2:5" x14ac:dyDescent="0.3">
      <c r="B510" t="s">
        <v>443</v>
      </c>
      <c r="C510" t="s">
        <v>26</v>
      </c>
      <c r="E510">
        <f>LEN(Tabla1[[#This Row],[Categorías]])</f>
        <v>11</v>
      </c>
    </row>
    <row r="511" spans="2:5" x14ac:dyDescent="0.3">
      <c r="B511" t="s">
        <v>13</v>
      </c>
      <c r="C511" t="s">
        <v>73</v>
      </c>
      <c r="D511" s="16" t="s">
        <v>324</v>
      </c>
      <c r="E511">
        <f>LEN(Tabla1[[#This Row],[Categorías]])</f>
        <v>6</v>
      </c>
    </row>
    <row r="512" spans="2:5" x14ac:dyDescent="0.3">
      <c r="B512" t="s">
        <v>325</v>
      </c>
      <c r="C512" t="s">
        <v>73</v>
      </c>
      <c r="D512" s="16" t="s">
        <v>324</v>
      </c>
      <c r="E512">
        <f>LEN(Tabla1[[#This Row],[Categorías]])</f>
        <v>6</v>
      </c>
    </row>
    <row r="513" spans="2:5" x14ac:dyDescent="0.3">
      <c r="B513" t="s">
        <v>443</v>
      </c>
      <c r="C513" t="s">
        <v>73</v>
      </c>
      <c r="E513">
        <f>LEN(Tabla1[[#This Row],[Categorías]])</f>
        <v>6</v>
      </c>
    </row>
    <row r="514" spans="2:5" x14ac:dyDescent="0.3">
      <c r="B514" t="s">
        <v>447</v>
      </c>
      <c r="C514" t="s">
        <v>448</v>
      </c>
      <c r="E514">
        <f>LEN(Tabla1[[#This Row],[Categorías]])</f>
        <v>53</v>
      </c>
    </row>
    <row r="515" spans="2:5" x14ac:dyDescent="0.3">
      <c r="B515" t="s">
        <v>462</v>
      </c>
      <c r="C515" t="s">
        <v>468</v>
      </c>
      <c r="E515">
        <f>LEN(Tabla1[[#This Row],[Categorías]])</f>
        <v>12</v>
      </c>
    </row>
    <row r="516" spans="2:5" x14ac:dyDescent="0.3">
      <c r="B516" t="s">
        <v>13</v>
      </c>
      <c r="C516" t="s">
        <v>25</v>
      </c>
      <c r="D516" s="16" t="s">
        <v>324</v>
      </c>
      <c r="E516">
        <f>LEN(Tabla1[[#This Row],[Categorías]])</f>
        <v>9</v>
      </c>
    </row>
    <row r="517" spans="2:5" x14ac:dyDescent="0.3">
      <c r="B517" t="s">
        <v>325</v>
      </c>
      <c r="C517" t="s">
        <v>25</v>
      </c>
      <c r="D517" s="16" t="s">
        <v>324</v>
      </c>
      <c r="E517">
        <f>LEN(Tabla1[[#This Row],[Categorías]])</f>
        <v>9</v>
      </c>
    </row>
    <row r="518" spans="2:5" x14ac:dyDescent="0.3">
      <c r="B518" t="s">
        <v>443</v>
      </c>
      <c r="C518" t="s">
        <v>25</v>
      </c>
      <c r="E518">
        <f>LEN(Tabla1[[#This Row],[Categorías]])</f>
        <v>9</v>
      </c>
    </row>
    <row r="519" spans="2:5" x14ac:dyDescent="0.3">
      <c r="B519" t="s">
        <v>13</v>
      </c>
      <c r="C519" t="s">
        <v>217</v>
      </c>
      <c r="D519" s="16" t="s">
        <v>324</v>
      </c>
      <c r="E519">
        <f>LEN(Tabla1[[#This Row],[Categorías]])</f>
        <v>17</v>
      </c>
    </row>
    <row r="520" spans="2:5" x14ac:dyDescent="0.3">
      <c r="B520" t="s">
        <v>325</v>
      </c>
      <c r="C520" t="s">
        <v>217</v>
      </c>
      <c r="D520" s="16" t="s">
        <v>324</v>
      </c>
      <c r="E520">
        <f>LEN(Tabla1[[#This Row],[Categorías]])</f>
        <v>17</v>
      </c>
    </row>
    <row r="521" spans="2:5" x14ac:dyDescent="0.3">
      <c r="B521" t="s">
        <v>13</v>
      </c>
      <c r="C521" t="s">
        <v>218</v>
      </c>
      <c r="D521" s="16" t="s">
        <v>324</v>
      </c>
      <c r="E521">
        <f>LEN(Tabla1[[#This Row],[Categorías]])</f>
        <v>16</v>
      </c>
    </row>
    <row r="522" spans="2:5" x14ac:dyDescent="0.3">
      <c r="B522" t="s">
        <v>325</v>
      </c>
      <c r="C522" t="s">
        <v>218</v>
      </c>
      <c r="D522" s="16" t="s">
        <v>324</v>
      </c>
      <c r="E522">
        <f>LEN(Tabla1[[#This Row],[Categorías]])</f>
        <v>16</v>
      </c>
    </row>
    <row r="523" spans="2:5" x14ac:dyDescent="0.3">
      <c r="B523" t="s">
        <v>462</v>
      </c>
      <c r="C523" t="s">
        <v>469</v>
      </c>
      <c r="E523">
        <f>LEN(Tabla1[[#This Row],[Categorías]])</f>
        <v>9</v>
      </c>
    </row>
    <row r="524" spans="2:5" x14ac:dyDescent="0.3">
      <c r="B524" t="s">
        <v>13</v>
      </c>
      <c r="C524" t="s">
        <v>41</v>
      </c>
      <c r="D524" s="16" t="s">
        <v>324</v>
      </c>
      <c r="E524">
        <f>LEN(Tabla1[[#This Row],[Categorías]])</f>
        <v>20</v>
      </c>
    </row>
    <row r="525" spans="2:5" x14ac:dyDescent="0.3">
      <c r="B525" t="s">
        <v>325</v>
      </c>
      <c r="C525" t="s">
        <v>41</v>
      </c>
      <c r="D525" s="16" t="s">
        <v>324</v>
      </c>
      <c r="E525">
        <f>LEN(Tabla1[[#This Row],[Categorías]])</f>
        <v>20</v>
      </c>
    </row>
    <row r="526" spans="2:5" x14ac:dyDescent="0.3">
      <c r="B526" t="s">
        <v>443</v>
      </c>
      <c r="C526" t="s">
        <v>41</v>
      </c>
      <c r="E526">
        <f>LEN(Tabla1[[#This Row],[Categorías]])</f>
        <v>20</v>
      </c>
    </row>
    <row r="527" spans="2:5" x14ac:dyDescent="0.3">
      <c r="B527" t="s">
        <v>13</v>
      </c>
      <c r="C527" t="s">
        <v>48</v>
      </c>
      <c r="D527" s="16" t="s">
        <v>324</v>
      </c>
      <c r="E527">
        <f>LEN(Tabla1[[#This Row],[Categorías]])</f>
        <v>7</v>
      </c>
    </row>
    <row r="528" spans="2:5" x14ac:dyDescent="0.3">
      <c r="B528" t="s">
        <v>325</v>
      </c>
      <c r="C528" t="s">
        <v>48</v>
      </c>
      <c r="D528" s="16" t="s">
        <v>324</v>
      </c>
      <c r="E528">
        <f>LEN(Tabla1[[#This Row],[Categorías]])</f>
        <v>7</v>
      </c>
    </row>
    <row r="529" spans="2:5" x14ac:dyDescent="0.3">
      <c r="B529" t="s">
        <v>443</v>
      </c>
      <c r="C529" t="s">
        <v>48</v>
      </c>
      <c r="E529">
        <f>LEN(Tabla1[[#This Row],[Categorías]])</f>
        <v>7</v>
      </c>
    </row>
    <row r="530" spans="2:5" x14ac:dyDescent="0.3">
      <c r="B530" t="s">
        <v>325</v>
      </c>
      <c r="C530" t="s">
        <v>392</v>
      </c>
      <c r="D530" s="16" t="s">
        <v>324</v>
      </c>
      <c r="E530">
        <f>LEN(Tabla1[[#This Row],[Categorías]])</f>
        <v>53</v>
      </c>
    </row>
    <row r="531" spans="2:5" x14ac:dyDescent="0.3">
      <c r="B531" t="s">
        <v>443</v>
      </c>
      <c r="C531" t="s">
        <v>392</v>
      </c>
      <c r="E531">
        <f>LEN(Tabla1[[#This Row],[Categorías]])</f>
        <v>53</v>
      </c>
    </row>
    <row r="532" spans="2:5" x14ac:dyDescent="0.3">
      <c r="B532" t="s">
        <v>13</v>
      </c>
      <c r="C532" t="s">
        <v>81</v>
      </c>
      <c r="D532" s="16" t="s">
        <v>324</v>
      </c>
      <c r="E532">
        <f>LEN(Tabla1[[#This Row],[Categorías]])</f>
        <v>41</v>
      </c>
    </row>
    <row r="533" spans="2:5" x14ac:dyDescent="0.3">
      <c r="B533" t="s">
        <v>325</v>
      </c>
      <c r="C533" t="s">
        <v>81</v>
      </c>
      <c r="D533" s="16" t="s">
        <v>324</v>
      </c>
      <c r="E533">
        <f>LEN(Tabla1[[#This Row],[Categorías]])</f>
        <v>41</v>
      </c>
    </row>
    <row r="534" spans="2:5" x14ac:dyDescent="0.3">
      <c r="B534" t="s">
        <v>443</v>
      </c>
      <c r="C534" t="s">
        <v>81</v>
      </c>
      <c r="E534">
        <f>LEN(Tabla1[[#This Row],[Categorías]])</f>
        <v>41</v>
      </c>
    </row>
    <row r="535" spans="2:5" x14ac:dyDescent="0.3">
      <c r="B535" t="s">
        <v>7</v>
      </c>
      <c r="C535" t="s">
        <v>3</v>
      </c>
      <c r="E535">
        <f>LEN(Tabla1[[#This Row],[Categorías]])</f>
        <v>10</v>
      </c>
    </row>
    <row r="536" spans="2:5" x14ac:dyDescent="0.3">
      <c r="B536" t="s">
        <v>8</v>
      </c>
      <c r="C536" t="s">
        <v>3</v>
      </c>
      <c r="E536">
        <f>LEN(Tabla1[[#This Row],[Categorías]])</f>
        <v>10</v>
      </c>
    </row>
    <row r="537" spans="2:5" x14ac:dyDescent="0.3">
      <c r="B537" t="s">
        <v>2</v>
      </c>
      <c r="C537" t="s">
        <v>3</v>
      </c>
      <c r="E537">
        <f>LEN(Tabla1[[#This Row],[Categorías]])</f>
        <v>10</v>
      </c>
    </row>
    <row r="538" spans="2:5" x14ac:dyDescent="0.3">
      <c r="B538" t="s">
        <v>6</v>
      </c>
      <c r="C538" t="s">
        <v>3</v>
      </c>
      <c r="E538">
        <f>LEN(Tabla1[[#This Row],[Categorías]])</f>
        <v>10</v>
      </c>
    </row>
    <row r="539" spans="2:5" x14ac:dyDescent="0.3">
      <c r="B539" t="s">
        <v>9</v>
      </c>
      <c r="C539" t="s">
        <v>3</v>
      </c>
      <c r="E539">
        <f>LEN(Tabla1[[#This Row],[Categorías]])</f>
        <v>10</v>
      </c>
    </row>
    <row r="540" spans="2:5" x14ac:dyDescent="0.3">
      <c r="B540" t="s">
        <v>447</v>
      </c>
      <c r="C540" t="s">
        <v>449</v>
      </c>
      <c r="E540">
        <f>LEN(Tabla1[[#This Row],[Categorías]])</f>
        <v>64</v>
      </c>
    </row>
    <row r="541" spans="2:5" x14ac:dyDescent="0.3">
      <c r="B541" t="s">
        <v>13</v>
      </c>
      <c r="C541" t="s">
        <v>272</v>
      </c>
      <c r="D541" s="16" t="s">
        <v>324</v>
      </c>
      <c r="E541">
        <f>LEN(Tabla1[[#This Row],[Categorías]])</f>
        <v>71</v>
      </c>
    </row>
    <row r="542" spans="2:5" x14ac:dyDescent="0.3">
      <c r="B542" t="s">
        <v>325</v>
      </c>
      <c r="C542" t="s">
        <v>272</v>
      </c>
      <c r="D542" s="16" t="s">
        <v>324</v>
      </c>
      <c r="E542">
        <f>LEN(Tabla1[[#This Row],[Categorías]])</f>
        <v>71</v>
      </c>
    </row>
    <row r="543" spans="2:5" x14ac:dyDescent="0.3">
      <c r="B543" t="s">
        <v>325</v>
      </c>
      <c r="C543" t="s">
        <v>385</v>
      </c>
      <c r="D543" s="16" t="s">
        <v>324</v>
      </c>
      <c r="E543">
        <f>LEN(Tabla1[[#This Row],[Categorías]])</f>
        <v>69</v>
      </c>
    </row>
    <row r="544" spans="2:5" x14ac:dyDescent="0.3">
      <c r="B544" t="s">
        <v>13</v>
      </c>
      <c r="C544" t="s">
        <v>97</v>
      </c>
      <c r="D544" s="16" t="s">
        <v>324</v>
      </c>
      <c r="E544">
        <f>LEN(Tabla1[[#This Row],[Categorías]])</f>
        <v>9</v>
      </c>
    </row>
    <row r="545" spans="2:5" x14ac:dyDescent="0.3">
      <c r="B545" t="s">
        <v>325</v>
      </c>
      <c r="C545" t="s">
        <v>97</v>
      </c>
      <c r="D545" s="16" t="s">
        <v>324</v>
      </c>
      <c r="E545">
        <f>LEN(Tabla1[[#This Row],[Categorías]])</f>
        <v>9</v>
      </c>
    </row>
    <row r="546" spans="2:5" x14ac:dyDescent="0.3">
      <c r="B546" t="s">
        <v>443</v>
      </c>
      <c r="C546" t="s">
        <v>97</v>
      </c>
      <c r="E546">
        <f>LEN(Tabla1[[#This Row],[Categorías]])</f>
        <v>9</v>
      </c>
    </row>
    <row r="547" spans="2:5" x14ac:dyDescent="0.3">
      <c r="B547" t="s">
        <v>13</v>
      </c>
      <c r="C547" t="s">
        <v>27</v>
      </c>
      <c r="D547" s="16" t="s">
        <v>324</v>
      </c>
      <c r="E547">
        <f>LEN(Tabla1[[#This Row],[Categorías]])</f>
        <v>8</v>
      </c>
    </row>
    <row r="548" spans="2:5" x14ac:dyDescent="0.3">
      <c r="B548" t="s">
        <v>325</v>
      </c>
      <c r="C548" t="s">
        <v>27</v>
      </c>
      <c r="D548" s="16" t="s">
        <v>324</v>
      </c>
      <c r="E548">
        <f>LEN(Tabla1[[#This Row],[Categorías]])</f>
        <v>8</v>
      </c>
    </row>
    <row r="549" spans="2:5" x14ac:dyDescent="0.3">
      <c r="B549" t="s">
        <v>443</v>
      </c>
      <c r="C549" t="s">
        <v>27</v>
      </c>
      <c r="E549">
        <f>LEN(Tabla1[[#This Row],[Categorías]])</f>
        <v>8</v>
      </c>
    </row>
    <row r="550" spans="2:5" x14ac:dyDescent="0.3">
      <c r="B550" t="s">
        <v>13</v>
      </c>
      <c r="C550" t="s">
        <v>219</v>
      </c>
      <c r="D550" s="16" t="s">
        <v>324</v>
      </c>
      <c r="E550">
        <f>LEN(Tabla1[[#This Row],[Categorías]])</f>
        <v>17</v>
      </c>
    </row>
    <row r="551" spans="2:5" x14ac:dyDescent="0.3">
      <c r="B551" t="s">
        <v>325</v>
      </c>
      <c r="C551" t="s">
        <v>219</v>
      </c>
      <c r="D551" s="16" t="s">
        <v>324</v>
      </c>
      <c r="E551">
        <f>LEN(Tabla1[[#This Row],[Categorías]])</f>
        <v>17</v>
      </c>
    </row>
    <row r="552" spans="2:5" x14ac:dyDescent="0.3">
      <c r="B552" t="s">
        <v>13</v>
      </c>
      <c r="C552" t="s">
        <v>220</v>
      </c>
      <c r="D552" s="16" t="s">
        <v>324</v>
      </c>
      <c r="E552">
        <f>LEN(Tabla1[[#This Row],[Categorías]])</f>
        <v>16</v>
      </c>
    </row>
    <row r="553" spans="2:5" x14ac:dyDescent="0.3">
      <c r="B553" t="s">
        <v>325</v>
      </c>
      <c r="C553" t="s">
        <v>220</v>
      </c>
      <c r="D553" s="16" t="s">
        <v>324</v>
      </c>
      <c r="E553">
        <f>LEN(Tabla1[[#This Row],[Categorías]])</f>
        <v>16</v>
      </c>
    </row>
    <row r="554" spans="2:5" x14ac:dyDescent="0.3">
      <c r="B554" t="s">
        <v>325</v>
      </c>
      <c r="C554" t="s">
        <v>326</v>
      </c>
      <c r="D554" s="16" t="s">
        <v>324</v>
      </c>
      <c r="E554">
        <f>LEN(Tabla1[[#This Row],[Categorías]])</f>
        <v>16</v>
      </c>
    </row>
    <row r="555" spans="2:5" x14ac:dyDescent="0.3">
      <c r="B555" t="s">
        <v>325</v>
      </c>
      <c r="C555" t="s">
        <v>359</v>
      </c>
      <c r="D555" s="16" t="s">
        <v>324</v>
      </c>
      <c r="E555">
        <f>LEN(Tabla1[[#This Row],[Categorías]])</f>
        <v>37</v>
      </c>
    </row>
    <row r="556" spans="2:5" x14ac:dyDescent="0.3">
      <c r="B556" t="s">
        <v>325</v>
      </c>
      <c r="C556" t="s">
        <v>356</v>
      </c>
      <c r="D556" s="16" t="s">
        <v>324</v>
      </c>
      <c r="E556">
        <f>LEN(Tabla1[[#This Row],[Categorías]])</f>
        <v>45</v>
      </c>
    </row>
    <row r="557" spans="2:5" x14ac:dyDescent="0.3">
      <c r="B557" t="s">
        <v>325</v>
      </c>
      <c r="C557" t="s">
        <v>357</v>
      </c>
      <c r="D557" s="16" t="s">
        <v>324</v>
      </c>
      <c r="E557">
        <f>LEN(Tabla1[[#This Row],[Categorías]])</f>
        <v>42</v>
      </c>
    </row>
    <row r="558" spans="2:5" x14ac:dyDescent="0.3">
      <c r="B558" t="s">
        <v>325</v>
      </c>
      <c r="C558" t="s">
        <v>358</v>
      </c>
      <c r="D558" s="16" t="s">
        <v>324</v>
      </c>
      <c r="E558">
        <f>LEN(Tabla1[[#This Row],[Categorías]])</f>
        <v>32</v>
      </c>
    </row>
    <row r="559" spans="2:5" x14ac:dyDescent="0.3">
      <c r="B559" t="s">
        <v>325</v>
      </c>
      <c r="C559" t="s">
        <v>386</v>
      </c>
      <c r="D559" s="16" t="s">
        <v>324</v>
      </c>
      <c r="E559">
        <f>LEN(Tabla1[[#This Row],[Categorías]])</f>
        <v>75</v>
      </c>
    </row>
    <row r="560" spans="2:5" x14ac:dyDescent="0.3">
      <c r="B560" t="s">
        <v>325</v>
      </c>
      <c r="C560" t="s">
        <v>387</v>
      </c>
      <c r="D560" s="16" t="s">
        <v>324</v>
      </c>
      <c r="E560">
        <f>LEN(Tabla1[[#This Row],[Categorías]])</f>
        <v>29</v>
      </c>
    </row>
    <row r="561" spans="2:5" x14ac:dyDescent="0.3">
      <c r="B561" t="s">
        <v>485</v>
      </c>
      <c r="C561" t="s">
        <v>491</v>
      </c>
      <c r="E561">
        <f>LEN(Tabla1[[#This Row],[Categorías]])</f>
        <v>12</v>
      </c>
    </row>
    <row r="562" spans="2:5" x14ac:dyDescent="0.3">
      <c r="B562" t="s">
        <v>485</v>
      </c>
      <c r="C562" t="s">
        <v>492</v>
      </c>
      <c r="E562">
        <f>LEN(Tabla1[[#This Row],[Categorías]])</f>
        <v>8</v>
      </c>
    </row>
    <row r="563" spans="2:5" x14ac:dyDescent="0.3">
      <c r="B563" t="s">
        <v>447</v>
      </c>
      <c r="C563" t="s">
        <v>452</v>
      </c>
      <c r="E563">
        <f>LEN(Tabla1[[#This Row],[Categorías]])</f>
        <v>87</v>
      </c>
    </row>
    <row r="564" spans="2:5" x14ac:dyDescent="0.3">
      <c r="B564" t="s">
        <v>462</v>
      </c>
      <c r="C564" t="s">
        <v>463</v>
      </c>
      <c r="E564">
        <f>LEN(Tabla1[[#This Row],[Categorías]])</f>
        <v>8</v>
      </c>
    </row>
    <row r="565" spans="2:5" x14ac:dyDescent="0.3">
      <c r="B565" t="s">
        <v>447</v>
      </c>
      <c r="C565" t="s">
        <v>450</v>
      </c>
      <c r="E565">
        <f>LEN(Tabla1[[#This Row],[Categorías]])</f>
        <v>7</v>
      </c>
    </row>
    <row r="566" spans="2:5" x14ac:dyDescent="0.3">
      <c r="B566" t="s">
        <v>13</v>
      </c>
      <c r="C566" t="s">
        <v>179</v>
      </c>
      <c r="D566" s="16" t="s">
        <v>324</v>
      </c>
      <c r="E566">
        <f>LEN(Tabla1[[#This Row],[Categorías]])</f>
        <v>12</v>
      </c>
    </row>
    <row r="567" spans="2:5" x14ac:dyDescent="0.3">
      <c r="B567" t="s">
        <v>325</v>
      </c>
      <c r="C567" t="s">
        <v>179</v>
      </c>
      <c r="D567" s="16" t="s">
        <v>324</v>
      </c>
      <c r="E567">
        <f>LEN(Tabla1[[#This Row],[Categorías]])</f>
        <v>12</v>
      </c>
    </row>
    <row r="568" spans="2:5" x14ac:dyDescent="0.3">
      <c r="B568" t="s">
        <v>443</v>
      </c>
      <c r="C568" t="s">
        <v>179</v>
      </c>
      <c r="E568">
        <f>LEN(Tabla1[[#This Row],[Categorías]])</f>
        <v>12</v>
      </c>
    </row>
    <row r="569" spans="2:5" x14ac:dyDescent="0.3">
      <c r="B569" t="s">
        <v>325</v>
      </c>
      <c r="C569" t="s">
        <v>360</v>
      </c>
      <c r="D569" s="16" t="s">
        <v>324</v>
      </c>
      <c r="E569">
        <f>LEN(Tabla1[[#This Row],[Categorías]])</f>
        <v>30</v>
      </c>
    </row>
    <row r="570" spans="2:5" x14ac:dyDescent="0.3">
      <c r="B570" t="s">
        <v>443</v>
      </c>
      <c r="C570" t="s">
        <v>360</v>
      </c>
      <c r="E570">
        <f>LEN(Tabla1[[#This Row],[Categorías]])</f>
        <v>30</v>
      </c>
    </row>
    <row r="571" spans="2:5" x14ac:dyDescent="0.3">
      <c r="B571" t="s">
        <v>13</v>
      </c>
      <c r="C571" t="s">
        <v>280</v>
      </c>
      <c r="D571" s="16" t="s">
        <v>324</v>
      </c>
      <c r="E571">
        <f>LEN(Tabla1[[#This Row],[Categorías]])</f>
        <v>69</v>
      </c>
    </row>
    <row r="572" spans="2:5" x14ac:dyDescent="0.3">
      <c r="B572" t="s">
        <v>325</v>
      </c>
      <c r="C572" t="s">
        <v>280</v>
      </c>
      <c r="D572" s="16" t="s">
        <v>324</v>
      </c>
      <c r="E572">
        <f>LEN(Tabla1[[#This Row],[Categorías]])</f>
        <v>69</v>
      </c>
    </row>
    <row r="573" spans="2:5" x14ac:dyDescent="0.3">
      <c r="B573" t="s">
        <v>443</v>
      </c>
      <c r="C573" t="s">
        <v>280</v>
      </c>
      <c r="E573">
        <f>LEN(Tabla1[[#This Row],[Categorías]])</f>
        <v>69</v>
      </c>
    </row>
    <row r="574" spans="2:5" x14ac:dyDescent="0.3">
      <c r="B574" t="s">
        <v>13</v>
      </c>
      <c r="C574" t="s">
        <v>279</v>
      </c>
      <c r="D574" s="16" t="s">
        <v>324</v>
      </c>
      <c r="E574">
        <f>LEN(Tabla1[[#This Row],[Categorías]])</f>
        <v>44</v>
      </c>
    </row>
    <row r="575" spans="2:5" x14ac:dyDescent="0.3">
      <c r="B575" t="s">
        <v>325</v>
      </c>
      <c r="C575" t="s">
        <v>279</v>
      </c>
      <c r="D575" s="16" t="s">
        <v>324</v>
      </c>
      <c r="E575">
        <f>LEN(Tabla1[[#This Row],[Categorías]])</f>
        <v>44</v>
      </c>
    </row>
    <row r="576" spans="2:5" x14ac:dyDescent="0.3">
      <c r="B576" t="s">
        <v>443</v>
      </c>
      <c r="C576" t="s">
        <v>279</v>
      </c>
      <c r="E576">
        <f>LEN(Tabla1[[#This Row],[Categorías]])</f>
        <v>44</v>
      </c>
    </row>
    <row r="577" spans="2:5" x14ac:dyDescent="0.3">
      <c r="B577" t="s">
        <v>13</v>
      </c>
      <c r="C577" t="s">
        <v>281</v>
      </c>
      <c r="D577" s="16" t="s">
        <v>324</v>
      </c>
      <c r="E577">
        <f>LEN(Tabla1[[#This Row],[Categorías]])</f>
        <v>47</v>
      </c>
    </row>
    <row r="578" spans="2:5" x14ac:dyDescent="0.3">
      <c r="B578" t="s">
        <v>325</v>
      </c>
      <c r="C578" t="s">
        <v>281</v>
      </c>
      <c r="D578" s="16" t="s">
        <v>324</v>
      </c>
      <c r="E578">
        <f>LEN(Tabla1[[#This Row],[Categorías]])</f>
        <v>47</v>
      </c>
    </row>
    <row r="579" spans="2:5" x14ac:dyDescent="0.3">
      <c r="B579" t="s">
        <v>443</v>
      </c>
      <c r="C579" t="s">
        <v>281</v>
      </c>
      <c r="E579">
        <f>LEN(Tabla1[[#This Row],[Categorías]])</f>
        <v>47</v>
      </c>
    </row>
    <row r="580" spans="2:5" x14ac:dyDescent="0.3">
      <c r="B580" t="s">
        <v>13</v>
      </c>
      <c r="C580" t="s">
        <v>282</v>
      </c>
      <c r="D580" s="16" t="s">
        <v>324</v>
      </c>
      <c r="E580">
        <f>LEN(Tabla1[[#This Row],[Categorías]])</f>
        <v>51</v>
      </c>
    </row>
    <row r="581" spans="2:5" x14ac:dyDescent="0.3">
      <c r="B581" t="s">
        <v>325</v>
      </c>
      <c r="C581" t="s">
        <v>282</v>
      </c>
      <c r="D581" s="16" t="s">
        <v>324</v>
      </c>
      <c r="E581">
        <f>LEN(Tabla1[[#This Row],[Categorías]])</f>
        <v>51</v>
      </c>
    </row>
    <row r="582" spans="2:5" x14ac:dyDescent="0.3">
      <c r="B582" t="s">
        <v>443</v>
      </c>
      <c r="C582" t="s">
        <v>282</v>
      </c>
      <c r="E582">
        <f>LEN(Tabla1[[#This Row],[Categorías]])</f>
        <v>51</v>
      </c>
    </row>
    <row r="583" spans="2:5" x14ac:dyDescent="0.3">
      <c r="B583" t="s">
        <v>462</v>
      </c>
      <c r="C583" t="s">
        <v>470</v>
      </c>
      <c r="E583">
        <f>LEN(Tabla1[[#This Row],[Categorías]])</f>
        <v>12</v>
      </c>
    </row>
    <row r="584" spans="2:5" x14ac:dyDescent="0.3">
      <c r="B584" t="s">
        <v>485</v>
      </c>
      <c r="C584" t="s">
        <v>486</v>
      </c>
      <c r="E584">
        <f>LEN(Tabla1[[#This Row],[Categorías]])</f>
        <v>7</v>
      </c>
    </row>
    <row r="585" spans="2:5" x14ac:dyDescent="0.3">
      <c r="B585" t="s">
        <v>13</v>
      </c>
      <c r="C585" t="s">
        <v>180</v>
      </c>
      <c r="D585" s="16" t="s">
        <v>324</v>
      </c>
      <c r="E585">
        <f>LEN(Tabla1[[#This Row],[Categorías]])</f>
        <v>15</v>
      </c>
    </row>
    <row r="586" spans="2:5" x14ac:dyDescent="0.3">
      <c r="B586" t="s">
        <v>325</v>
      </c>
      <c r="C586" t="s">
        <v>180</v>
      </c>
      <c r="D586" s="16" t="s">
        <v>324</v>
      </c>
      <c r="E586">
        <f>LEN(Tabla1[[#This Row],[Categorías]])</f>
        <v>15</v>
      </c>
    </row>
    <row r="587" spans="2:5" x14ac:dyDescent="0.3">
      <c r="B587" t="s">
        <v>443</v>
      </c>
      <c r="C587" t="s">
        <v>180</v>
      </c>
      <c r="E587">
        <f>LEN(Tabla1[[#This Row],[Categorías]])</f>
        <v>15</v>
      </c>
    </row>
    <row r="588" spans="2:5" x14ac:dyDescent="0.3">
      <c r="B588" t="s">
        <v>13</v>
      </c>
      <c r="C588" t="s">
        <v>195</v>
      </c>
      <c r="D588" s="16" t="s">
        <v>324</v>
      </c>
      <c r="E588">
        <f>LEN(Tabla1[[#This Row],[Categorías]])</f>
        <v>38</v>
      </c>
    </row>
    <row r="589" spans="2:5" x14ac:dyDescent="0.3">
      <c r="B589" t="s">
        <v>13</v>
      </c>
      <c r="C589" t="s">
        <v>168</v>
      </c>
      <c r="D589" s="16" t="s">
        <v>324</v>
      </c>
      <c r="E589">
        <f>LEN(Tabla1[[#This Row],[Categorías]])</f>
        <v>15</v>
      </c>
    </row>
    <row r="590" spans="2:5" x14ac:dyDescent="0.3">
      <c r="B590" t="s">
        <v>325</v>
      </c>
      <c r="C590" t="s">
        <v>168</v>
      </c>
      <c r="D590" s="16" t="s">
        <v>324</v>
      </c>
      <c r="E590">
        <f>LEN(Tabla1[[#This Row],[Categorías]])</f>
        <v>15</v>
      </c>
    </row>
    <row r="591" spans="2:5" x14ac:dyDescent="0.3">
      <c r="B591" t="s">
        <v>443</v>
      </c>
      <c r="C591" t="s">
        <v>168</v>
      </c>
      <c r="E591">
        <f>LEN(Tabla1[[#This Row],[Categorías]])</f>
        <v>15</v>
      </c>
    </row>
    <row r="592" spans="2:5" x14ac:dyDescent="0.3">
      <c r="B592" t="s">
        <v>462</v>
      </c>
      <c r="C592" t="s">
        <v>168</v>
      </c>
      <c r="E592">
        <f>LEN(Tabla1[[#This Row],[Categorías]])</f>
        <v>15</v>
      </c>
    </row>
    <row r="593" spans="2:5" x14ac:dyDescent="0.3">
      <c r="B593" t="s">
        <v>485</v>
      </c>
      <c r="C593" t="s">
        <v>168</v>
      </c>
      <c r="E593">
        <f>LEN(Tabla1[[#This Row],[Categorías]])</f>
        <v>15</v>
      </c>
    </row>
    <row r="594" spans="2:5" x14ac:dyDescent="0.3">
      <c r="B594" t="s">
        <v>13</v>
      </c>
      <c r="C594" t="s">
        <v>158</v>
      </c>
      <c r="D594" s="16" t="s">
        <v>324</v>
      </c>
      <c r="E594">
        <f>LEN(Tabla1[[#This Row],[Categorías]])</f>
        <v>47</v>
      </c>
    </row>
    <row r="595" spans="2:5" x14ac:dyDescent="0.3">
      <c r="B595" t="s">
        <v>325</v>
      </c>
      <c r="C595" t="s">
        <v>158</v>
      </c>
      <c r="D595" s="16" t="s">
        <v>324</v>
      </c>
      <c r="E595">
        <f>LEN(Tabla1[[#This Row],[Categorías]])</f>
        <v>47</v>
      </c>
    </row>
    <row r="596" spans="2:5" x14ac:dyDescent="0.3">
      <c r="B596" t="s">
        <v>443</v>
      </c>
      <c r="C596" t="s">
        <v>158</v>
      </c>
      <c r="E596">
        <f>LEN(Tabla1[[#This Row],[Categorías]])</f>
        <v>47</v>
      </c>
    </row>
    <row r="597" spans="2:5" x14ac:dyDescent="0.3">
      <c r="B597" t="s">
        <v>325</v>
      </c>
      <c r="C597" t="s">
        <v>361</v>
      </c>
      <c r="D597" s="16" t="s">
        <v>324</v>
      </c>
      <c r="E597">
        <f>LEN(Tabla1[[#This Row],[Categorías]])</f>
        <v>72</v>
      </c>
    </row>
    <row r="598" spans="2:5" x14ac:dyDescent="0.3">
      <c r="B598" t="s">
        <v>462</v>
      </c>
      <c r="C598" t="s">
        <v>476</v>
      </c>
      <c r="E598">
        <f>LEN(Tabla1[[#This Row],[Categorías]])</f>
        <v>34</v>
      </c>
    </row>
    <row r="599" spans="2:5" x14ac:dyDescent="0.3">
      <c r="B599" t="s">
        <v>462</v>
      </c>
      <c r="C599" t="s">
        <v>482</v>
      </c>
      <c r="E599">
        <f>LEN(Tabla1[[#This Row],[Categorías]])</f>
        <v>34</v>
      </c>
    </row>
    <row r="600" spans="2:5" x14ac:dyDescent="0.3">
      <c r="B600" t="s">
        <v>447</v>
      </c>
      <c r="C600" t="s">
        <v>454</v>
      </c>
      <c r="E600">
        <f>LEN(Tabla1[[#This Row],[Categorías]])</f>
        <v>4</v>
      </c>
    </row>
    <row r="601" spans="2:5" x14ac:dyDescent="0.3">
      <c r="B601" t="s">
        <v>13</v>
      </c>
      <c r="C601" t="s">
        <v>236</v>
      </c>
      <c r="D601" s="16" t="s">
        <v>324</v>
      </c>
      <c r="E601">
        <f>LEN(Tabla1[[#This Row],[Categorías]])</f>
        <v>22</v>
      </c>
    </row>
    <row r="602" spans="2:5" x14ac:dyDescent="0.3">
      <c r="B602" t="s">
        <v>325</v>
      </c>
      <c r="C602" t="s">
        <v>236</v>
      </c>
      <c r="D602" s="16" t="s">
        <v>324</v>
      </c>
      <c r="E602">
        <f>LEN(Tabla1[[#This Row],[Categorías]])</f>
        <v>22</v>
      </c>
    </row>
    <row r="603" spans="2:5" x14ac:dyDescent="0.3">
      <c r="B603" t="s">
        <v>443</v>
      </c>
      <c r="C603" t="s">
        <v>236</v>
      </c>
      <c r="E603">
        <f>LEN(Tabla1[[#This Row],[Categorías]])</f>
        <v>22</v>
      </c>
    </row>
    <row r="604" spans="2:5" x14ac:dyDescent="0.3">
      <c r="B604" t="s">
        <v>13</v>
      </c>
      <c r="C604" t="s">
        <v>277</v>
      </c>
      <c r="D604" s="16" t="s">
        <v>324</v>
      </c>
      <c r="E604">
        <f>LEN(Tabla1[[#This Row],[Categorías]])</f>
        <v>22</v>
      </c>
    </row>
    <row r="605" spans="2:5" x14ac:dyDescent="0.3">
      <c r="B605" t="s">
        <v>325</v>
      </c>
      <c r="C605" t="s">
        <v>277</v>
      </c>
      <c r="D605" s="16" t="s">
        <v>324</v>
      </c>
      <c r="E605">
        <f>LEN(Tabla1[[#This Row],[Categorías]])</f>
        <v>22</v>
      </c>
    </row>
    <row r="606" spans="2:5" x14ac:dyDescent="0.3">
      <c r="B606" t="s">
        <v>443</v>
      </c>
      <c r="C606" t="s">
        <v>277</v>
      </c>
      <c r="E606">
        <f>LEN(Tabla1[[#This Row],[Categorías]])</f>
        <v>22</v>
      </c>
    </row>
    <row r="607" spans="2:5" x14ac:dyDescent="0.3">
      <c r="B607" t="s">
        <v>13</v>
      </c>
      <c r="C607" t="s">
        <v>302</v>
      </c>
      <c r="D607" s="16" t="s">
        <v>324</v>
      </c>
      <c r="E607">
        <f>LEN(Tabla1[[#This Row],[Categorías]])</f>
        <v>23</v>
      </c>
    </row>
    <row r="608" spans="2:5" x14ac:dyDescent="0.3">
      <c r="B608" t="s">
        <v>325</v>
      </c>
      <c r="C608" t="s">
        <v>302</v>
      </c>
      <c r="D608" s="16" t="s">
        <v>324</v>
      </c>
      <c r="E608">
        <f>LEN(Tabla1[[#This Row],[Categorías]])</f>
        <v>23</v>
      </c>
    </row>
    <row r="609" spans="2:5" x14ac:dyDescent="0.3">
      <c r="B609" t="s">
        <v>443</v>
      </c>
      <c r="C609" t="s">
        <v>302</v>
      </c>
      <c r="E609">
        <f>LEN(Tabla1[[#This Row],[Categorías]])</f>
        <v>23</v>
      </c>
    </row>
    <row r="610" spans="2:5" x14ac:dyDescent="0.3">
      <c r="B610" t="s">
        <v>13</v>
      </c>
      <c r="C610" t="s">
        <v>229</v>
      </c>
      <c r="D610" s="16" t="s">
        <v>324</v>
      </c>
      <c r="E610">
        <f>LEN(Tabla1[[#This Row],[Categorías]])</f>
        <v>22</v>
      </c>
    </row>
    <row r="611" spans="2:5" x14ac:dyDescent="0.3">
      <c r="B611" t="s">
        <v>325</v>
      </c>
      <c r="C611" t="s">
        <v>229</v>
      </c>
      <c r="D611" s="16" t="s">
        <v>324</v>
      </c>
      <c r="E611">
        <f>LEN(Tabla1[[#This Row],[Categorías]])</f>
        <v>22</v>
      </c>
    </row>
    <row r="612" spans="2:5" x14ac:dyDescent="0.3">
      <c r="B612" t="s">
        <v>443</v>
      </c>
      <c r="C612" t="s">
        <v>229</v>
      </c>
      <c r="E612">
        <f>LEN(Tabla1[[#This Row],[Categorías]])</f>
        <v>22</v>
      </c>
    </row>
    <row r="613" spans="2:5" x14ac:dyDescent="0.3">
      <c r="B613" t="s">
        <v>13</v>
      </c>
      <c r="C613" t="s">
        <v>167</v>
      </c>
      <c r="D613" s="16" t="s">
        <v>324</v>
      </c>
      <c r="E613">
        <f>LEN(Tabla1[[#This Row],[Categorías]])</f>
        <v>13</v>
      </c>
    </row>
    <row r="614" spans="2:5" x14ac:dyDescent="0.3">
      <c r="B614" t="s">
        <v>325</v>
      </c>
      <c r="C614" t="s">
        <v>167</v>
      </c>
      <c r="D614" s="16" t="s">
        <v>324</v>
      </c>
      <c r="E614">
        <f>LEN(Tabla1[[#This Row],[Categorías]])</f>
        <v>13</v>
      </c>
    </row>
    <row r="615" spans="2:5" x14ac:dyDescent="0.3">
      <c r="B615" t="s">
        <v>443</v>
      </c>
      <c r="C615" t="s">
        <v>167</v>
      </c>
      <c r="E615">
        <f>LEN(Tabla1[[#This Row],[Categorías]])</f>
        <v>13</v>
      </c>
    </row>
    <row r="616" spans="2:5" x14ac:dyDescent="0.3">
      <c r="B616" t="s">
        <v>13</v>
      </c>
      <c r="C616" t="s">
        <v>311</v>
      </c>
      <c r="D616" s="16" t="s">
        <v>324</v>
      </c>
      <c r="E616">
        <f>LEN(Tabla1[[#This Row],[Categorías]])</f>
        <v>14</v>
      </c>
    </row>
    <row r="617" spans="2:5" x14ac:dyDescent="0.3">
      <c r="B617" t="s">
        <v>325</v>
      </c>
      <c r="C617" t="s">
        <v>311</v>
      </c>
      <c r="D617" s="16" t="s">
        <v>324</v>
      </c>
      <c r="E617">
        <f>LEN(Tabla1[[#This Row],[Categorías]])</f>
        <v>14</v>
      </c>
    </row>
    <row r="618" spans="2:5" x14ac:dyDescent="0.3">
      <c r="B618" t="s">
        <v>443</v>
      </c>
      <c r="C618" t="s">
        <v>311</v>
      </c>
      <c r="E618">
        <f>LEN(Tabla1[[#This Row],[Categorías]])</f>
        <v>14</v>
      </c>
    </row>
    <row r="619" spans="2:5" x14ac:dyDescent="0.3">
      <c r="B619" t="s">
        <v>325</v>
      </c>
      <c r="C619" t="s">
        <v>363</v>
      </c>
      <c r="D619" s="16" t="s">
        <v>324</v>
      </c>
      <c r="E619">
        <f>LEN(Tabla1[[#This Row],[Categorías]])</f>
        <v>50</v>
      </c>
    </row>
    <row r="620" spans="2:5" x14ac:dyDescent="0.3">
      <c r="B620" t="s">
        <v>443</v>
      </c>
      <c r="C620" t="s">
        <v>363</v>
      </c>
      <c r="E620">
        <f>LEN(Tabla1[[#This Row],[Categorías]])</f>
        <v>50</v>
      </c>
    </row>
    <row r="621" spans="2:5" x14ac:dyDescent="0.3">
      <c r="B621" t="s">
        <v>325</v>
      </c>
      <c r="C621" t="s">
        <v>362</v>
      </c>
      <c r="D621" s="16" t="s">
        <v>324</v>
      </c>
      <c r="E621">
        <f>LEN(Tabla1[[#This Row],[Categorías]])</f>
        <v>51</v>
      </c>
    </row>
    <row r="622" spans="2:5" x14ac:dyDescent="0.3">
      <c r="B622" t="s">
        <v>13</v>
      </c>
      <c r="C622" t="s">
        <v>242</v>
      </c>
      <c r="D622" s="16" t="s">
        <v>324</v>
      </c>
      <c r="E622">
        <f>LEN(Tabla1[[#This Row],[Categorías]])</f>
        <v>59</v>
      </c>
    </row>
    <row r="623" spans="2:5" x14ac:dyDescent="0.3">
      <c r="B623" t="s">
        <v>325</v>
      </c>
      <c r="C623" t="s">
        <v>242</v>
      </c>
      <c r="D623" s="16" t="s">
        <v>324</v>
      </c>
      <c r="E623">
        <f>LEN(Tabla1[[#This Row],[Categorías]])</f>
        <v>59</v>
      </c>
    </row>
    <row r="624" spans="2:5" x14ac:dyDescent="0.3">
      <c r="B624" t="s">
        <v>443</v>
      </c>
      <c r="C624" t="s">
        <v>242</v>
      </c>
      <c r="E624">
        <f>LEN(Tabla1[[#This Row],[Categorías]])</f>
        <v>59</v>
      </c>
    </row>
    <row r="625" spans="2:5" x14ac:dyDescent="0.3">
      <c r="B625" t="s">
        <v>325</v>
      </c>
      <c r="C625" t="s">
        <v>379</v>
      </c>
      <c r="D625" s="16" t="s">
        <v>324</v>
      </c>
      <c r="E625">
        <f>LEN(Tabla1[[#This Row],[Categorías]])</f>
        <v>87</v>
      </c>
    </row>
    <row r="626" spans="2:5" x14ac:dyDescent="0.3">
      <c r="B626" t="s">
        <v>443</v>
      </c>
      <c r="C626" t="s">
        <v>379</v>
      </c>
      <c r="E626">
        <f>LEN(Tabla1[[#This Row],[Categorías]])</f>
        <v>87</v>
      </c>
    </row>
    <row r="627" spans="2:5" x14ac:dyDescent="0.3">
      <c r="B627" t="s">
        <v>13</v>
      </c>
      <c r="C627" t="s">
        <v>268</v>
      </c>
      <c r="D627" s="16" t="s">
        <v>324</v>
      </c>
      <c r="E627">
        <f>LEN(Tabla1[[#This Row],[Categorías]])</f>
        <v>86</v>
      </c>
    </row>
    <row r="628" spans="2:5" x14ac:dyDescent="0.3">
      <c r="B628" t="s">
        <v>325</v>
      </c>
      <c r="C628" t="s">
        <v>268</v>
      </c>
      <c r="D628" s="16" t="s">
        <v>324</v>
      </c>
      <c r="E628">
        <f>LEN(Tabla1[[#This Row],[Categorías]])</f>
        <v>86</v>
      </c>
    </row>
    <row r="629" spans="2:5" x14ac:dyDescent="0.3">
      <c r="B629" t="s">
        <v>443</v>
      </c>
      <c r="C629" t="s">
        <v>268</v>
      </c>
      <c r="E629">
        <f>LEN(Tabla1[[#This Row],[Categorías]])</f>
        <v>86</v>
      </c>
    </row>
    <row r="630" spans="2:5" x14ac:dyDescent="0.3">
      <c r="B630" t="s">
        <v>13</v>
      </c>
      <c r="C630" t="s">
        <v>181</v>
      </c>
      <c r="D630" s="16" t="s">
        <v>324</v>
      </c>
      <c r="E630">
        <f>LEN(Tabla1[[#This Row],[Categorías]])</f>
        <v>34</v>
      </c>
    </row>
    <row r="631" spans="2:5" x14ac:dyDescent="0.3">
      <c r="B631" t="s">
        <v>325</v>
      </c>
      <c r="C631" t="s">
        <v>181</v>
      </c>
      <c r="D631" s="16" t="s">
        <v>324</v>
      </c>
      <c r="E631">
        <f>LEN(Tabla1[[#This Row],[Categorías]])</f>
        <v>34</v>
      </c>
    </row>
    <row r="632" spans="2:5" x14ac:dyDescent="0.3">
      <c r="B632" t="s">
        <v>443</v>
      </c>
      <c r="C632" t="s">
        <v>181</v>
      </c>
      <c r="E632">
        <f>LEN(Tabla1[[#This Row],[Categorías]])</f>
        <v>34</v>
      </c>
    </row>
    <row r="633" spans="2:5" x14ac:dyDescent="0.3">
      <c r="B633" t="s">
        <v>13</v>
      </c>
      <c r="C633" t="s">
        <v>262</v>
      </c>
      <c r="D633" s="16" t="s">
        <v>324</v>
      </c>
      <c r="E633">
        <f>LEN(Tabla1[[#This Row],[Categorías]])</f>
        <v>50</v>
      </c>
    </row>
    <row r="634" spans="2:5" x14ac:dyDescent="0.3">
      <c r="B634" t="s">
        <v>325</v>
      </c>
      <c r="C634" t="s">
        <v>262</v>
      </c>
      <c r="D634" s="16" t="s">
        <v>324</v>
      </c>
      <c r="E634">
        <f>LEN(Tabla1[[#This Row],[Categorías]])</f>
        <v>50</v>
      </c>
    </row>
    <row r="635" spans="2:5" x14ac:dyDescent="0.3">
      <c r="B635" t="s">
        <v>443</v>
      </c>
      <c r="C635" t="s">
        <v>262</v>
      </c>
      <c r="E635">
        <f>LEN(Tabla1[[#This Row],[Categorías]])</f>
        <v>50</v>
      </c>
    </row>
    <row r="636" spans="2:5" x14ac:dyDescent="0.3">
      <c r="B636" t="s">
        <v>13</v>
      </c>
      <c r="C636" t="s">
        <v>139</v>
      </c>
      <c r="D636" s="16" t="s">
        <v>324</v>
      </c>
      <c r="E636">
        <f>LEN(Tabla1[[#This Row],[Categorías]])</f>
        <v>49</v>
      </c>
    </row>
    <row r="637" spans="2:5" x14ac:dyDescent="0.3">
      <c r="B637" t="s">
        <v>325</v>
      </c>
      <c r="C637" t="s">
        <v>139</v>
      </c>
      <c r="D637" s="16" t="s">
        <v>324</v>
      </c>
      <c r="E637">
        <f>LEN(Tabla1[[#This Row],[Categorías]])</f>
        <v>49</v>
      </c>
    </row>
    <row r="638" spans="2:5" x14ac:dyDescent="0.3">
      <c r="B638" t="s">
        <v>443</v>
      </c>
      <c r="C638" t="s">
        <v>139</v>
      </c>
      <c r="E638">
        <f>LEN(Tabla1[[#This Row],[Categorías]])</f>
        <v>49</v>
      </c>
    </row>
    <row r="639" spans="2:5" x14ac:dyDescent="0.3">
      <c r="B639" t="s">
        <v>13</v>
      </c>
      <c r="C639" t="s">
        <v>82</v>
      </c>
      <c r="D639" s="16" t="s">
        <v>324</v>
      </c>
      <c r="E639">
        <f>LEN(Tabla1[[#This Row],[Categorías]])</f>
        <v>31</v>
      </c>
    </row>
    <row r="640" spans="2:5" x14ac:dyDescent="0.3">
      <c r="B640" t="s">
        <v>325</v>
      </c>
      <c r="C640" t="s">
        <v>82</v>
      </c>
      <c r="D640" s="16" t="s">
        <v>324</v>
      </c>
      <c r="E640">
        <f>LEN(Tabla1[[#This Row],[Categorías]])</f>
        <v>31</v>
      </c>
    </row>
    <row r="641" spans="2:5" x14ac:dyDescent="0.3">
      <c r="B641" t="s">
        <v>443</v>
      </c>
      <c r="C641" t="s">
        <v>82</v>
      </c>
      <c r="E641">
        <f>LEN(Tabla1[[#This Row],[Categorías]])</f>
        <v>31</v>
      </c>
    </row>
    <row r="642" spans="2:5" x14ac:dyDescent="0.3">
      <c r="B642" t="s">
        <v>13</v>
      </c>
      <c r="C642" t="s">
        <v>221</v>
      </c>
      <c r="D642" s="16" t="s">
        <v>324</v>
      </c>
      <c r="E642">
        <f>LEN(Tabla1[[#This Row],[Categorías]])</f>
        <v>33</v>
      </c>
    </row>
    <row r="643" spans="2:5" x14ac:dyDescent="0.3">
      <c r="B643" t="s">
        <v>325</v>
      </c>
      <c r="C643" t="s">
        <v>437</v>
      </c>
      <c r="D643" s="16" t="s">
        <v>324</v>
      </c>
      <c r="E643">
        <f>LEN(Tabla1[[#This Row],[Categorías]])</f>
        <v>41</v>
      </c>
    </row>
    <row r="644" spans="2:5" x14ac:dyDescent="0.3">
      <c r="B644" t="s">
        <v>325</v>
      </c>
      <c r="C644" t="s">
        <v>364</v>
      </c>
      <c r="D644" s="16" t="s">
        <v>324</v>
      </c>
      <c r="E644">
        <f>LEN(Tabla1[[#This Row],[Categorías]])</f>
        <v>29</v>
      </c>
    </row>
    <row r="645" spans="2:5" x14ac:dyDescent="0.3">
      <c r="B645" t="s">
        <v>13</v>
      </c>
      <c r="C645" t="s">
        <v>296</v>
      </c>
      <c r="D645" s="16" t="s">
        <v>324</v>
      </c>
      <c r="E645">
        <f>LEN(Tabla1[[#This Row],[Categorías]])</f>
        <v>89</v>
      </c>
    </row>
    <row r="646" spans="2:5" x14ac:dyDescent="0.3">
      <c r="B646" t="s">
        <v>325</v>
      </c>
      <c r="C646" t="s">
        <v>296</v>
      </c>
      <c r="D646" s="16" t="s">
        <v>324</v>
      </c>
      <c r="E646">
        <f>LEN(Tabla1[[#This Row],[Categorías]])</f>
        <v>89</v>
      </c>
    </row>
    <row r="647" spans="2:5" x14ac:dyDescent="0.3">
      <c r="B647" t="s">
        <v>443</v>
      </c>
      <c r="C647" t="s">
        <v>296</v>
      </c>
      <c r="E647">
        <f>LEN(Tabla1[[#This Row],[Categorías]])</f>
        <v>89</v>
      </c>
    </row>
    <row r="648" spans="2:5" x14ac:dyDescent="0.3">
      <c r="B648" t="s">
        <v>13</v>
      </c>
      <c r="C648" t="s">
        <v>273</v>
      </c>
      <c r="D648" s="16" t="s">
        <v>324</v>
      </c>
      <c r="E648">
        <f>LEN(Tabla1[[#This Row],[Categorías]])</f>
        <v>82</v>
      </c>
    </row>
    <row r="649" spans="2:5" x14ac:dyDescent="0.3">
      <c r="B649" t="s">
        <v>325</v>
      </c>
      <c r="C649" t="s">
        <v>273</v>
      </c>
      <c r="D649" s="16" t="s">
        <v>324</v>
      </c>
      <c r="E649">
        <f>LEN(Tabla1[[#This Row],[Categorías]])</f>
        <v>82</v>
      </c>
    </row>
    <row r="650" spans="2:5" x14ac:dyDescent="0.3">
      <c r="B650" t="s">
        <v>443</v>
      </c>
      <c r="C650" t="s">
        <v>273</v>
      </c>
      <c r="E650">
        <f>LEN(Tabla1[[#This Row],[Categorías]])</f>
        <v>82</v>
      </c>
    </row>
    <row r="651" spans="2:5" x14ac:dyDescent="0.3">
      <c r="B651" t="s">
        <v>13</v>
      </c>
      <c r="C651" t="s">
        <v>284</v>
      </c>
      <c r="D651" s="16" t="s">
        <v>324</v>
      </c>
      <c r="E651">
        <f>LEN(Tabla1[[#This Row],[Categorías]])</f>
        <v>41</v>
      </c>
    </row>
    <row r="652" spans="2:5" x14ac:dyDescent="0.3">
      <c r="B652" t="s">
        <v>325</v>
      </c>
      <c r="C652" t="s">
        <v>284</v>
      </c>
      <c r="D652" s="16" t="s">
        <v>324</v>
      </c>
      <c r="E652">
        <f>LEN(Tabla1[[#This Row],[Categorías]])</f>
        <v>41</v>
      </c>
    </row>
    <row r="653" spans="2:5" x14ac:dyDescent="0.3">
      <c r="B653" t="s">
        <v>443</v>
      </c>
      <c r="C653" t="s">
        <v>284</v>
      </c>
      <c r="E653">
        <f>LEN(Tabla1[[#This Row],[Categorías]])</f>
        <v>41</v>
      </c>
    </row>
    <row r="654" spans="2:5" x14ac:dyDescent="0.3">
      <c r="B654" t="s">
        <v>13</v>
      </c>
      <c r="C654" t="s">
        <v>124</v>
      </c>
      <c r="D654" s="16" t="s">
        <v>324</v>
      </c>
      <c r="E654">
        <f>LEN(Tabla1[[#This Row],[Categorías]])</f>
        <v>67</v>
      </c>
    </row>
    <row r="655" spans="2:5" x14ac:dyDescent="0.3">
      <c r="B655" t="s">
        <v>325</v>
      </c>
      <c r="C655" t="s">
        <v>124</v>
      </c>
      <c r="D655" s="16" t="s">
        <v>324</v>
      </c>
      <c r="E655">
        <f>LEN(Tabla1[[#This Row],[Categorías]])</f>
        <v>67</v>
      </c>
    </row>
    <row r="656" spans="2:5" x14ac:dyDescent="0.3">
      <c r="B656" t="s">
        <v>443</v>
      </c>
      <c r="C656" t="s">
        <v>124</v>
      </c>
      <c r="E656">
        <f>LEN(Tabla1[[#This Row],[Categorías]])</f>
        <v>67</v>
      </c>
    </row>
    <row r="657" spans="2:5" x14ac:dyDescent="0.3">
      <c r="B657" t="s">
        <v>13</v>
      </c>
      <c r="C657" t="s">
        <v>98</v>
      </c>
      <c r="D657" s="16" t="s">
        <v>324</v>
      </c>
      <c r="E657">
        <f>LEN(Tabla1[[#This Row],[Categorías]])</f>
        <v>32</v>
      </c>
    </row>
    <row r="658" spans="2:5" x14ac:dyDescent="0.3">
      <c r="B658" t="s">
        <v>325</v>
      </c>
      <c r="C658" t="s">
        <v>98</v>
      </c>
      <c r="D658" s="16" t="s">
        <v>324</v>
      </c>
      <c r="E658">
        <f>LEN(Tabla1[[#This Row],[Categorías]])</f>
        <v>32</v>
      </c>
    </row>
    <row r="659" spans="2:5" x14ac:dyDescent="0.3">
      <c r="B659" t="s">
        <v>443</v>
      </c>
      <c r="C659" t="s">
        <v>98</v>
      </c>
      <c r="E659">
        <f>LEN(Tabla1[[#This Row],[Categorías]])</f>
        <v>32</v>
      </c>
    </row>
    <row r="660" spans="2:5" x14ac:dyDescent="0.3">
      <c r="B660" t="s">
        <v>325</v>
      </c>
      <c r="C660" t="s">
        <v>432</v>
      </c>
      <c r="D660" s="16" t="s">
        <v>324</v>
      </c>
      <c r="E660">
        <f>LEN(Tabla1[[#This Row],[Categorías]])</f>
        <v>25</v>
      </c>
    </row>
    <row r="661" spans="2:5" x14ac:dyDescent="0.3">
      <c r="B661" t="s">
        <v>13</v>
      </c>
      <c r="C661" t="s">
        <v>182</v>
      </c>
      <c r="D661" s="16" t="s">
        <v>324</v>
      </c>
      <c r="E661">
        <f>LEN(Tabla1[[#This Row],[Categorías]])</f>
        <v>29</v>
      </c>
    </row>
    <row r="662" spans="2:5" x14ac:dyDescent="0.3">
      <c r="B662" t="s">
        <v>443</v>
      </c>
      <c r="C662" t="s">
        <v>200</v>
      </c>
      <c r="E662">
        <f>LEN(Tabla1[[#This Row],[Categorías]])</f>
        <v>29</v>
      </c>
    </row>
    <row r="663" spans="2:5" x14ac:dyDescent="0.3">
      <c r="B663" t="s">
        <v>13</v>
      </c>
      <c r="C663" t="s">
        <v>253</v>
      </c>
      <c r="D663" s="16" t="s">
        <v>324</v>
      </c>
      <c r="E663">
        <f>LEN(Tabla1[[#This Row],[Categorías]])</f>
        <v>77</v>
      </c>
    </row>
    <row r="664" spans="2:5" x14ac:dyDescent="0.3">
      <c r="B664" t="s">
        <v>325</v>
      </c>
      <c r="C664" t="s">
        <v>253</v>
      </c>
      <c r="D664" s="16" t="s">
        <v>324</v>
      </c>
      <c r="E664">
        <f>LEN(Tabla1[[#This Row],[Categorías]])</f>
        <v>77</v>
      </c>
    </row>
    <row r="665" spans="2:5" x14ac:dyDescent="0.3">
      <c r="B665" t="s">
        <v>443</v>
      </c>
      <c r="C665" t="s">
        <v>253</v>
      </c>
      <c r="E665">
        <f>LEN(Tabla1[[#This Row],[Categorías]])</f>
        <v>77</v>
      </c>
    </row>
    <row r="666" spans="2:5" x14ac:dyDescent="0.3">
      <c r="B666" t="s">
        <v>13</v>
      </c>
      <c r="C666" t="s">
        <v>234</v>
      </c>
      <c r="D666" s="16" t="s">
        <v>324</v>
      </c>
      <c r="E666">
        <f>LEN(Tabla1[[#This Row],[Categorías]])</f>
        <v>57</v>
      </c>
    </row>
    <row r="667" spans="2:5" x14ac:dyDescent="0.3">
      <c r="B667" t="s">
        <v>325</v>
      </c>
      <c r="C667" t="s">
        <v>234</v>
      </c>
      <c r="D667" s="16" t="s">
        <v>324</v>
      </c>
      <c r="E667">
        <f>LEN(Tabla1[[#This Row],[Categorías]])</f>
        <v>57</v>
      </c>
    </row>
    <row r="668" spans="2:5" x14ac:dyDescent="0.3">
      <c r="B668" t="s">
        <v>13</v>
      </c>
      <c r="C668" t="s">
        <v>270</v>
      </c>
      <c r="D668" s="16" t="s">
        <v>324</v>
      </c>
      <c r="E668">
        <f>LEN(Tabla1[[#This Row],[Categorías]])</f>
        <v>37</v>
      </c>
    </row>
    <row r="669" spans="2:5" x14ac:dyDescent="0.3">
      <c r="B669" t="s">
        <v>325</v>
      </c>
      <c r="C669" t="s">
        <v>270</v>
      </c>
      <c r="D669" s="16" t="s">
        <v>324</v>
      </c>
      <c r="E669">
        <f>LEN(Tabla1[[#This Row],[Categorías]])</f>
        <v>37</v>
      </c>
    </row>
    <row r="670" spans="2:5" x14ac:dyDescent="0.3">
      <c r="B670" t="s">
        <v>13</v>
      </c>
      <c r="C670" t="s">
        <v>299</v>
      </c>
      <c r="D670" s="16" t="s">
        <v>324</v>
      </c>
      <c r="E670">
        <f>LEN(Tabla1[[#This Row],[Categorías]])</f>
        <v>67</v>
      </c>
    </row>
    <row r="671" spans="2:5" x14ac:dyDescent="0.3">
      <c r="B671" t="s">
        <v>325</v>
      </c>
      <c r="C671" t="s">
        <v>299</v>
      </c>
      <c r="D671" s="16" t="s">
        <v>324</v>
      </c>
      <c r="E671">
        <f>LEN(Tabla1[[#This Row],[Categorías]])</f>
        <v>67</v>
      </c>
    </row>
    <row r="672" spans="2:5" x14ac:dyDescent="0.3">
      <c r="B672" t="s">
        <v>13</v>
      </c>
      <c r="C672" t="s">
        <v>260</v>
      </c>
      <c r="D672" s="16" t="s">
        <v>324</v>
      </c>
      <c r="E672">
        <f>LEN(Tabla1[[#This Row],[Categorías]])</f>
        <v>38</v>
      </c>
    </row>
    <row r="673" spans="2:5" x14ac:dyDescent="0.3">
      <c r="B673" t="s">
        <v>325</v>
      </c>
      <c r="C673" t="s">
        <v>260</v>
      </c>
      <c r="D673" s="16" t="s">
        <v>324</v>
      </c>
      <c r="E673">
        <f>LEN(Tabla1[[#This Row],[Categorías]])</f>
        <v>38</v>
      </c>
    </row>
    <row r="674" spans="2:5" x14ac:dyDescent="0.3">
      <c r="B674" t="s">
        <v>443</v>
      </c>
      <c r="C674" t="s">
        <v>260</v>
      </c>
      <c r="E674">
        <f>LEN(Tabla1[[#This Row],[Categorías]])</f>
        <v>38</v>
      </c>
    </row>
    <row r="675" spans="2:5" x14ac:dyDescent="0.3">
      <c r="B675" t="s">
        <v>325</v>
      </c>
      <c r="C675" t="s">
        <v>365</v>
      </c>
      <c r="D675" s="16" t="s">
        <v>324</v>
      </c>
      <c r="E675">
        <f>LEN(Tabla1[[#This Row],[Categorías]])</f>
        <v>50</v>
      </c>
    </row>
    <row r="676" spans="2:5" x14ac:dyDescent="0.3">
      <c r="B676" t="s">
        <v>13</v>
      </c>
      <c r="C676" t="s">
        <v>79</v>
      </c>
      <c r="D676" s="16" t="s">
        <v>324</v>
      </c>
      <c r="E676">
        <f>LEN(Tabla1[[#This Row],[Categorías]])</f>
        <v>46</v>
      </c>
    </row>
    <row r="677" spans="2:5" x14ac:dyDescent="0.3">
      <c r="B677" t="s">
        <v>325</v>
      </c>
      <c r="C677" t="s">
        <v>79</v>
      </c>
      <c r="D677" s="16" t="s">
        <v>324</v>
      </c>
      <c r="E677">
        <f>LEN(Tabla1[[#This Row],[Categorías]])</f>
        <v>46</v>
      </c>
    </row>
    <row r="678" spans="2:5" x14ac:dyDescent="0.3">
      <c r="B678" t="s">
        <v>443</v>
      </c>
      <c r="C678" t="s">
        <v>79</v>
      </c>
      <c r="E678">
        <f>LEN(Tabla1[[#This Row],[Categorías]])</f>
        <v>46</v>
      </c>
    </row>
    <row r="679" spans="2:5" x14ac:dyDescent="0.3">
      <c r="B679" t="s">
        <v>13</v>
      </c>
      <c r="C679" t="s">
        <v>287</v>
      </c>
      <c r="D679" s="16" t="s">
        <v>324</v>
      </c>
      <c r="E679">
        <f>LEN(Tabla1[[#This Row],[Categorías]])</f>
        <v>55</v>
      </c>
    </row>
    <row r="680" spans="2:5" x14ac:dyDescent="0.3">
      <c r="B680" t="s">
        <v>325</v>
      </c>
      <c r="C680" t="s">
        <v>287</v>
      </c>
      <c r="D680" s="16" t="s">
        <v>324</v>
      </c>
      <c r="E680">
        <f>LEN(Tabla1[[#This Row],[Categorías]])</f>
        <v>55</v>
      </c>
    </row>
    <row r="681" spans="2:5" x14ac:dyDescent="0.3">
      <c r="B681" t="s">
        <v>443</v>
      </c>
      <c r="C681" t="s">
        <v>287</v>
      </c>
      <c r="E681">
        <f>LEN(Tabla1[[#This Row],[Categorías]])</f>
        <v>55</v>
      </c>
    </row>
    <row r="682" spans="2:5" x14ac:dyDescent="0.3">
      <c r="B682" t="s">
        <v>13</v>
      </c>
      <c r="C682" t="s">
        <v>40</v>
      </c>
      <c r="D682" s="16" t="s">
        <v>324</v>
      </c>
      <c r="E682">
        <f>LEN(Tabla1[[#This Row],[Categorías]])</f>
        <v>53</v>
      </c>
    </row>
    <row r="683" spans="2:5" x14ac:dyDescent="0.3">
      <c r="B683" t="s">
        <v>325</v>
      </c>
      <c r="C683" t="s">
        <v>40</v>
      </c>
      <c r="D683" s="16" t="s">
        <v>324</v>
      </c>
      <c r="E683">
        <f>LEN(Tabla1[[#This Row],[Categorías]])</f>
        <v>53</v>
      </c>
    </row>
    <row r="684" spans="2:5" x14ac:dyDescent="0.3">
      <c r="B684" t="s">
        <v>443</v>
      </c>
      <c r="C684" t="s">
        <v>40</v>
      </c>
      <c r="E684">
        <f>LEN(Tabla1[[#This Row],[Categorías]])</f>
        <v>53</v>
      </c>
    </row>
    <row r="685" spans="2:5" x14ac:dyDescent="0.3">
      <c r="B685" t="s">
        <v>325</v>
      </c>
      <c r="C685" t="s">
        <v>389</v>
      </c>
      <c r="D685" s="16" t="s">
        <v>324</v>
      </c>
      <c r="E685">
        <f>LEN(Tabla1[[#This Row],[Categorías]])</f>
        <v>72</v>
      </c>
    </row>
    <row r="686" spans="2:5" x14ac:dyDescent="0.3">
      <c r="B686" t="s">
        <v>443</v>
      </c>
      <c r="C686" t="s">
        <v>389</v>
      </c>
      <c r="E686">
        <f>LEN(Tabla1[[#This Row],[Categorías]])</f>
        <v>72</v>
      </c>
    </row>
    <row r="687" spans="2:5" x14ac:dyDescent="0.3">
      <c r="B687" t="s">
        <v>325</v>
      </c>
      <c r="C687" t="s">
        <v>388</v>
      </c>
      <c r="D687" s="16" t="s">
        <v>324</v>
      </c>
      <c r="E687">
        <f>LEN(Tabla1[[#This Row],[Categorías]])</f>
        <v>72</v>
      </c>
    </row>
    <row r="688" spans="2:5" x14ac:dyDescent="0.3">
      <c r="B688" t="s">
        <v>443</v>
      </c>
      <c r="C688" t="s">
        <v>388</v>
      </c>
      <c r="E688">
        <f>LEN(Tabla1[[#This Row],[Categorías]])</f>
        <v>72</v>
      </c>
    </row>
    <row r="689" spans="2:5" x14ac:dyDescent="0.3">
      <c r="B689" t="s">
        <v>13</v>
      </c>
      <c r="C689" t="s">
        <v>49</v>
      </c>
      <c r="D689" s="16" t="s">
        <v>324</v>
      </c>
      <c r="E689">
        <f>LEN(Tabla1[[#This Row],[Categorías]])</f>
        <v>66</v>
      </c>
    </row>
    <row r="690" spans="2:5" x14ac:dyDescent="0.3">
      <c r="B690" t="s">
        <v>325</v>
      </c>
      <c r="C690" t="s">
        <v>49</v>
      </c>
      <c r="D690" s="16" t="s">
        <v>324</v>
      </c>
      <c r="E690">
        <f>LEN(Tabla1[[#This Row],[Categorías]])</f>
        <v>66</v>
      </c>
    </row>
    <row r="691" spans="2:5" x14ac:dyDescent="0.3">
      <c r="B691" t="s">
        <v>443</v>
      </c>
      <c r="C691" t="s">
        <v>49</v>
      </c>
      <c r="E691">
        <f>LEN(Tabla1[[#This Row],[Categorías]])</f>
        <v>66</v>
      </c>
    </row>
    <row r="692" spans="2:5" x14ac:dyDescent="0.3">
      <c r="B692" t="s">
        <v>13</v>
      </c>
      <c r="C692" t="s">
        <v>183</v>
      </c>
      <c r="D692" s="16" t="s">
        <v>324</v>
      </c>
      <c r="E692">
        <f>LEN(Tabla1[[#This Row],[Categorías]])</f>
        <v>63</v>
      </c>
    </row>
    <row r="693" spans="2:5" x14ac:dyDescent="0.3">
      <c r="B693" t="s">
        <v>325</v>
      </c>
      <c r="C693" t="s">
        <v>183</v>
      </c>
      <c r="D693" s="16" t="s">
        <v>324</v>
      </c>
      <c r="E693">
        <f>LEN(Tabla1[[#This Row],[Categorías]])</f>
        <v>63</v>
      </c>
    </row>
    <row r="694" spans="2:5" x14ac:dyDescent="0.3">
      <c r="B694" t="s">
        <v>443</v>
      </c>
      <c r="C694" t="s">
        <v>183</v>
      </c>
      <c r="E694">
        <f>LEN(Tabla1[[#This Row],[Categorías]])</f>
        <v>63</v>
      </c>
    </row>
    <row r="695" spans="2:5" x14ac:dyDescent="0.3">
      <c r="B695" t="s">
        <v>325</v>
      </c>
      <c r="C695" t="s">
        <v>438</v>
      </c>
      <c r="D695" s="16" t="s">
        <v>324</v>
      </c>
      <c r="E695">
        <f>LEN(Tabla1[[#This Row],[Categorías]])</f>
        <v>53</v>
      </c>
    </row>
    <row r="696" spans="2:5" x14ac:dyDescent="0.3">
      <c r="B696" t="s">
        <v>13</v>
      </c>
      <c r="C696" t="s">
        <v>28</v>
      </c>
      <c r="D696" s="16" t="s">
        <v>324</v>
      </c>
      <c r="E696">
        <f>LEN(Tabla1[[#This Row],[Categorías]])</f>
        <v>65</v>
      </c>
    </row>
    <row r="697" spans="2:5" x14ac:dyDescent="0.3">
      <c r="B697" t="s">
        <v>325</v>
      </c>
      <c r="C697" t="s">
        <v>28</v>
      </c>
      <c r="D697" s="16" t="s">
        <v>324</v>
      </c>
      <c r="E697">
        <f>LEN(Tabla1[[#This Row],[Categorías]])</f>
        <v>65</v>
      </c>
    </row>
    <row r="698" spans="2:5" x14ac:dyDescent="0.3">
      <c r="B698" t="s">
        <v>443</v>
      </c>
      <c r="C698" t="s">
        <v>28</v>
      </c>
      <c r="E698">
        <f>LEN(Tabla1[[#This Row],[Categorías]])</f>
        <v>65</v>
      </c>
    </row>
    <row r="699" spans="2:5" x14ac:dyDescent="0.3">
      <c r="B699" t="s">
        <v>13</v>
      </c>
      <c r="C699" t="s">
        <v>222</v>
      </c>
      <c r="D699" s="16" t="s">
        <v>324</v>
      </c>
      <c r="E699">
        <f>LEN(Tabla1[[#This Row],[Categorías]])</f>
        <v>46</v>
      </c>
    </row>
    <row r="700" spans="2:5" x14ac:dyDescent="0.3">
      <c r="B700" t="s">
        <v>325</v>
      </c>
      <c r="C700" t="s">
        <v>222</v>
      </c>
      <c r="D700" s="16" t="s">
        <v>324</v>
      </c>
      <c r="E700">
        <f>LEN(Tabla1[[#This Row],[Categorías]])</f>
        <v>46</v>
      </c>
    </row>
    <row r="701" spans="2:5" x14ac:dyDescent="0.3">
      <c r="B701" t="s">
        <v>325</v>
      </c>
      <c r="C701" t="s">
        <v>428</v>
      </c>
      <c r="D701" s="16" t="s">
        <v>324</v>
      </c>
      <c r="E701">
        <f>LEN(Tabla1[[#This Row],[Categorías]])</f>
        <v>53</v>
      </c>
    </row>
    <row r="702" spans="2:5" x14ac:dyDescent="0.3">
      <c r="B702" t="s">
        <v>13</v>
      </c>
      <c r="C702" t="s">
        <v>286</v>
      </c>
      <c r="D702" s="16" t="s">
        <v>324</v>
      </c>
      <c r="E702">
        <f>LEN(Tabla1[[#This Row],[Categorías]])</f>
        <v>35</v>
      </c>
    </row>
    <row r="703" spans="2:5" x14ac:dyDescent="0.3">
      <c r="B703" t="s">
        <v>325</v>
      </c>
      <c r="C703" t="s">
        <v>286</v>
      </c>
      <c r="D703" s="16" t="s">
        <v>324</v>
      </c>
      <c r="E703">
        <f>LEN(Tabla1[[#This Row],[Categorías]])</f>
        <v>35</v>
      </c>
    </row>
    <row r="704" spans="2:5" x14ac:dyDescent="0.3">
      <c r="B704" t="s">
        <v>443</v>
      </c>
      <c r="C704" t="s">
        <v>286</v>
      </c>
      <c r="E704">
        <f>LEN(Tabla1[[#This Row],[Categorías]])</f>
        <v>35</v>
      </c>
    </row>
    <row r="705" spans="2:5" x14ac:dyDescent="0.3">
      <c r="B705" t="s">
        <v>13</v>
      </c>
      <c r="C705" t="s">
        <v>223</v>
      </c>
      <c r="D705" s="16" t="s">
        <v>324</v>
      </c>
      <c r="E705">
        <f>LEN(Tabla1[[#This Row],[Categorías]])</f>
        <v>22</v>
      </c>
    </row>
    <row r="706" spans="2:5" x14ac:dyDescent="0.3">
      <c r="B706" t="s">
        <v>325</v>
      </c>
      <c r="C706" t="s">
        <v>223</v>
      </c>
      <c r="D706" s="16" t="s">
        <v>324</v>
      </c>
      <c r="E706">
        <f>LEN(Tabla1[[#This Row],[Categorías]])</f>
        <v>22</v>
      </c>
    </row>
    <row r="707" spans="2:5" x14ac:dyDescent="0.3">
      <c r="B707" t="s">
        <v>13</v>
      </c>
      <c r="C707" t="s">
        <v>292</v>
      </c>
      <c r="D707" s="16" t="s">
        <v>324</v>
      </c>
      <c r="E707">
        <f>LEN(Tabla1[[#This Row],[Categorías]])</f>
        <v>48</v>
      </c>
    </row>
    <row r="708" spans="2:5" x14ac:dyDescent="0.3">
      <c r="B708" t="s">
        <v>325</v>
      </c>
      <c r="C708" t="s">
        <v>292</v>
      </c>
      <c r="D708" s="16" t="s">
        <v>324</v>
      </c>
      <c r="E708">
        <f>LEN(Tabla1[[#This Row],[Categorías]])</f>
        <v>48</v>
      </c>
    </row>
    <row r="709" spans="2:5" x14ac:dyDescent="0.3">
      <c r="B709" t="s">
        <v>443</v>
      </c>
      <c r="C709" t="s">
        <v>292</v>
      </c>
      <c r="E709">
        <f>LEN(Tabla1[[#This Row],[Categorías]])</f>
        <v>48</v>
      </c>
    </row>
    <row r="710" spans="2:5" x14ac:dyDescent="0.3">
      <c r="B710" t="s">
        <v>13</v>
      </c>
      <c r="C710" t="s">
        <v>290</v>
      </c>
      <c r="D710" s="16" t="s">
        <v>324</v>
      </c>
      <c r="E710">
        <f>LEN(Tabla1[[#This Row],[Categorías]])</f>
        <v>48</v>
      </c>
    </row>
    <row r="711" spans="2:5" x14ac:dyDescent="0.3">
      <c r="B711" t="s">
        <v>325</v>
      </c>
      <c r="C711" t="s">
        <v>290</v>
      </c>
      <c r="D711" s="16" t="s">
        <v>324</v>
      </c>
      <c r="E711">
        <f>LEN(Tabla1[[#This Row],[Categorías]])</f>
        <v>48</v>
      </c>
    </row>
    <row r="712" spans="2:5" x14ac:dyDescent="0.3">
      <c r="B712" t="s">
        <v>443</v>
      </c>
      <c r="C712" t="s">
        <v>290</v>
      </c>
      <c r="E712">
        <f>LEN(Tabla1[[#This Row],[Categorías]])</f>
        <v>48</v>
      </c>
    </row>
    <row r="713" spans="2:5" x14ac:dyDescent="0.3">
      <c r="B713" t="s">
        <v>13</v>
      </c>
      <c r="C713" t="s">
        <v>177</v>
      </c>
      <c r="D713" s="16" t="s">
        <v>324</v>
      </c>
      <c r="E713">
        <f>LEN(Tabla1[[#This Row],[Categorías]])</f>
        <v>11</v>
      </c>
    </row>
    <row r="714" spans="2:5" x14ac:dyDescent="0.3">
      <c r="B714" t="s">
        <v>325</v>
      </c>
      <c r="C714" t="s">
        <v>177</v>
      </c>
      <c r="D714" s="16" t="s">
        <v>324</v>
      </c>
      <c r="E714">
        <f>LEN(Tabla1[[#This Row],[Categorías]])</f>
        <v>11</v>
      </c>
    </row>
    <row r="715" spans="2:5" x14ac:dyDescent="0.3">
      <c r="B715" t="s">
        <v>443</v>
      </c>
      <c r="C715" t="s">
        <v>177</v>
      </c>
      <c r="E715">
        <f>LEN(Tabla1[[#This Row],[Categorías]])</f>
        <v>11</v>
      </c>
    </row>
    <row r="716" spans="2:5" x14ac:dyDescent="0.3">
      <c r="B716" t="s">
        <v>462</v>
      </c>
      <c r="C716" t="s">
        <v>471</v>
      </c>
      <c r="E716">
        <f>LEN(Tabla1[[#This Row],[Categorías]])</f>
        <v>8</v>
      </c>
    </row>
    <row r="717" spans="2:5" x14ac:dyDescent="0.3">
      <c r="B717" t="s">
        <v>13</v>
      </c>
      <c r="C717" t="s">
        <v>256</v>
      </c>
      <c r="D717" s="16" t="s">
        <v>324</v>
      </c>
      <c r="E717">
        <f>LEN(Tabla1[[#This Row],[Categorías]])</f>
        <v>8</v>
      </c>
    </row>
    <row r="718" spans="2:5" x14ac:dyDescent="0.3">
      <c r="B718" t="s">
        <v>325</v>
      </c>
      <c r="C718" t="s">
        <v>256</v>
      </c>
      <c r="D718" s="16" t="s">
        <v>324</v>
      </c>
      <c r="E718">
        <f>LEN(Tabla1[[#This Row],[Categorías]])</f>
        <v>8</v>
      </c>
    </row>
    <row r="719" spans="2:5" x14ac:dyDescent="0.3">
      <c r="B719" t="s">
        <v>13</v>
      </c>
      <c r="C719" t="s">
        <v>241</v>
      </c>
      <c r="D719" s="16" t="s">
        <v>324</v>
      </c>
      <c r="E719">
        <f>LEN(Tabla1[[#This Row],[Categorías]])</f>
        <v>10</v>
      </c>
    </row>
    <row r="720" spans="2:5" x14ac:dyDescent="0.3">
      <c r="B720" t="s">
        <v>325</v>
      </c>
      <c r="C720" t="s">
        <v>241</v>
      </c>
      <c r="D720" s="16" t="s">
        <v>324</v>
      </c>
      <c r="E720">
        <f>LEN(Tabla1[[#This Row],[Categorías]])</f>
        <v>10</v>
      </c>
    </row>
    <row r="721" spans="2:5" x14ac:dyDescent="0.3">
      <c r="B721" t="s">
        <v>443</v>
      </c>
      <c r="C721" t="s">
        <v>241</v>
      </c>
      <c r="E721">
        <f>LEN(Tabla1[[#This Row],[Categorías]])</f>
        <v>10</v>
      </c>
    </row>
    <row r="722" spans="2:5" x14ac:dyDescent="0.3">
      <c r="B722" t="s">
        <v>9</v>
      </c>
      <c r="C722" t="s">
        <v>12</v>
      </c>
      <c r="E722">
        <f>LEN(Tabla1[[#This Row],[Categorías]])</f>
        <v>27</v>
      </c>
    </row>
    <row r="723" spans="2:5" x14ac:dyDescent="0.3">
      <c r="B723" t="s">
        <v>13</v>
      </c>
      <c r="C723" t="s">
        <v>239</v>
      </c>
      <c r="D723" s="16" t="s">
        <v>324</v>
      </c>
      <c r="E723">
        <f>LEN(Tabla1[[#This Row],[Categorías]])</f>
        <v>20</v>
      </c>
    </row>
    <row r="724" spans="2:5" x14ac:dyDescent="0.3">
      <c r="B724" t="s">
        <v>325</v>
      </c>
      <c r="C724" t="s">
        <v>239</v>
      </c>
      <c r="D724" s="16" t="s">
        <v>324</v>
      </c>
      <c r="E724">
        <f>LEN(Tabla1[[#This Row],[Categorías]])</f>
        <v>20</v>
      </c>
    </row>
    <row r="725" spans="2:5" x14ac:dyDescent="0.3">
      <c r="B725" t="s">
        <v>443</v>
      </c>
      <c r="C725" t="s">
        <v>239</v>
      </c>
      <c r="E725">
        <f>LEN(Tabla1[[#This Row],[Categorías]])</f>
        <v>20</v>
      </c>
    </row>
    <row r="726" spans="2:5" x14ac:dyDescent="0.3">
      <c r="B726" t="s">
        <v>13</v>
      </c>
      <c r="C726" t="s">
        <v>250</v>
      </c>
      <c r="D726" s="16" t="s">
        <v>324</v>
      </c>
      <c r="E726">
        <f>LEN(Tabla1[[#This Row],[Categorías]])</f>
        <v>26</v>
      </c>
    </row>
    <row r="727" spans="2:5" x14ac:dyDescent="0.3">
      <c r="B727" t="s">
        <v>325</v>
      </c>
      <c r="C727" t="s">
        <v>250</v>
      </c>
      <c r="D727" s="16" t="s">
        <v>324</v>
      </c>
      <c r="E727">
        <f>LEN(Tabla1[[#This Row],[Categorías]])</f>
        <v>26</v>
      </c>
    </row>
    <row r="728" spans="2:5" x14ac:dyDescent="0.3">
      <c r="B728" t="s">
        <v>443</v>
      </c>
      <c r="C728" t="s">
        <v>250</v>
      </c>
      <c r="E728">
        <f>LEN(Tabla1[[#This Row],[Categorías]])</f>
        <v>26</v>
      </c>
    </row>
    <row r="729" spans="2:5" x14ac:dyDescent="0.3">
      <c r="B729" t="s">
        <v>13</v>
      </c>
      <c r="C729" t="s">
        <v>304</v>
      </c>
      <c r="D729" s="16" t="s">
        <v>324</v>
      </c>
      <c r="E729">
        <f>LEN(Tabla1[[#This Row],[Categorías]])</f>
        <v>44</v>
      </c>
    </row>
    <row r="730" spans="2:5" x14ac:dyDescent="0.3">
      <c r="B730" t="s">
        <v>325</v>
      </c>
      <c r="C730" t="s">
        <v>304</v>
      </c>
      <c r="D730" s="16" t="s">
        <v>324</v>
      </c>
      <c r="E730">
        <f>LEN(Tabla1[[#This Row],[Categorías]])</f>
        <v>44</v>
      </c>
    </row>
    <row r="731" spans="2:5" x14ac:dyDescent="0.3">
      <c r="B731" t="s">
        <v>443</v>
      </c>
      <c r="C731" t="s">
        <v>304</v>
      </c>
      <c r="E731">
        <f>LEN(Tabla1[[#This Row],[Categorías]])</f>
        <v>44</v>
      </c>
    </row>
    <row r="732" spans="2:5" x14ac:dyDescent="0.3">
      <c r="B732" t="s">
        <v>13</v>
      </c>
      <c r="C732" t="s">
        <v>294</v>
      </c>
      <c r="D732" s="16" t="s">
        <v>324</v>
      </c>
      <c r="E732">
        <f>LEN(Tabla1[[#This Row],[Categorías]])</f>
        <v>57</v>
      </c>
    </row>
    <row r="733" spans="2:5" x14ac:dyDescent="0.3">
      <c r="B733" t="s">
        <v>325</v>
      </c>
      <c r="C733" t="s">
        <v>294</v>
      </c>
      <c r="D733" s="16" t="s">
        <v>324</v>
      </c>
      <c r="E733">
        <f>LEN(Tabla1[[#This Row],[Categorías]])</f>
        <v>57</v>
      </c>
    </row>
    <row r="734" spans="2:5" x14ac:dyDescent="0.3">
      <c r="B734" t="s">
        <v>443</v>
      </c>
      <c r="C734" t="s">
        <v>294</v>
      </c>
      <c r="E734">
        <f>LEN(Tabla1[[#This Row],[Categorías]])</f>
        <v>57</v>
      </c>
    </row>
    <row r="735" spans="2:5" x14ac:dyDescent="0.3">
      <c r="B735" t="s">
        <v>13</v>
      </c>
      <c r="C735" t="s">
        <v>298</v>
      </c>
      <c r="D735" s="16" t="s">
        <v>324</v>
      </c>
      <c r="E735">
        <f>LEN(Tabla1[[#This Row],[Categorías]])</f>
        <v>22</v>
      </c>
    </row>
    <row r="736" spans="2:5" x14ac:dyDescent="0.3">
      <c r="B736" t="s">
        <v>325</v>
      </c>
      <c r="C736" t="s">
        <v>366</v>
      </c>
      <c r="D736" s="16" t="s">
        <v>324</v>
      </c>
      <c r="E736">
        <f>LEN(Tabla1[[#This Row],[Categorías]])</f>
        <v>22</v>
      </c>
    </row>
    <row r="737" spans="2:5" x14ac:dyDescent="0.3">
      <c r="B737" t="s">
        <v>443</v>
      </c>
      <c r="C737" t="s">
        <v>298</v>
      </c>
      <c r="E737">
        <f>LEN(Tabla1[[#This Row],[Categorías]])</f>
        <v>22</v>
      </c>
    </row>
    <row r="738" spans="2:5" x14ac:dyDescent="0.3">
      <c r="B738" t="s">
        <v>13</v>
      </c>
      <c r="C738" t="s">
        <v>251</v>
      </c>
      <c r="D738" s="16" t="s">
        <v>324</v>
      </c>
      <c r="E738">
        <f>LEN(Tabla1[[#This Row],[Categorías]])</f>
        <v>49</v>
      </c>
    </row>
    <row r="739" spans="2:5" x14ac:dyDescent="0.3">
      <c r="B739" t="s">
        <v>325</v>
      </c>
      <c r="C739" t="s">
        <v>251</v>
      </c>
      <c r="D739" s="16" t="s">
        <v>324</v>
      </c>
      <c r="E739">
        <f>LEN(Tabla1[[#This Row],[Categorías]])</f>
        <v>49</v>
      </c>
    </row>
    <row r="740" spans="2:5" x14ac:dyDescent="0.3">
      <c r="B740" t="s">
        <v>443</v>
      </c>
      <c r="C740" t="s">
        <v>251</v>
      </c>
      <c r="E740">
        <f>LEN(Tabla1[[#This Row],[Categorías]])</f>
        <v>49</v>
      </c>
    </row>
    <row r="741" spans="2:5" x14ac:dyDescent="0.3">
      <c r="B741" t="s">
        <v>13</v>
      </c>
      <c r="C741" t="s">
        <v>233</v>
      </c>
      <c r="D741" s="16" t="s">
        <v>324</v>
      </c>
      <c r="E741">
        <f>LEN(Tabla1[[#This Row],[Categorías]])</f>
        <v>49</v>
      </c>
    </row>
    <row r="742" spans="2:5" x14ac:dyDescent="0.3">
      <c r="B742" t="s">
        <v>325</v>
      </c>
      <c r="C742" t="s">
        <v>233</v>
      </c>
      <c r="D742" s="16" t="s">
        <v>324</v>
      </c>
      <c r="E742">
        <f>LEN(Tabla1[[#This Row],[Categorías]])</f>
        <v>49</v>
      </c>
    </row>
    <row r="743" spans="2:5" x14ac:dyDescent="0.3">
      <c r="B743" t="s">
        <v>443</v>
      </c>
      <c r="C743" t="s">
        <v>233</v>
      </c>
      <c r="E743">
        <f>LEN(Tabla1[[#This Row],[Categorías]])</f>
        <v>49</v>
      </c>
    </row>
    <row r="744" spans="2:5" x14ac:dyDescent="0.3">
      <c r="B744" t="s">
        <v>13</v>
      </c>
      <c r="C744" t="s">
        <v>303</v>
      </c>
      <c r="D744" s="16" t="s">
        <v>324</v>
      </c>
      <c r="E744">
        <f>LEN(Tabla1[[#This Row],[Categorías]])</f>
        <v>15</v>
      </c>
    </row>
    <row r="745" spans="2:5" x14ac:dyDescent="0.3">
      <c r="B745" t="s">
        <v>325</v>
      </c>
      <c r="C745" t="s">
        <v>303</v>
      </c>
      <c r="D745" s="16" t="s">
        <v>324</v>
      </c>
      <c r="E745">
        <f>LEN(Tabla1[[#This Row],[Categorías]])</f>
        <v>15</v>
      </c>
    </row>
    <row r="746" spans="2:5" x14ac:dyDescent="0.3">
      <c r="B746" t="s">
        <v>443</v>
      </c>
      <c r="C746" t="s">
        <v>303</v>
      </c>
      <c r="E746">
        <f>LEN(Tabla1[[#This Row],[Categorías]])</f>
        <v>15</v>
      </c>
    </row>
    <row r="747" spans="2:5" x14ac:dyDescent="0.3">
      <c r="B747" t="s">
        <v>13</v>
      </c>
      <c r="C747" t="s">
        <v>293</v>
      </c>
      <c r="D747" s="16" t="s">
        <v>324</v>
      </c>
      <c r="E747">
        <f>LEN(Tabla1[[#This Row],[Categorías]])</f>
        <v>29</v>
      </c>
    </row>
    <row r="748" spans="2:5" x14ac:dyDescent="0.3">
      <c r="B748" t="s">
        <v>325</v>
      </c>
      <c r="C748" t="s">
        <v>293</v>
      </c>
      <c r="D748" s="16" t="s">
        <v>324</v>
      </c>
      <c r="E748">
        <f>LEN(Tabla1[[#This Row],[Categorías]])</f>
        <v>29</v>
      </c>
    </row>
    <row r="749" spans="2:5" x14ac:dyDescent="0.3">
      <c r="B749" t="s">
        <v>443</v>
      </c>
      <c r="C749" t="s">
        <v>293</v>
      </c>
      <c r="E749">
        <f>LEN(Tabla1[[#This Row],[Categorías]])</f>
        <v>29</v>
      </c>
    </row>
    <row r="750" spans="2:5" x14ac:dyDescent="0.3">
      <c r="B750" t="s">
        <v>485</v>
      </c>
      <c r="C750" t="s">
        <v>487</v>
      </c>
      <c r="E750">
        <f>LEN(Tabla1[[#This Row],[Categorías]])</f>
        <v>21</v>
      </c>
    </row>
    <row r="751" spans="2:5" x14ac:dyDescent="0.3">
      <c r="B751" t="s">
        <v>485</v>
      </c>
      <c r="C751" t="s">
        <v>489</v>
      </c>
      <c r="E751">
        <f>LEN(Tabla1[[#This Row],[Categorías]])</f>
        <v>12</v>
      </c>
    </row>
    <row r="752" spans="2:5" x14ac:dyDescent="0.3">
      <c r="B752" t="s">
        <v>2</v>
      </c>
      <c r="C752" t="s">
        <v>4</v>
      </c>
      <c r="E752">
        <f>LEN(Tabla1[[#This Row],[Categorías]])</f>
        <v>11</v>
      </c>
    </row>
    <row r="753" spans="2:5" x14ac:dyDescent="0.3">
      <c r="B753" t="s">
        <v>13</v>
      </c>
      <c r="C753" t="s">
        <v>29</v>
      </c>
      <c r="D753" s="16" t="s">
        <v>324</v>
      </c>
      <c r="E753">
        <f>LEN(Tabla1[[#This Row],[Categorías]])</f>
        <v>24</v>
      </c>
    </row>
    <row r="754" spans="2:5" x14ac:dyDescent="0.3">
      <c r="B754" t="s">
        <v>325</v>
      </c>
      <c r="C754" t="s">
        <v>29</v>
      </c>
      <c r="D754" s="16" t="s">
        <v>324</v>
      </c>
      <c r="E754">
        <f>LEN(Tabla1[[#This Row],[Categorías]])</f>
        <v>24</v>
      </c>
    </row>
    <row r="755" spans="2:5" x14ac:dyDescent="0.3">
      <c r="B755" t="s">
        <v>443</v>
      </c>
      <c r="C755" t="s">
        <v>29</v>
      </c>
      <c r="E755">
        <f>LEN(Tabla1[[#This Row],[Categorías]])</f>
        <v>24</v>
      </c>
    </row>
    <row r="756" spans="2:5" x14ac:dyDescent="0.3">
      <c r="B756" t="s">
        <v>325</v>
      </c>
      <c r="C756" t="s">
        <v>367</v>
      </c>
      <c r="D756" s="16" t="s">
        <v>324</v>
      </c>
      <c r="E756">
        <f>LEN(Tabla1[[#This Row],[Categorías]])</f>
        <v>52</v>
      </c>
    </row>
    <row r="757" spans="2:5" x14ac:dyDescent="0.3">
      <c r="B757" t="s">
        <v>325</v>
      </c>
      <c r="C757" t="s">
        <v>368</v>
      </c>
      <c r="D757" s="16" t="s">
        <v>324</v>
      </c>
      <c r="E757">
        <f>LEN(Tabla1[[#This Row],[Categorías]])</f>
        <v>24</v>
      </c>
    </row>
    <row r="758" spans="2:5" x14ac:dyDescent="0.3">
      <c r="B758" t="s">
        <v>13</v>
      </c>
      <c r="C758" t="s">
        <v>238</v>
      </c>
      <c r="D758" s="16" t="s">
        <v>324</v>
      </c>
      <c r="E758">
        <f>LEN(Tabla1[[#This Row],[Categorías]])</f>
        <v>35</v>
      </c>
    </row>
    <row r="759" spans="2:5" x14ac:dyDescent="0.3">
      <c r="B759" t="s">
        <v>325</v>
      </c>
      <c r="C759" t="s">
        <v>238</v>
      </c>
      <c r="D759" s="16" t="s">
        <v>324</v>
      </c>
      <c r="E759">
        <f>LEN(Tabla1[[#This Row],[Categorías]])</f>
        <v>35</v>
      </c>
    </row>
    <row r="760" spans="2:5" x14ac:dyDescent="0.3">
      <c r="B760" t="s">
        <v>443</v>
      </c>
      <c r="C760" t="s">
        <v>238</v>
      </c>
      <c r="E760">
        <f>LEN(Tabla1[[#This Row],[Categorías]])</f>
        <v>35</v>
      </c>
    </row>
    <row r="761" spans="2:5" x14ac:dyDescent="0.3">
      <c r="B761" t="s">
        <v>13</v>
      </c>
      <c r="C761" t="s">
        <v>32</v>
      </c>
      <c r="D761" s="16" t="s">
        <v>324</v>
      </c>
      <c r="E761">
        <f>LEN(Tabla1[[#This Row],[Categorías]])</f>
        <v>5</v>
      </c>
    </row>
    <row r="762" spans="2:5" x14ac:dyDescent="0.3">
      <c r="B762" t="s">
        <v>325</v>
      </c>
      <c r="C762" t="s">
        <v>32</v>
      </c>
      <c r="D762" s="16" t="s">
        <v>324</v>
      </c>
      <c r="E762">
        <f>LEN(Tabla1[[#This Row],[Categorías]])</f>
        <v>5</v>
      </c>
    </row>
    <row r="763" spans="2:5" x14ac:dyDescent="0.3">
      <c r="B763" t="s">
        <v>443</v>
      </c>
      <c r="C763" t="s">
        <v>32</v>
      </c>
      <c r="E763">
        <f>LEN(Tabla1[[#This Row],[Categorías]])</f>
        <v>5</v>
      </c>
    </row>
    <row r="764" spans="2:5" x14ac:dyDescent="0.3">
      <c r="B764" t="s">
        <v>2</v>
      </c>
      <c r="C764" t="s">
        <v>5</v>
      </c>
      <c r="E764">
        <f>LEN(Tabla1[[#This Row],[Categorías]])</f>
        <v>10</v>
      </c>
    </row>
    <row r="765" spans="2:5" x14ac:dyDescent="0.3">
      <c r="B765" t="s">
        <v>325</v>
      </c>
      <c r="C765" t="s">
        <v>395</v>
      </c>
      <c r="D765" s="16" t="s">
        <v>324</v>
      </c>
      <c r="E765">
        <f>LEN(Tabla1[[#This Row],[Categorías]])</f>
        <v>38</v>
      </c>
    </row>
    <row r="766" spans="2:5" x14ac:dyDescent="0.3">
      <c r="B766" t="s">
        <v>443</v>
      </c>
      <c r="C766" t="s">
        <v>395</v>
      </c>
      <c r="E766">
        <f>LEN(Tabla1[[#This Row],[Categorías]])</f>
        <v>38</v>
      </c>
    </row>
    <row r="767" spans="2:5" x14ac:dyDescent="0.3">
      <c r="B767" t="s">
        <v>325</v>
      </c>
      <c r="C767" t="s">
        <v>404</v>
      </c>
      <c r="D767" s="16" t="s">
        <v>324</v>
      </c>
      <c r="E767">
        <f>LEN(Tabla1[[#This Row],[Categorías]])</f>
        <v>27</v>
      </c>
    </row>
    <row r="768" spans="2:5" x14ac:dyDescent="0.3">
      <c r="B768" t="s">
        <v>13</v>
      </c>
      <c r="C768" t="s">
        <v>31</v>
      </c>
      <c r="D768" s="16" t="s">
        <v>324</v>
      </c>
      <c r="E768">
        <f>LEN(Tabla1[[#This Row],[Categorías]])</f>
        <v>46</v>
      </c>
    </row>
    <row r="769" spans="2:5" x14ac:dyDescent="0.3">
      <c r="B769" t="s">
        <v>325</v>
      </c>
      <c r="C769" t="s">
        <v>31</v>
      </c>
      <c r="D769" s="16" t="s">
        <v>324</v>
      </c>
      <c r="E769">
        <f>LEN(Tabla1[[#This Row],[Categorías]])</f>
        <v>46</v>
      </c>
    </row>
    <row r="770" spans="2:5" x14ac:dyDescent="0.3">
      <c r="B770" t="s">
        <v>443</v>
      </c>
      <c r="C770" t="s">
        <v>31</v>
      </c>
      <c r="E770">
        <f>LEN(Tabla1[[#This Row],[Categorías]])</f>
        <v>46</v>
      </c>
    </row>
    <row r="771" spans="2:5" x14ac:dyDescent="0.3">
      <c r="B771" t="s">
        <v>325</v>
      </c>
      <c r="C771" t="s">
        <v>369</v>
      </c>
      <c r="D771" s="16" t="s">
        <v>324</v>
      </c>
      <c r="E771">
        <f>LEN(Tabla1[[#This Row],[Categorías]])</f>
        <v>75</v>
      </c>
    </row>
    <row r="772" spans="2:5" x14ac:dyDescent="0.3">
      <c r="B772" t="s">
        <v>447</v>
      </c>
      <c r="C772" t="s">
        <v>451</v>
      </c>
      <c r="E772">
        <f>LEN(Tabla1[[#This Row],[Categorías]])</f>
        <v>5</v>
      </c>
    </row>
    <row r="773" spans="2:5" x14ac:dyDescent="0.3">
      <c r="B773" t="s">
        <v>13</v>
      </c>
      <c r="C773" t="s">
        <v>278</v>
      </c>
      <c r="D773" s="16" t="s">
        <v>324</v>
      </c>
      <c r="E773">
        <f>LEN(Tabla1[[#This Row],[Categorías]])</f>
        <v>4</v>
      </c>
    </row>
    <row r="774" spans="2:5" x14ac:dyDescent="0.3">
      <c r="B774" t="s">
        <v>325</v>
      </c>
      <c r="C774" t="s">
        <v>278</v>
      </c>
      <c r="D774" s="16" t="s">
        <v>324</v>
      </c>
      <c r="E774">
        <f>LEN(Tabla1[[#This Row],[Categorías]])</f>
        <v>4</v>
      </c>
    </row>
    <row r="775" spans="2:5" x14ac:dyDescent="0.3">
      <c r="B775" t="s">
        <v>443</v>
      </c>
      <c r="C775" t="s">
        <v>278</v>
      </c>
      <c r="E775">
        <f>LEN(Tabla1[[#This Row],[Categorías]])</f>
        <v>4</v>
      </c>
    </row>
    <row r="776" spans="2:5" x14ac:dyDescent="0.3">
      <c r="B776" t="s">
        <v>13</v>
      </c>
      <c r="C776" t="s">
        <v>203</v>
      </c>
      <c r="D776" s="16" t="s">
        <v>324</v>
      </c>
      <c r="E776">
        <f>LEN(Tabla1[[#This Row],[Categorías]])</f>
        <v>22</v>
      </c>
    </row>
    <row r="777" spans="2:5" x14ac:dyDescent="0.3">
      <c r="B777" t="s">
        <v>325</v>
      </c>
      <c r="C777" t="s">
        <v>203</v>
      </c>
      <c r="D777" s="16" t="s">
        <v>324</v>
      </c>
      <c r="E777">
        <f>LEN(Tabla1[[#This Row],[Categorías]])</f>
        <v>22</v>
      </c>
    </row>
    <row r="778" spans="2:5" x14ac:dyDescent="0.3">
      <c r="B778" t="s">
        <v>443</v>
      </c>
      <c r="C778" t="s">
        <v>203</v>
      </c>
      <c r="E778">
        <f>LEN(Tabla1[[#This Row],[Categorías]])</f>
        <v>22</v>
      </c>
    </row>
    <row r="779" spans="2:5" x14ac:dyDescent="0.3">
      <c r="B779" t="s">
        <v>13</v>
      </c>
      <c r="C779" t="s">
        <v>67</v>
      </c>
      <c r="D779" s="16" t="s">
        <v>324</v>
      </c>
      <c r="E779">
        <f>LEN(Tabla1[[#This Row],[Categorías]])</f>
        <v>22</v>
      </c>
    </row>
    <row r="780" spans="2:5" x14ac:dyDescent="0.3">
      <c r="B780" t="s">
        <v>325</v>
      </c>
      <c r="C780" t="s">
        <v>67</v>
      </c>
      <c r="D780" s="16" t="s">
        <v>324</v>
      </c>
      <c r="E780">
        <f>LEN(Tabla1[[#This Row],[Categorías]])</f>
        <v>22</v>
      </c>
    </row>
    <row r="781" spans="2:5" x14ac:dyDescent="0.3">
      <c r="B781" t="s">
        <v>443</v>
      </c>
      <c r="C781" t="s">
        <v>67</v>
      </c>
      <c r="E781">
        <f>LEN(Tabla1[[#This Row],[Categorías]])</f>
        <v>22</v>
      </c>
    </row>
    <row r="782" spans="2:5" x14ac:dyDescent="0.3">
      <c r="B782" t="s">
        <v>13</v>
      </c>
      <c r="C782" t="s">
        <v>66</v>
      </c>
      <c r="D782" s="16" t="s">
        <v>324</v>
      </c>
      <c r="E782">
        <f>LEN(Tabla1[[#This Row],[Categorías]])</f>
        <v>18</v>
      </c>
    </row>
    <row r="783" spans="2:5" x14ac:dyDescent="0.3">
      <c r="B783" t="s">
        <v>325</v>
      </c>
      <c r="C783" t="s">
        <v>66</v>
      </c>
      <c r="D783" s="16" t="s">
        <v>324</v>
      </c>
      <c r="E783">
        <f>LEN(Tabla1[[#This Row],[Categorías]])</f>
        <v>18</v>
      </c>
    </row>
    <row r="784" spans="2:5" x14ac:dyDescent="0.3">
      <c r="B784" t="s">
        <v>443</v>
      </c>
      <c r="C784" t="s">
        <v>66</v>
      </c>
      <c r="E784">
        <f>LEN(Tabla1[[#This Row],[Categorías]])</f>
        <v>18</v>
      </c>
    </row>
    <row r="785" spans="2:5" x14ac:dyDescent="0.3">
      <c r="B785" t="s">
        <v>13</v>
      </c>
      <c r="C785" t="s">
        <v>51</v>
      </c>
      <c r="D785" s="16" t="s">
        <v>324</v>
      </c>
      <c r="E785">
        <f>LEN(Tabla1[[#This Row],[Categorías]])</f>
        <v>29</v>
      </c>
    </row>
    <row r="786" spans="2:5" x14ac:dyDescent="0.3">
      <c r="B786" t="s">
        <v>325</v>
      </c>
      <c r="C786" t="s">
        <v>51</v>
      </c>
      <c r="D786" s="16" t="s">
        <v>324</v>
      </c>
      <c r="E786">
        <f>LEN(Tabla1[[#This Row],[Categorías]])</f>
        <v>29</v>
      </c>
    </row>
    <row r="787" spans="2:5" x14ac:dyDescent="0.3">
      <c r="B787" t="s">
        <v>443</v>
      </c>
      <c r="C787" t="s">
        <v>51</v>
      </c>
      <c r="E787">
        <f>LEN(Tabla1[[#This Row],[Categorías]])</f>
        <v>29</v>
      </c>
    </row>
    <row r="788" spans="2:5" x14ac:dyDescent="0.3">
      <c r="B788" t="s">
        <v>13</v>
      </c>
      <c r="C788" t="s">
        <v>61</v>
      </c>
      <c r="D788" s="16" t="s">
        <v>324</v>
      </c>
      <c r="E788">
        <f>LEN(Tabla1[[#This Row],[Categorías]])</f>
        <v>34</v>
      </c>
    </row>
    <row r="789" spans="2:5" x14ac:dyDescent="0.3">
      <c r="B789" t="s">
        <v>325</v>
      </c>
      <c r="C789" t="s">
        <v>61</v>
      </c>
      <c r="D789" s="16" t="s">
        <v>324</v>
      </c>
      <c r="E789">
        <f>LEN(Tabla1[[#This Row],[Categorías]])</f>
        <v>34</v>
      </c>
    </row>
    <row r="790" spans="2:5" x14ac:dyDescent="0.3">
      <c r="B790" t="s">
        <v>443</v>
      </c>
      <c r="C790" t="s">
        <v>61</v>
      </c>
      <c r="E790">
        <f>LEN(Tabla1[[#This Row],[Categorías]])</f>
        <v>34</v>
      </c>
    </row>
    <row r="791" spans="2:5" x14ac:dyDescent="0.3">
      <c r="B791" t="s">
        <v>13</v>
      </c>
      <c r="C791" t="s">
        <v>62</v>
      </c>
      <c r="D791" s="16" t="s">
        <v>324</v>
      </c>
      <c r="E791">
        <f>LEN(Tabla1[[#This Row],[Categorías]])</f>
        <v>21</v>
      </c>
    </row>
    <row r="792" spans="2:5" x14ac:dyDescent="0.3">
      <c r="B792" t="s">
        <v>325</v>
      </c>
      <c r="C792" t="s">
        <v>62</v>
      </c>
      <c r="D792" s="16" t="s">
        <v>324</v>
      </c>
      <c r="E792">
        <f>LEN(Tabla1[[#This Row],[Categorías]])</f>
        <v>21</v>
      </c>
    </row>
    <row r="793" spans="2:5" x14ac:dyDescent="0.3">
      <c r="B793" t="s">
        <v>443</v>
      </c>
      <c r="C793" t="s">
        <v>62</v>
      </c>
      <c r="E793">
        <f>LEN(Tabla1[[#This Row],[Categorías]])</f>
        <v>21</v>
      </c>
    </row>
    <row r="794" spans="2:5" x14ac:dyDescent="0.3">
      <c r="B794" t="s">
        <v>13</v>
      </c>
      <c r="C794" t="s">
        <v>56</v>
      </c>
      <c r="D794" s="16" t="s">
        <v>324</v>
      </c>
      <c r="E794">
        <f>LEN(Tabla1[[#This Row],[Categorías]])</f>
        <v>41</v>
      </c>
    </row>
    <row r="795" spans="2:5" x14ac:dyDescent="0.3">
      <c r="B795" t="s">
        <v>325</v>
      </c>
      <c r="C795" t="s">
        <v>56</v>
      </c>
      <c r="D795" s="16" t="s">
        <v>324</v>
      </c>
      <c r="E795">
        <f>LEN(Tabla1[[#This Row],[Categorías]])</f>
        <v>41</v>
      </c>
    </row>
    <row r="796" spans="2:5" x14ac:dyDescent="0.3">
      <c r="B796" t="s">
        <v>443</v>
      </c>
      <c r="C796" t="s">
        <v>56</v>
      </c>
      <c r="E796">
        <f>LEN(Tabla1[[#This Row],[Categorías]])</f>
        <v>41</v>
      </c>
    </row>
    <row r="797" spans="2:5" x14ac:dyDescent="0.3">
      <c r="B797" t="s">
        <v>13</v>
      </c>
      <c r="C797" t="s">
        <v>55</v>
      </c>
      <c r="D797" s="16" t="s">
        <v>324</v>
      </c>
      <c r="E797">
        <f>LEN(Tabla1[[#This Row],[Categorías]])</f>
        <v>54</v>
      </c>
    </row>
    <row r="798" spans="2:5" x14ac:dyDescent="0.3">
      <c r="B798" t="s">
        <v>325</v>
      </c>
      <c r="C798" t="s">
        <v>55</v>
      </c>
      <c r="D798" s="16" t="s">
        <v>324</v>
      </c>
      <c r="E798">
        <f>LEN(Tabla1[[#This Row],[Categorías]])</f>
        <v>54</v>
      </c>
    </row>
    <row r="799" spans="2:5" x14ac:dyDescent="0.3">
      <c r="B799" t="s">
        <v>443</v>
      </c>
      <c r="C799" t="s">
        <v>55</v>
      </c>
      <c r="E799">
        <f>LEN(Tabla1[[#This Row],[Categorías]])</f>
        <v>54</v>
      </c>
    </row>
    <row r="800" spans="2:5" x14ac:dyDescent="0.3">
      <c r="B800" t="s">
        <v>13</v>
      </c>
      <c r="C800" t="s">
        <v>54</v>
      </c>
      <c r="D800" s="16" t="s">
        <v>324</v>
      </c>
      <c r="E800">
        <f>LEN(Tabla1[[#This Row],[Categorías]])</f>
        <v>39</v>
      </c>
    </row>
    <row r="801" spans="2:5" x14ac:dyDescent="0.3">
      <c r="B801" t="s">
        <v>325</v>
      </c>
      <c r="C801" t="s">
        <v>54</v>
      </c>
      <c r="D801" s="16" t="s">
        <v>324</v>
      </c>
      <c r="E801">
        <f>LEN(Tabla1[[#This Row],[Categorías]])</f>
        <v>39</v>
      </c>
    </row>
    <row r="802" spans="2:5" x14ac:dyDescent="0.3">
      <c r="B802" t="s">
        <v>443</v>
      </c>
      <c r="C802" t="s">
        <v>54</v>
      </c>
      <c r="E802">
        <f>LEN(Tabla1[[#This Row],[Categorías]])</f>
        <v>39</v>
      </c>
    </row>
    <row r="803" spans="2:5" x14ac:dyDescent="0.3">
      <c r="B803" t="s">
        <v>13</v>
      </c>
      <c r="C803" t="s">
        <v>57</v>
      </c>
      <c r="D803" s="16" t="s">
        <v>324</v>
      </c>
      <c r="E803">
        <f>LEN(Tabla1[[#This Row],[Categorías]])</f>
        <v>27</v>
      </c>
    </row>
    <row r="804" spans="2:5" x14ac:dyDescent="0.3">
      <c r="B804" t="s">
        <v>325</v>
      </c>
      <c r="C804" t="s">
        <v>57</v>
      </c>
      <c r="D804" s="16" t="s">
        <v>324</v>
      </c>
      <c r="E804">
        <f>LEN(Tabla1[[#This Row],[Categorías]])</f>
        <v>27</v>
      </c>
    </row>
    <row r="805" spans="2:5" x14ac:dyDescent="0.3">
      <c r="B805" t="s">
        <v>443</v>
      </c>
      <c r="C805" t="s">
        <v>57</v>
      </c>
      <c r="E805">
        <f>LEN(Tabla1[[#This Row],[Categorías]])</f>
        <v>27</v>
      </c>
    </row>
    <row r="806" spans="2:5" x14ac:dyDescent="0.3">
      <c r="B806" t="s">
        <v>13</v>
      </c>
      <c r="C806" t="s">
        <v>53</v>
      </c>
      <c r="D806" s="16" t="s">
        <v>324</v>
      </c>
      <c r="E806">
        <f>LEN(Tabla1[[#This Row],[Categorías]])</f>
        <v>25</v>
      </c>
    </row>
    <row r="807" spans="2:5" x14ac:dyDescent="0.3">
      <c r="B807" t="s">
        <v>325</v>
      </c>
      <c r="C807" t="s">
        <v>53</v>
      </c>
      <c r="D807" s="16" t="s">
        <v>324</v>
      </c>
      <c r="E807">
        <f>LEN(Tabla1[[#This Row],[Categorías]])</f>
        <v>25</v>
      </c>
    </row>
    <row r="808" spans="2:5" x14ac:dyDescent="0.3">
      <c r="B808" t="s">
        <v>443</v>
      </c>
      <c r="C808" t="s">
        <v>53</v>
      </c>
      <c r="E808">
        <f>LEN(Tabla1[[#This Row],[Categorías]])</f>
        <v>25</v>
      </c>
    </row>
    <row r="809" spans="2:5" x14ac:dyDescent="0.3">
      <c r="B809" t="s">
        <v>13</v>
      </c>
      <c r="C809" t="s">
        <v>65</v>
      </c>
      <c r="D809" s="16" t="s">
        <v>324</v>
      </c>
      <c r="E809">
        <f>LEN(Tabla1[[#This Row],[Categorías]])</f>
        <v>32</v>
      </c>
    </row>
    <row r="810" spans="2:5" x14ac:dyDescent="0.3">
      <c r="B810" t="s">
        <v>325</v>
      </c>
      <c r="C810" t="s">
        <v>65</v>
      </c>
      <c r="D810" s="16" t="s">
        <v>324</v>
      </c>
      <c r="E810">
        <f>LEN(Tabla1[[#This Row],[Categorías]])</f>
        <v>32</v>
      </c>
    </row>
    <row r="811" spans="2:5" x14ac:dyDescent="0.3">
      <c r="B811" t="s">
        <v>443</v>
      </c>
      <c r="C811" t="s">
        <v>65</v>
      </c>
      <c r="E811">
        <f>LEN(Tabla1[[#This Row],[Categorías]])</f>
        <v>32</v>
      </c>
    </row>
    <row r="812" spans="2:5" x14ac:dyDescent="0.3">
      <c r="B812" t="s">
        <v>13</v>
      </c>
      <c r="C812" t="s">
        <v>63</v>
      </c>
      <c r="D812" s="16" t="s">
        <v>324</v>
      </c>
      <c r="E812">
        <f>LEN(Tabla1[[#This Row],[Categorías]])</f>
        <v>21</v>
      </c>
    </row>
    <row r="813" spans="2:5" x14ac:dyDescent="0.3">
      <c r="B813" t="s">
        <v>325</v>
      </c>
      <c r="C813" t="s">
        <v>63</v>
      </c>
      <c r="D813" s="16" t="s">
        <v>324</v>
      </c>
      <c r="E813">
        <f>LEN(Tabla1[[#This Row],[Categorías]])</f>
        <v>21</v>
      </c>
    </row>
    <row r="814" spans="2:5" x14ac:dyDescent="0.3">
      <c r="B814" t="s">
        <v>443</v>
      </c>
      <c r="C814" t="s">
        <v>63</v>
      </c>
      <c r="E814">
        <f>LEN(Tabla1[[#This Row],[Categorías]])</f>
        <v>21</v>
      </c>
    </row>
    <row r="815" spans="2:5" x14ac:dyDescent="0.3">
      <c r="B815" t="s">
        <v>13</v>
      </c>
      <c r="C815" t="s">
        <v>64</v>
      </c>
      <c r="D815" s="16" t="s">
        <v>324</v>
      </c>
      <c r="E815">
        <f>LEN(Tabla1[[#This Row],[Categorías]])</f>
        <v>25</v>
      </c>
    </row>
    <row r="816" spans="2:5" x14ac:dyDescent="0.3">
      <c r="B816" t="s">
        <v>325</v>
      </c>
      <c r="C816" t="s">
        <v>64</v>
      </c>
      <c r="D816" s="16" t="s">
        <v>324</v>
      </c>
      <c r="E816">
        <f>LEN(Tabla1[[#This Row],[Categorías]])</f>
        <v>25</v>
      </c>
    </row>
    <row r="817" spans="2:5" x14ac:dyDescent="0.3">
      <c r="B817" t="s">
        <v>443</v>
      </c>
      <c r="C817" t="s">
        <v>64</v>
      </c>
      <c r="E817">
        <f>LEN(Tabla1[[#This Row],[Categorías]])</f>
        <v>25</v>
      </c>
    </row>
    <row r="818" spans="2:5" x14ac:dyDescent="0.3">
      <c r="B818" t="s">
        <v>13</v>
      </c>
      <c r="C818" t="s">
        <v>52</v>
      </c>
      <c r="D818" s="16" t="s">
        <v>324</v>
      </c>
      <c r="E818">
        <f>LEN(Tabla1[[#This Row],[Categorías]])</f>
        <v>23</v>
      </c>
    </row>
    <row r="819" spans="2:5" x14ac:dyDescent="0.3">
      <c r="B819" t="s">
        <v>325</v>
      </c>
      <c r="C819" t="s">
        <v>52</v>
      </c>
      <c r="D819" s="16" t="s">
        <v>324</v>
      </c>
      <c r="E819">
        <f>LEN(Tabla1[[#This Row],[Categorías]])</f>
        <v>23</v>
      </c>
    </row>
    <row r="820" spans="2:5" x14ac:dyDescent="0.3">
      <c r="B820" t="s">
        <v>443</v>
      </c>
      <c r="C820" t="s">
        <v>52</v>
      </c>
      <c r="E820">
        <f>LEN(Tabla1[[#This Row],[Categorías]])</f>
        <v>23</v>
      </c>
    </row>
    <row r="821" spans="2:5" x14ac:dyDescent="0.3">
      <c r="B821" t="s">
        <v>13</v>
      </c>
      <c r="C821" t="s">
        <v>60</v>
      </c>
      <c r="D821" s="16" t="s">
        <v>324</v>
      </c>
      <c r="E821">
        <f>LEN(Tabla1[[#This Row],[Categorías]])</f>
        <v>36</v>
      </c>
    </row>
    <row r="822" spans="2:5" x14ac:dyDescent="0.3">
      <c r="B822" t="s">
        <v>325</v>
      </c>
      <c r="C822" t="s">
        <v>60</v>
      </c>
      <c r="D822" s="16" t="s">
        <v>324</v>
      </c>
      <c r="E822">
        <f>LEN(Tabla1[[#This Row],[Categorías]])</f>
        <v>36</v>
      </c>
    </row>
    <row r="823" spans="2:5" x14ac:dyDescent="0.3">
      <c r="B823" t="s">
        <v>443</v>
      </c>
      <c r="C823" t="s">
        <v>60</v>
      </c>
      <c r="E823">
        <f>LEN(Tabla1[[#This Row],[Categorías]])</f>
        <v>36</v>
      </c>
    </row>
    <row r="824" spans="2:5" x14ac:dyDescent="0.3">
      <c r="B824" t="s">
        <v>13</v>
      </c>
      <c r="C824" t="s">
        <v>59</v>
      </c>
      <c r="D824" s="16" t="s">
        <v>324</v>
      </c>
      <c r="E824">
        <f>LEN(Tabla1[[#This Row],[Categorías]])</f>
        <v>43</v>
      </c>
    </row>
    <row r="825" spans="2:5" x14ac:dyDescent="0.3">
      <c r="B825" t="s">
        <v>325</v>
      </c>
      <c r="C825" t="s">
        <v>59</v>
      </c>
      <c r="D825" s="16" t="s">
        <v>324</v>
      </c>
      <c r="E825">
        <f>LEN(Tabla1[[#This Row],[Categorías]])</f>
        <v>43</v>
      </c>
    </row>
    <row r="826" spans="2:5" x14ac:dyDescent="0.3">
      <c r="B826" t="s">
        <v>443</v>
      </c>
      <c r="C826" t="s">
        <v>59</v>
      </c>
      <c r="E826">
        <f>LEN(Tabla1[[#This Row],[Categorías]])</f>
        <v>43</v>
      </c>
    </row>
    <row r="827" spans="2:5" x14ac:dyDescent="0.3">
      <c r="B827" t="s">
        <v>13</v>
      </c>
      <c r="C827" t="s">
        <v>58</v>
      </c>
      <c r="D827" s="16" t="s">
        <v>324</v>
      </c>
      <c r="E827">
        <f>LEN(Tabla1[[#This Row],[Categorías]])</f>
        <v>44</v>
      </c>
    </row>
    <row r="828" spans="2:5" x14ac:dyDescent="0.3">
      <c r="B828" t="s">
        <v>325</v>
      </c>
      <c r="C828" t="s">
        <v>58</v>
      </c>
      <c r="D828" s="16" t="s">
        <v>324</v>
      </c>
      <c r="E828">
        <f>LEN(Tabla1[[#This Row],[Categorías]])</f>
        <v>44</v>
      </c>
    </row>
    <row r="829" spans="2:5" x14ac:dyDescent="0.3">
      <c r="B829" t="s">
        <v>443</v>
      </c>
      <c r="C829" t="s">
        <v>58</v>
      </c>
      <c r="E829">
        <f>LEN(Tabla1[[#This Row],[Categorías]])</f>
        <v>44</v>
      </c>
    </row>
    <row r="830" spans="2:5" x14ac:dyDescent="0.3">
      <c r="B830" t="s">
        <v>13</v>
      </c>
      <c r="C830" t="s">
        <v>50</v>
      </c>
      <c r="D830" s="16" t="s">
        <v>324</v>
      </c>
      <c r="E830">
        <f>LEN(Tabla1[[#This Row],[Categorías]])</f>
        <v>18</v>
      </c>
    </row>
    <row r="831" spans="2:5" x14ac:dyDescent="0.3">
      <c r="B831" t="s">
        <v>325</v>
      </c>
      <c r="C831" t="s">
        <v>50</v>
      </c>
      <c r="D831" s="16" t="s">
        <v>324</v>
      </c>
      <c r="E831">
        <f>LEN(Tabla1[[#This Row],[Categorías]])</f>
        <v>18</v>
      </c>
    </row>
    <row r="832" spans="2:5" x14ac:dyDescent="0.3">
      <c r="B832" t="s">
        <v>443</v>
      </c>
      <c r="C832" t="s">
        <v>50</v>
      </c>
      <c r="E832">
        <f>LEN(Tabla1[[#This Row],[Categorías]])</f>
        <v>18</v>
      </c>
    </row>
    <row r="833" spans="2:5" x14ac:dyDescent="0.3">
      <c r="B833" t="s">
        <v>13</v>
      </c>
      <c r="C833" t="s">
        <v>184</v>
      </c>
      <c r="D833" s="16" t="s">
        <v>324</v>
      </c>
      <c r="E833">
        <f>LEN(Tabla1[[#This Row],[Categorías]])</f>
        <v>22</v>
      </c>
    </row>
    <row r="834" spans="2:5" x14ac:dyDescent="0.3">
      <c r="B834" t="s">
        <v>325</v>
      </c>
      <c r="C834" t="s">
        <v>184</v>
      </c>
      <c r="D834" s="16" t="s">
        <v>324</v>
      </c>
      <c r="E834">
        <f>LEN(Tabla1[[#This Row],[Categorías]])</f>
        <v>22</v>
      </c>
    </row>
    <row r="835" spans="2:5" x14ac:dyDescent="0.3">
      <c r="B835" t="s">
        <v>443</v>
      </c>
      <c r="C835" t="s">
        <v>184</v>
      </c>
      <c r="E835">
        <f>LEN(Tabla1[[#This Row],[Categorías]])</f>
        <v>22</v>
      </c>
    </row>
    <row r="836" spans="2:5" x14ac:dyDescent="0.3">
      <c r="B836" t="s">
        <v>13</v>
      </c>
      <c r="C836" t="s">
        <v>173</v>
      </c>
      <c r="D836" s="16" t="s">
        <v>324</v>
      </c>
      <c r="E836">
        <f>LEN(Tabla1[[#This Row],[Categorías]])</f>
        <v>27</v>
      </c>
    </row>
    <row r="837" spans="2:5" x14ac:dyDescent="0.3">
      <c r="B837" t="s">
        <v>325</v>
      </c>
      <c r="C837" t="s">
        <v>173</v>
      </c>
      <c r="D837" s="16" t="s">
        <v>324</v>
      </c>
      <c r="E837">
        <f>LEN(Tabla1[[#This Row],[Categorías]])</f>
        <v>27</v>
      </c>
    </row>
    <row r="838" spans="2:5" x14ac:dyDescent="0.3">
      <c r="B838" t="s">
        <v>443</v>
      </c>
      <c r="C838" t="s">
        <v>173</v>
      </c>
      <c r="E838">
        <f>LEN(Tabla1[[#This Row],[Categorías]])</f>
        <v>27</v>
      </c>
    </row>
    <row r="839" spans="2:5" x14ac:dyDescent="0.3">
      <c r="B839" t="s">
        <v>13</v>
      </c>
      <c r="C839" t="s">
        <v>224</v>
      </c>
      <c r="D839" s="16" t="s">
        <v>324</v>
      </c>
      <c r="E839">
        <f>LEN(Tabla1[[#This Row],[Categorías]])</f>
        <v>30</v>
      </c>
    </row>
    <row r="840" spans="2:5" x14ac:dyDescent="0.3">
      <c r="B840" t="s">
        <v>325</v>
      </c>
      <c r="C840" t="s">
        <v>224</v>
      </c>
      <c r="D840" s="16" t="s">
        <v>324</v>
      </c>
      <c r="E840">
        <f>LEN(Tabla1[[#This Row],[Categorías]])</f>
        <v>30</v>
      </c>
    </row>
    <row r="841" spans="2:5" x14ac:dyDescent="0.3">
      <c r="B841" t="s">
        <v>13</v>
      </c>
      <c r="C841" t="s">
        <v>174</v>
      </c>
      <c r="D841" s="16" t="s">
        <v>324</v>
      </c>
      <c r="E841">
        <f>LEN(Tabla1[[#This Row],[Categorías]])</f>
        <v>14</v>
      </c>
    </row>
    <row r="842" spans="2:5" x14ac:dyDescent="0.3">
      <c r="B842" t="s">
        <v>325</v>
      </c>
      <c r="C842" t="s">
        <v>174</v>
      </c>
      <c r="D842" s="16" t="s">
        <v>324</v>
      </c>
      <c r="E842">
        <f>LEN(Tabla1[[#This Row],[Categorías]])</f>
        <v>14</v>
      </c>
    </row>
    <row r="843" spans="2:5" x14ac:dyDescent="0.3">
      <c r="B843" t="s">
        <v>443</v>
      </c>
      <c r="C843" t="s">
        <v>174</v>
      </c>
      <c r="E843">
        <f>LEN(Tabla1[[#This Row],[Categorías]])</f>
        <v>14</v>
      </c>
    </row>
    <row r="844" spans="2:5" x14ac:dyDescent="0.3">
      <c r="B844" t="s">
        <v>13</v>
      </c>
      <c r="C844" t="s">
        <v>169</v>
      </c>
      <c r="D844" s="16" t="s">
        <v>324</v>
      </c>
      <c r="E844">
        <f>LEN(Tabla1[[#This Row],[Categorías]])</f>
        <v>34</v>
      </c>
    </row>
    <row r="845" spans="2:5" x14ac:dyDescent="0.3">
      <c r="B845" t="s">
        <v>325</v>
      </c>
      <c r="C845" t="s">
        <v>169</v>
      </c>
      <c r="D845" s="16" t="s">
        <v>324</v>
      </c>
      <c r="E845">
        <f>LEN(Tabla1[[#This Row],[Categorías]])</f>
        <v>34</v>
      </c>
    </row>
    <row r="846" spans="2:5" x14ac:dyDescent="0.3">
      <c r="B846" t="s">
        <v>443</v>
      </c>
      <c r="C846" t="s">
        <v>169</v>
      </c>
      <c r="E846">
        <f>LEN(Tabla1[[#This Row],[Categorías]])</f>
        <v>34</v>
      </c>
    </row>
    <row r="847" spans="2:5" x14ac:dyDescent="0.3">
      <c r="B847" t="s">
        <v>13</v>
      </c>
      <c r="C847" t="s">
        <v>225</v>
      </c>
      <c r="D847" s="16" t="s">
        <v>324</v>
      </c>
      <c r="E847">
        <f>LEN(Tabla1[[#This Row],[Categorías]])</f>
        <v>17</v>
      </c>
    </row>
    <row r="848" spans="2:5" x14ac:dyDescent="0.3">
      <c r="B848" t="s">
        <v>325</v>
      </c>
      <c r="C848" t="s">
        <v>225</v>
      </c>
      <c r="D848" s="16" t="s">
        <v>324</v>
      </c>
      <c r="E848">
        <f>LEN(Tabla1[[#This Row],[Categorías]])</f>
        <v>17</v>
      </c>
    </row>
    <row r="849" spans="2:5" x14ac:dyDescent="0.3">
      <c r="B849" t="s">
        <v>13</v>
      </c>
      <c r="C849" t="s">
        <v>185</v>
      </c>
      <c r="D849" s="16" t="s">
        <v>324</v>
      </c>
      <c r="E849">
        <f>LEN(Tabla1[[#This Row],[Categorías]])</f>
        <v>47</v>
      </c>
    </row>
    <row r="850" spans="2:5" x14ac:dyDescent="0.3">
      <c r="B850" t="s">
        <v>325</v>
      </c>
      <c r="C850" t="s">
        <v>185</v>
      </c>
      <c r="D850" s="16" t="s">
        <v>324</v>
      </c>
      <c r="E850">
        <f>LEN(Tabla1[[#This Row],[Categorías]])</f>
        <v>47</v>
      </c>
    </row>
    <row r="851" spans="2:5" x14ac:dyDescent="0.3">
      <c r="B851" t="s">
        <v>443</v>
      </c>
      <c r="C851" t="s">
        <v>185</v>
      </c>
      <c r="E851">
        <f>LEN(Tabla1[[#This Row],[Categorías]])</f>
        <v>47</v>
      </c>
    </row>
    <row r="852" spans="2:5" x14ac:dyDescent="0.3">
      <c r="B852" t="s">
        <v>443</v>
      </c>
      <c r="C852" t="s">
        <v>445</v>
      </c>
      <c r="E852">
        <f>LEN(Tabla1[[#This Row],[Categorías]])</f>
        <v>37</v>
      </c>
    </row>
    <row r="853" spans="2:5" x14ac:dyDescent="0.3">
      <c r="B853" t="s">
        <v>13</v>
      </c>
      <c r="C853" t="s">
        <v>186</v>
      </c>
      <c r="D853" s="16" t="s">
        <v>324</v>
      </c>
      <c r="E853">
        <f>LEN(Tabla1[[#This Row],[Categorías]])</f>
        <v>32</v>
      </c>
    </row>
    <row r="854" spans="2:5" x14ac:dyDescent="0.3">
      <c r="B854" t="s">
        <v>325</v>
      </c>
      <c r="C854" t="s">
        <v>186</v>
      </c>
      <c r="D854" s="16" t="s">
        <v>324</v>
      </c>
      <c r="E854">
        <f>LEN(Tabla1[[#This Row],[Categorías]])</f>
        <v>32</v>
      </c>
    </row>
    <row r="855" spans="2:5" x14ac:dyDescent="0.3">
      <c r="B855" t="s">
        <v>443</v>
      </c>
      <c r="C855" t="s">
        <v>186</v>
      </c>
      <c r="E855">
        <f>LEN(Tabla1[[#This Row],[Categorías]])</f>
        <v>32</v>
      </c>
    </row>
    <row r="856" spans="2:5" x14ac:dyDescent="0.3">
      <c r="B856" t="s">
        <v>13</v>
      </c>
      <c r="C856" t="s">
        <v>170</v>
      </c>
      <c r="D856" s="16" t="s">
        <v>324</v>
      </c>
      <c r="E856">
        <f>LEN(Tabla1[[#This Row],[Categorías]])</f>
        <v>20</v>
      </c>
    </row>
    <row r="857" spans="2:5" x14ac:dyDescent="0.3">
      <c r="B857" t="s">
        <v>325</v>
      </c>
      <c r="C857" t="s">
        <v>170</v>
      </c>
      <c r="D857" s="16" t="s">
        <v>324</v>
      </c>
      <c r="E857">
        <f>LEN(Tabla1[[#This Row],[Categorías]])</f>
        <v>20</v>
      </c>
    </row>
    <row r="858" spans="2:5" x14ac:dyDescent="0.3">
      <c r="B858" t="s">
        <v>443</v>
      </c>
      <c r="C858" t="s">
        <v>170</v>
      </c>
      <c r="E858">
        <f>LEN(Tabla1[[#This Row],[Categorías]])</f>
        <v>20</v>
      </c>
    </row>
    <row r="859" spans="2:5" x14ac:dyDescent="0.3">
      <c r="B859" t="s">
        <v>13</v>
      </c>
      <c r="C859" t="s">
        <v>197</v>
      </c>
      <c r="D859" s="16" t="s">
        <v>324</v>
      </c>
      <c r="E859">
        <f>LEN(Tabla1[[#This Row],[Categorías]])</f>
        <v>18</v>
      </c>
    </row>
    <row r="860" spans="2:5" x14ac:dyDescent="0.3">
      <c r="B860" t="s">
        <v>325</v>
      </c>
      <c r="C860" t="s">
        <v>197</v>
      </c>
      <c r="D860" s="16" t="s">
        <v>324</v>
      </c>
      <c r="E860">
        <f>LEN(Tabla1[[#This Row],[Categorías]])</f>
        <v>18</v>
      </c>
    </row>
    <row r="861" spans="2:5" x14ac:dyDescent="0.3">
      <c r="B861" t="s">
        <v>443</v>
      </c>
      <c r="C861" t="s">
        <v>197</v>
      </c>
      <c r="E861">
        <f>LEN(Tabla1[[#This Row],[Categorías]])</f>
        <v>18</v>
      </c>
    </row>
    <row r="862" spans="2:5" x14ac:dyDescent="0.3">
      <c r="B862" t="s">
        <v>13</v>
      </c>
      <c r="C862" t="s">
        <v>231</v>
      </c>
      <c r="D862" s="16" t="s">
        <v>324</v>
      </c>
      <c r="E862">
        <f>LEN(Tabla1[[#This Row],[Categorías]])</f>
        <v>25</v>
      </c>
    </row>
    <row r="863" spans="2:5" x14ac:dyDescent="0.3">
      <c r="B863" t="s">
        <v>325</v>
      </c>
      <c r="C863" t="s">
        <v>231</v>
      </c>
      <c r="D863" s="16" t="s">
        <v>324</v>
      </c>
      <c r="E863">
        <f>LEN(Tabla1[[#This Row],[Categorías]])</f>
        <v>25</v>
      </c>
    </row>
    <row r="864" spans="2:5" x14ac:dyDescent="0.3">
      <c r="B864" t="s">
        <v>443</v>
      </c>
      <c r="C864" t="s">
        <v>231</v>
      </c>
      <c r="E864">
        <f>LEN(Tabla1[[#This Row],[Categorías]])</f>
        <v>25</v>
      </c>
    </row>
    <row r="865" spans="2:5" x14ac:dyDescent="0.3">
      <c r="B865" t="s">
        <v>13</v>
      </c>
      <c r="C865" t="s">
        <v>175</v>
      </c>
      <c r="D865" s="16" t="s">
        <v>324</v>
      </c>
      <c r="E865">
        <f>LEN(Tabla1[[#This Row],[Categorías]])</f>
        <v>14</v>
      </c>
    </row>
    <row r="866" spans="2:5" x14ac:dyDescent="0.3">
      <c r="B866" t="s">
        <v>325</v>
      </c>
      <c r="C866" t="s">
        <v>175</v>
      </c>
      <c r="D866" s="16" t="s">
        <v>324</v>
      </c>
      <c r="E866">
        <f>LEN(Tabla1[[#This Row],[Categorías]])</f>
        <v>14</v>
      </c>
    </row>
    <row r="867" spans="2:5" x14ac:dyDescent="0.3">
      <c r="B867" t="s">
        <v>443</v>
      </c>
      <c r="C867" t="s">
        <v>175</v>
      </c>
      <c r="E867">
        <f>LEN(Tabla1[[#This Row],[Categorías]])</f>
        <v>14</v>
      </c>
    </row>
    <row r="868" spans="2:5" x14ac:dyDescent="0.3">
      <c r="B868" t="s">
        <v>13</v>
      </c>
      <c r="C868" t="s">
        <v>176</v>
      </c>
      <c r="D868" s="16" t="s">
        <v>324</v>
      </c>
      <c r="E868">
        <f>LEN(Tabla1[[#This Row],[Categorías]])</f>
        <v>18</v>
      </c>
    </row>
    <row r="869" spans="2:5" x14ac:dyDescent="0.3">
      <c r="B869" t="s">
        <v>325</v>
      </c>
      <c r="C869" t="s">
        <v>176</v>
      </c>
      <c r="D869" s="16" t="s">
        <v>324</v>
      </c>
      <c r="E869">
        <f>LEN(Tabla1[[#This Row],[Categorías]])</f>
        <v>18</v>
      </c>
    </row>
    <row r="870" spans="2:5" x14ac:dyDescent="0.3">
      <c r="B870" t="s">
        <v>443</v>
      </c>
      <c r="C870" t="s">
        <v>176</v>
      </c>
      <c r="E870">
        <f>LEN(Tabla1[[#This Row],[Categorías]])</f>
        <v>18</v>
      </c>
    </row>
    <row r="871" spans="2:5" x14ac:dyDescent="0.3">
      <c r="B871" t="s">
        <v>13</v>
      </c>
      <c r="C871" t="s">
        <v>289</v>
      </c>
      <c r="D871" s="16" t="s">
        <v>324</v>
      </c>
      <c r="E871">
        <f>LEN(Tabla1[[#This Row],[Categorías]])</f>
        <v>13</v>
      </c>
    </row>
    <row r="872" spans="2:5" x14ac:dyDescent="0.3">
      <c r="B872" t="s">
        <v>325</v>
      </c>
      <c r="C872" t="s">
        <v>289</v>
      </c>
      <c r="D872" s="16" t="s">
        <v>324</v>
      </c>
      <c r="E872">
        <f>LEN(Tabla1[[#This Row],[Categorías]])</f>
        <v>13</v>
      </c>
    </row>
    <row r="873" spans="2:5" x14ac:dyDescent="0.3">
      <c r="B873" t="s">
        <v>443</v>
      </c>
      <c r="C873" t="s">
        <v>289</v>
      </c>
      <c r="E873">
        <f>LEN(Tabla1[[#This Row],[Categorías]])</f>
        <v>13</v>
      </c>
    </row>
    <row r="874" spans="2:5" x14ac:dyDescent="0.3">
      <c r="B874" t="s">
        <v>13</v>
      </c>
      <c r="C874" t="s">
        <v>187</v>
      </c>
      <c r="D874" s="16" t="s">
        <v>324</v>
      </c>
      <c r="E874">
        <f>LEN(Tabla1[[#This Row],[Categorías]])</f>
        <v>16</v>
      </c>
    </row>
    <row r="875" spans="2:5" x14ac:dyDescent="0.3">
      <c r="B875" t="s">
        <v>325</v>
      </c>
      <c r="C875" t="s">
        <v>187</v>
      </c>
      <c r="D875" s="16" t="s">
        <v>324</v>
      </c>
      <c r="E875">
        <f>LEN(Tabla1[[#This Row],[Categorías]])</f>
        <v>16</v>
      </c>
    </row>
    <row r="876" spans="2:5" x14ac:dyDescent="0.3">
      <c r="B876" t="s">
        <v>443</v>
      </c>
      <c r="C876" t="s">
        <v>187</v>
      </c>
      <c r="E876">
        <f>LEN(Tabla1[[#This Row],[Categorías]])</f>
        <v>16</v>
      </c>
    </row>
    <row r="877" spans="2:5" x14ac:dyDescent="0.3">
      <c r="B877" t="s">
        <v>13</v>
      </c>
      <c r="C877" t="s">
        <v>226</v>
      </c>
      <c r="D877" s="16" t="s">
        <v>324</v>
      </c>
      <c r="E877">
        <f>LEN(Tabla1[[#This Row],[Categorías]])</f>
        <v>17</v>
      </c>
    </row>
    <row r="878" spans="2:5" x14ac:dyDescent="0.3">
      <c r="B878" t="s">
        <v>325</v>
      </c>
      <c r="C878" t="s">
        <v>226</v>
      </c>
      <c r="D878" s="16" t="s">
        <v>324</v>
      </c>
      <c r="E878">
        <f>LEN(Tabla1[[#This Row],[Categorías]])</f>
        <v>17</v>
      </c>
    </row>
    <row r="879" spans="2:5" x14ac:dyDescent="0.3">
      <c r="B879" t="s">
        <v>13</v>
      </c>
      <c r="C879" t="s">
        <v>188</v>
      </c>
      <c r="D879" s="16" t="s">
        <v>324</v>
      </c>
      <c r="E879">
        <f>LEN(Tabla1[[#This Row],[Categorías]])</f>
        <v>29</v>
      </c>
    </row>
    <row r="880" spans="2:5" x14ac:dyDescent="0.3">
      <c r="B880" t="s">
        <v>325</v>
      </c>
      <c r="C880" t="s">
        <v>188</v>
      </c>
      <c r="D880" s="16" t="s">
        <v>324</v>
      </c>
      <c r="E880">
        <f>LEN(Tabla1[[#This Row],[Categorías]])</f>
        <v>29</v>
      </c>
    </row>
    <row r="881" spans="2:5" x14ac:dyDescent="0.3">
      <c r="B881" t="s">
        <v>443</v>
      </c>
      <c r="C881" t="s">
        <v>188</v>
      </c>
      <c r="E881">
        <f>LEN(Tabla1[[#This Row],[Categorías]])</f>
        <v>29</v>
      </c>
    </row>
    <row r="882" spans="2:5" x14ac:dyDescent="0.3">
      <c r="B882" t="s">
        <v>325</v>
      </c>
      <c r="C882" t="s">
        <v>391</v>
      </c>
      <c r="D882" s="16" t="s">
        <v>324</v>
      </c>
      <c r="E882">
        <f>LEN(Tabla1[[#This Row],[Categorías]])</f>
        <v>36</v>
      </c>
    </row>
    <row r="883" spans="2:5" x14ac:dyDescent="0.3">
      <c r="B883" t="s">
        <v>13</v>
      </c>
      <c r="C883" t="s">
        <v>172</v>
      </c>
      <c r="D883" s="16" t="s">
        <v>324</v>
      </c>
      <c r="E883">
        <f>LEN(Tabla1[[#This Row],[Categorías]])</f>
        <v>36</v>
      </c>
    </row>
    <row r="884" spans="2:5" x14ac:dyDescent="0.3">
      <c r="B884" t="s">
        <v>325</v>
      </c>
      <c r="C884" t="s">
        <v>172</v>
      </c>
      <c r="D884" s="16" t="s">
        <v>324</v>
      </c>
      <c r="E884">
        <f>LEN(Tabla1[[#This Row],[Categorías]])</f>
        <v>36</v>
      </c>
    </row>
    <row r="885" spans="2:5" x14ac:dyDescent="0.3">
      <c r="B885" t="s">
        <v>443</v>
      </c>
      <c r="C885" t="s">
        <v>172</v>
      </c>
      <c r="E885">
        <f>LEN(Tabla1[[#This Row],[Categorías]])</f>
        <v>36</v>
      </c>
    </row>
    <row r="886" spans="2:5" x14ac:dyDescent="0.3">
      <c r="B886" t="s">
        <v>325</v>
      </c>
      <c r="C886" t="s">
        <v>390</v>
      </c>
      <c r="D886" s="16" t="s">
        <v>324</v>
      </c>
      <c r="E886">
        <f>LEN(Tabla1[[#This Row],[Categorías]])</f>
        <v>37</v>
      </c>
    </row>
    <row r="887" spans="2:5" x14ac:dyDescent="0.3">
      <c r="B887" t="s">
        <v>13</v>
      </c>
      <c r="C887" t="s">
        <v>171</v>
      </c>
      <c r="D887" s="16" t="s">
        <v>324</v>
      </c>
      <c r="E887">
        <f>LEN(Tabla1[[#This Row],[Categorías]])</f>
        <v>37</v>
      </c>
    </row>
    <row r="888" spans="2:5" x14ac:dyDescent="0.3">
      <c r="B888" t="s">
        <v>325</v>
      </c>
      <c r="C888" t="s">
        <v>171</v>
      </c>
      <c r="D888" s="16" t="s">
        <v>324</v>
      </c>
      <c r="E888">
        <f>LEN(Tabla1[[#This Row],[Categorías]])</f>
        <v>37</v>
      </c>
    </row>
    <row r="889" spans="2:5" x14ac:dyDescent="0.3">
      <c r="B889" t="s">
        <v>443</v>
      </c>
      <c r="C889" t="s">
        <v>171</v>
      </c>
      <c r="E889">
        <f>LEN(Tabla1[[#This Row],[Categorías]])</f>
        <v>37</v>
      </c>
    </row>
    <row r="890" spans="2:5" x14ac:dyDescent="0.3">
      <c r="B890" t="s">
        <v>13</v>
      </c>
      <c r="C890" t="s">
        <v>230</v>
      </c>
      <c r="D890" s="16" t="s">
        <v>324</v>
      </c>
      <c r="E890">
        <f>LEN(Tabla1[[#This Row],[Categorías]])</f>
        <v>11</v>
      </c>
    </row>
    <row r="891" spans="2:5" x14ac:dyDescent="0.3">
      <c r="B891" t="s">
        <v>325</v>
      </c>
      <c r="C891" t="s">
        <v>230</v>
      </c>
      <c r="D891" s="16" t="s">
        <v>324</v>
      </c>
      <c r="E891">
        <f>LEN(Tabla1[[#This Row],[Categorías]])</f>
        <v>11</v>
      </c>
    </row>
    <row r="892" spans="2:5" x14ac:dyDescent="0.3">
      <c r="B892" t="s">
        <v>443</v>
      </c>
      <c r="C892" t="s">
        <v>230</v>
      </c>
      <c r="E892">
        <f>LEN(Tabla1[[#This Row],[Categorías]])</f>
        <v>11</v>
      </c>
    </row>
    <row r="893" spans="2:5" x14ac:dyDescent="0.3">
      <c r="B893" t="s">
        <v>462</v>
      </c>
      <c r="C893" t="s">
        <v>472</v>
      </c>
      <c r="E893">
        <f>LEN(Tabla1[[#This Row],[Categorías]])</f>
        <v>11</v>
      </c>
    </row>
    <row r="894" spans="2:5" x14ac:dyDescent="0.3">
      <c r="B894" t="s">
        <v>13</v>
      </c>
      <c r="C894" t="s">
        <v>189</v>
      </c>
      <c r="D894" s="16" t="s">
        <v>324</v>
      </c>
      <c r="E894">
        <f>LEN(Tabla1[[#This Row],[Categorías]])</f>
        <v>9</v>
      </c>
    </row>
    <row r="895" spans="2:5" x14ac:dyDescent="0.3">
      <c r="B895" t="s">
        <v>325</v>
      </c>
      <c r="C895" t="s">
        <v>189</v>
      </c>
      <c r="D895" s="16" t="s">
        <v>324</v>
      </c>
      <c r="E895">
        <f>LEN(Tabla1[[#This Row],[Categorías]])</f>
        <v>9</v>
      </c>
    </row>
    <row r="896" spans="2:5" x14ac:dyDescent="0.3">
      <c r="B896" t="s">
        <v>443</v>
      </c>
      <c r="C896" t="s">
        <v>189</v>
      </c>
      <c r="E896">
        <f>LEN(Tabla1[[#This Row],[Categorías]])</f>
        <v>9</v>
      </c>
    </row>
    <row r="897" spans="2:5" x14ac:dyDescent="0.3">
      <c r="B897" t="s">
        <v>13</v>
      </c>
      <c r="C897" t="s">
        <v>201</v>
      </c>
      <c r="D897" s="16" t="s">
        <v>324</v>
      </c>
      <c r="E897">
        <f>LEN(Tabla1[[#This Row],[Categorías]])</f>
        <v>27</v>
      </c>
    </row>
    <row r="898" spans="2:5" x14ac:dyDescent="0.3">
      <c r="B898" t="s">
        <v>325</v>
      </c>
      <c r="C898" t="s">
        <v>201</v>
      </c>
      <c r="D898" s="16" t="s">
        <v>324</v>
      </c>
      <c r="E898">
        <f>LEN(Tabla1[[#This Row],[Categorías]])</f>
        <v>27</v>
      </c>
    </row>
    <row r="899" spans="2:5" x14ac:dyDescent="0.3">
      <c r="B899" t="s">
        <v>443</v>
      </c>
      <c r="C899" t="s">
        <v>201</v>
      </c>
      <c r="E899">
        <f>LEN(Tabla1[[#This Row],[Categorías]])</f>
        <v>27</v>
      </c>
    </row>
    <row r="900" spans="2:5" x14ac:dyDescent="0.3">
      <c r="B900" t="s">
        <v>13</v>
      </c>
      <c r="C900" t="s">
        <v>39</v>
      </c>
      <c r="D900" s="16" t="s">
        <v>324</v>
      </c>
      <c r="E900">
        <f>LEN(Tabla1[[#This Row],[Categorías]])</f>
        <v>27</v>
      </c>
    </row>
    <row r="901" spans="2:5" x14ac:dyDescent="0.3">
      <c r="B901" t="s">
        <v>325</v>
      </c>
      <c r="C901" t="s">
        <v>39</v>
      </c>
      <c r="D901" s="16" t="s">
        <v>324</v>
      </c>
      <c r="E901">
        <f>LEN(Tabla1[[#This Row],[Categorías]])</f>
        <v>27</v>
      </c>
    </row>
    <row r="902" spans="2:5" x14ac:dyDescent="0.3">
      <c r="B902" t="s">
        <v>443</v>
      </c>
      <c r="C902" t="s">
        <v>39</v>
      </c>
      <c r="E902">
        <f>LEN(Tabla1[[#This Row],[Categorías]])</f>
        <v>27</v>
      </c>
    </row>
    <row r="903" spans="2:5" x14ac:dyDescent="0.3">
      <c r="B903" t="s">
        <v>13</v>
      </c>
      <c r="C903" t="s">
        <v>38</v>
      </c>
      <c r="D903" s="16" t="s">
        <v>324</v>
      </c>
      <c r="E903">
        <f>LEN(Tabla1[[#This Row],[Categorías]])</f>
        <v>34</v>
      </c>
    </row>
    <row r="904" spans="2:5" x14ac:dyDescent="0.3">
      <c r="B904" t="s">
        <v>325</v>
      </c>
      <c r="C904" t="s">
        <v>38</v>
      </c>
      <c r="D904" s="16" t="s">
        <v>324</v>
      </c>
      <c r="E904">
        <f>LEN(Tabla1[[#This Row],[Categorías]])</f>
        <v>34</v>
      </c>
    </row>
    <row r="905" spans="2:5" x14ac:dyDescent="0.3">
      <c r="B905" t="s">
        <v>443</v>
      </c>
      <c r="C905" t="s">
        <v>38</v>
      </c>
      <c r="E905">
        <f>LEN(Tabla1[[#This Row],[Categorías]])</f>
        <v>34</v>
      </c>
    </row>
    <row r="906" spans="2:5" x14ac:dyDescent="0.3">
      <c r="B906" t="s">
        <v>13</v>
      </c>
      <c r="C906" t="s">
        <v>35</v>
      </c>
      <c r="D906" s="16" t="s">
        <v>324</v>
      </c>
      <c r="E906">
        <f>LEN(Tabla1[[#This Row],[Categorías]])</f>
        <v>41</v>
      </c>
    </row>
    <row r="907" spans="2:5" x14ac:dyDescent="0.3">
      <c r="B907" t="s">
        <v>325</v>
      </c>
      <c r="C907" t="s">
        <v>35</v>
      </c>
      <c r="D907" s="16" t="s">
        <v>324</v>
      </c>
      <c r="E907">
        <f>LEN(Tabla1[[#This Row],[Categorías]])</f>
        <v>41</v>
      </c>
    </row>
    <row r="908" spans="2:5" x14ac:dyDescent="0.3">
      <c r="B908" t="s">
        <v>443</v>
      </c>
      <c r="C908" t="s">
        <v>35</v>
      </c>
      <c r="E908">
        <f>LEN(Tabla1[[#This Row],[Categorías]])</f>
        <v>41</v>
      </c>
    </row>
    <row r="909" spans="2:5" x14ac:dyDescent="0.3">
      <c r="B909" t="s">
        <v>13</v>
      </c>
      <c r="C909" t="s">
        <v>37</v>
      </c>
      <c r="D909" s="16" t="s">
        <v>324</v>
      </c>
      <c r="E909">
        <f>LEN(Tabla1[[#This Row],[Categorías]])</f>
        <v>28</v>
      </c>
    </row>
    <row r="910" spans="2:5" x14ac:dyDescent="0.3">
      <c r="B910" t="s">
        <v>325</v>
      </c>
      <c r="C910" t="s">
        <v>37</v>
      </c>
      <c r="D910" s="16" t="s">
        <v>324</v>
      </c>
      <c r="E910">
        <f>LEN(Tabla1[[#This Row],[Categorías]])</f>
        <v>28</v>
      </c>
    </row>
    <row r="911" spans="2:5" x14ac:dyDescent="0.3">
      <c r="B911" t="s">
        <v>443</v>
      </c>
      <c r="C911" t="s">
        <v>37</v>
      </c>
      <c r="E911">
        <f>LEN(Tabla1[[#This Row],[Categorías]])</f>
        <v>28</v>
      </c>
    </row>
    <row r="912" spans="2:5" x14ac:dyDescent="0.3">
      <c r="B912" t="s">
        <v>13</v>
      </c>
      <c r="C912" t="s">
        <v>34</v>
      </c>
      <c r="D912" s="16" t="s">
        <v>324</v>
      </c>
      <c r="E912">
        <f>LEN(Tabla1[[#This Row],[Categorías]])</f>
        <v>31</v>
      </c>
    </row>
    <row r="913" spans="2:5" x14ac:dyDescent="0.3">
      <c r="B913" t="s">
        <v>325</v>
      </c>
      <c r="C913" t="s">
        <v>34</v>
      </c>
      <c r="D913" s="16" t="s">
        <v>324</v>
      </c>
      <c r="E913">
        <f>LEN(Tabla1[[#This Row],[Categorías]])</f>
        <v>31</v>
      </c>
    </row>
    <row r="914" spans="2:5" x14ac:dyDescent="0.3">
      <c r="B914" t="s">
        <v>443</v>
      </c>
      <c r="C914" t="s">
        <v>34</v>
      </c>
      <c r="E914">
        <f>LEN(Tabla1[[#This Row],[Categorías]])</f>
        <v>31</v>
      </c>
    </row>
    <row r="915" spans="2:5" x14ac:dyDescent="0.3">
      <c r="B915" t="s">
        <v>13</v>
      </c>
      <c r="C915" t="s">
        <v>36</v>
      </c>
      <c r="D915" s="16" t="s">
        <v>324</v>
      </c>
      <c r="E915">
        <f>LEN(Tabla1[[#This Row],[Categorías]])</f>
        <v>38</v>
      </c>
    </row>
    <row r="916" spans="2:5" x14ac:dyDescent="0.3">
      <c r="B916" t="s">
        <v>325</v>
      </c>
      <c r="C916" t="s">
        <v>36</v>
      </c>
      <c r="D916" s="16" t="s">
        <v>324</v>
      </c>
      <c r="E916">
        <f>LEN(Tabla1[[#This Row],[Categorías]])</f>
        <v>38</v>
      </c>
    </row>
    <row r="917" spans="2:5" x14ac:dyDescent="0.3">
      <c r="B917" t="s">
        <v>443</v>
      </c>
      <c r="C917" t="s">
        <v>36</v>
      </c>
      <c r="E917">
        <f>LEN(Tabla1[[#This Row],[Categorías]])</f>
        <v>38</v>
      </c>
    </row>
    <row r="918" spans="2:5" x14ac:dyDescent="0.3">
      <c r="B918" t="s">
        <v>13</v>
      </c>
      <c r="C918" t="s">
        <v>300</v>
      </c>
      <c r="D918" s="16" t="s">
        <v>324</v>
      </c>
      <c r="E918">
        <f>LEN(Tabla1[[#This Row],[Categorías]])</f>
        <v>30</v>
      </c>
    </row>
    <row r="919" spans="2:5" x14ac:dyDescent="0.3">
      <c r="B919" t="s">
        <v>325</v>
      </c>
      <c r="C919" t="s">
        <v>300</v>
      </c>
      <c r="D919" s="16" t="s">
        <v>324</v>
      </c>
      <c r="E919">
        <f>LEN(Tabla1[[#This Row],[Categorías]])</f>
        <v>30</v>
      </c>
    </row>
    <row r="920" spans="2:5" x14ac:dyDescent="0.3">
      <c r="B920" t="s">
        <v>443</v>
      </c>
      <c r="C920" t="s">
        <v>300</v>
      </c>
      <c r="E920">
        <f>LEN(Tabla1[[#This Row],[Categorías]])</f>
        <v>30</v>
      </c>
    </row>
    <row r="921" spans="2:5" x14ac:dyDescent="0.3">
      <c r="B921" t="s">
        <v>13</v>
      </c>
      <c r="C921" t="s">
        <v>275</v>
      </c>
      <c r="D921" s="16" t="s">
        <v>324</v>
      </c>
      <c r="E921">
        <f>LEN(Tabla1[[#This Row],[Categorías]])</f>
        <v>29</v>
      </c>
    </row>
    <row r="922" spans="2:5" x14ac:dyDescent="0.3">
      <c r="B922" t="s">
        <v>325</v>
      </c>
      <c r="C922" t="s">
        <v>275</v>
      </c>
      <c r="D922" s="16" t="s">
        <v>324</v>
      </c>
      <c r="E922">
        <f>LEN(Tabla1[[#This Row],[Categorías]])</f>
        <v>29</v>
      </c>
    </row>
    <row r="923" spans="2:5" x14ac:dyDescent="0.3">
      <c r="B923" t="s">
        <v>443</v>
      </c>
      <c r="C923" t="s">
        <v>275</v>
      </c>
      <c r="E923">
        <f>LEN(Tabla1[[#This Row],[Categorías]])</f>
        <v>29</v>
      </c>
    </row>
    <row r="924" spans="2:5" x14ac:dyDescent="0.3">
      <c r="B924" t="s">
        <v>13</v>
      </c>
      <c r="C924" t="s">
        <v>198</v>
      </c>
      <c r="D924" s="16" t="s">
        <v>324</v>
      </c>
      <c r="E924">
        <f>LEN(Tabla1[[#This Row],[Categorías]])</f>
        <v>16</v>
      </c>
    </row>
    <row r="925" spans="2:5" x14ac:dyDescent="0.3">
      <c r="B925" t="s">
        <v>325</v>
      </c>
      <c r="C925" t="s">
        <v>198</v>
      </c>
      <c r="D925" s="16" t="s">
        <v>324</v>
      </c>
      <c r="E925">
        <f>LEN(Tabla1[[#This Row],[Categorías]])</f>
        <v>16</v>
      </c>
    </row>
    <row r="926" spans="2:5" x14ac:dyDescent="0.3">
      <c r="B926" t="s">
        <v>443</v>
      </c>
      <c r="C926" t="s">
        <v>198</v>
      </c>
      <c r="E926">
        <f>LEN(Tabla1[[#This Row],[Categorías]])</f>
        <v>16</v>
      </c>
    </row>
    <row r="927" spans="2:5" x14ac:dyDescent="0.3">
      <c r="B927" t="s">
        <v>13</v>
      </c>
      <c r="C927" t="s">
        <v>190</v>
      </c>
      <c r="D927" s="16" t="s">
        <v>324</v>
      </c>
      <c r="E927">
        <f>LEN(Tabla1[[#This Row],[Categorías]])</f>
        <v>17</v>
      </c>
    </row>
    <row r="928" spans="2:5" x14ac:dyDescent="0.3">
      <c r="B928" t="s">
        <v>325</v>
      </c>
      <c r="C928" t="s">
        <v>190</v>
      </c>
      <c r="D928" s="16" t="s">
        <v>324</v>
      </c>
      <c r="E928">
        <f>LEN(Tabla1[[#This Row],[Categorías]])</f>
        <v>17</v>
      </c>
    </row>
    <row r="929" spans="2:5" x14ac:dyDescent="0.3">
      <c r="B929" t="s">
        <v>13</v>
      </c>
      <c r="C929" t="s">
        <v>274</v>
      </c>
      <c r="D929" s="16" t="s">
        <v>324</v>
      </c>
      <c r="E929">
        <f>LEN(Tabla1[[#This Row],[Categorías]])</f>
        <v>19</v>
      </c>
    </row>
    <row r="930" spans="2:5" x14ac:dyDescent="0.3">
      <c r="B930" t="s">
        <v>325</v>
      </c>
      <c r="C930" t="s">
        <v>274</v>
      </c>
      <c r="D930" s="16" t="s">
        <v>324</v>
      </c>
      <c r="E930">
        <f>LEN(Tabla1[[#This Row],[Categorías]])</f>
        <v>19</v>
      </c>
    </row>
    <row r="931" spans="2:5" x14ac:dyDescent="0.3">
      <c r="B931" t="s">
        <v>443</v>
      </c>
      <c r="C931" t="s">
        <v>274</v>
      </c>
      <c r="E931">
        <f>LEN(Tabla1[[#This Row],[Categorías]])</f>
        <v>19</v>
      </c>
    </row>
    <row r="932" spans="2:5" x14ac:dyDescent="0.3">
      <c r="B932" t="s">
        <v>13</v>
      </c>
      <c r="C932" t="s">
        <v>276</v>
      </c>
      <c r="D932" s="16" t="s">
        <v>324</v>
      </c>
      <c r="E932">
        <f>LEN(Tabla1[[#This Row],[Categorías]])</f>
        <v>26</v>
      </c>
    </row>
    <row r="933" spans="2:5" x14ac:dyDescent="0.3">
      <c r="B933" t="s">
        <v>325</v>
      </c>
      <c r="C933" t="s">
        <v>276</v>
      </c>
      <c r="D933" s="16" t="s">
        <v>324</v>
      </c>
      <c r="E933">
        <f>LEN(Tabla1[[#This Row],[Categorías]])</f>
        <v>26</v>
      </c>
    </row>
    <row r="934" spans="2:5" x14ac:dyDescent="0.3">
      <c r="B934" t="s">
        <v>443</v>
      </c>
      <c r="C934" t="s">
        <v>276</v>
      </c>
      <c r="E934">
        <f>LEN(Tabla1[[#This Row],[Categorías]])</f>
        <v>26</v>
      </c>
    </row>
    <row r="935" spans="2:5" x14ac:dyDescent="0.3">
      <c r="B935" t="s">
        <v>13</v>
      </c>
      <c r="C935" t="s">
        <v>301</v>
      </c>
      <c r="D935" s="16" t="s">
        <v>324</v>
      </c>
      <c r="E935">
        <f>LEN(Tabla1[[#This Row],[Categorías]])</f>
        <v>27</v>
      </c>
    </row>
    <row r="936" spans="2:5" x14ac:dyDescent="0.3">
      <c r="B936" t="s">
        <v>325</v>
      </c>
      <c r="C936" t="s">
        <v>301</v>
      </c>
      <c r="D936" s="16" t="s">
        <v>324</v>
      </c>
      <c r="E936">
        <f>LEN(Tabla1[[#This Row],[Categorías]])</f>
        <v>27</v>
      </c>
    </row>
    <row r="937" spans="2:5" x14ac:dyDescent="0.3">
      <c r="B937" t="s">
        <v>443</v>
      </c>
      <c r="C937" t="s">
        <v>301</v>
      </c>
      <c r="E937">
        <f>LEN(Tabla1[[#This Row],[Categorías]])</f>
        <v>27</v>
      </c>
    </row>
    <row r="938" spans="2:5" x14ac:dyDescent="0.3">
      <c r="B938" t="s">
        <v>485</v>
      </c>
      <c r="C938" t="s">
        <v>488</v>
      </c>
      <c r="E938">
        <f>LEN(Tabla1[[#This Row],[Categorías]])</f>
        <v>10</v>
      </c>
    </row>
    <row r="939" spans="2:5" x14ac:dyDescent="0.3">
      <c r="B939" t="s">
        <v>13</v>
      </c>
      <c r="C939" t="s">
        <v>305</v>
      </c>
      <c r="D939" s="16" t="s">
        <v>324</v>
      </c>
      <c r="E939">
        <f>LEN(Tabla1[[#This Row],[Categorías]])</f>
        <v>24</v>
      </c>
    </row>
    <row r="940" spans="2:5" x14ac:dyDescent="0.3">
      <c r="B940" t="s">
        <v>325</v>
      </c>
      <c r="C940" t="s">
        <v>370</v>
      </c>
      <c r="D940" s="16" t="s">
        <v>324</v>
      </c>
      <c r="E940">
        <f>LEN(Tabla1[[#This Row],[Categorías]])</f>
        <v>24</v>
      </c>
    </row>
    <row r="941" spans="2:5" x14ac:dyDescent="0.3">
      <c r="B941" t="s">
        <v>443</v>
      </c>
      <c r="C941" t="s">
        <v>305</v>
      </c>
      <c r="E941">
        <f>LEN(Tabla1[[#This Row],[Categorías]])</f>
        <v>24</v>
      </c>
    </row>
    <row r="942" spans="2:5" x14ac:dyDescent="0.3">
      <c r="B942" t="s">
        <v>325</v>
      </c>
      <c r="C942" t="s">
        <v>380</v>
      </c>
      <c r="D942" s="16" t="s">
        <v>324</v>
      </c>
      <c r="E942">
        <f>LEN(Tabla1[[#This Row],[Categorías]])</f>
        <v>26</v>
      </c>
    </row>
    <row r="943" spans="2:5" x14ac:dyDescent="0.3">
      <c r="B943" t="s">
        <v>13</v>
      </c>
      <c r="C943" t="s">
        <v>160</v>
      </c>
      <c r="D943" s="16" t="s">
        <v>324</v>
      </c>
      <c r="E943">
        <f>LEN(Tabla1[[#This Row],[Categorías]])</f>
        <v>38</v>
      </c>
    </row>
    <row r="944" spans="2:5" x14ac:dyDescent="0.3">
      <c r="B944" t="s">
        <v>325</v>
      </c>
      <c r="C944" t="s">
        <v>160</v>
      </c>
      <c r="D944" s="16" t="s">
        <v>324</v>
      </c>
      <c r="E944">
        <f>LEN(Tabla1[[#This Row],[Categorías]])</f>
        <v>38</v>
      </c>
    </row>
    <row r="945" spans="2:5" x14ac:dyDescent="0.3">
      <c r="B945" t="s">
        <v>443</v>
      </c>
      <c r="C945" t="s">
        <v>160</v>
      </c>
      <c r="E945">
        <f>LEN(Tabla1[[#This Row],[Categorías]])</f>
        <v>38</v>
      </c>
    </row>
    <row r="946" spans="2:5" x14ac:dyDescent="0.3">
      <c r="B946" t="s">
        <v>325</v>
      </c>
      <c r="C946" t="s">
        <v>381</v>
      </c>
      <c r="D946" s="16" t="s">
        <v>324</v>
      </c>
      <c r="E946">
        <f>LEN(Tabla1[[#This Row],[Categorías]])</f>
        <v>28</v>
      </c>
    </row>
    <row r="947" spans="2:5" x14ac:dyDescent="0.3">
      <c r="B947" t="s">
        <v>13</v>
      </c>
      <c r="C947" t="s">
        <v>232</v>
      </c>
      <c r="D947" s="16" t="s">
        <v>324</v>
      </c>
      <c r="E947">
        <f>LEN(Tabla1[[#This Row],[Categorías]])</f>
        <v>44</v>
      </c>
    </row>
    <row r="948" spans="2:5" x14ac:dyDescent="0.3">
      <c r="B948" t="s">
        <v>325</v>
      </c>
      <c r="C948" t="s">
        <v>232</v>
      </c>
      <c r="D948" s="16" t="s">
        <v>324</v>
      </c>
      <c r="E948">
        <f>LEN(Tabla1[[#This Row],[Categorías]])</f>
        <v>44</v>
      </c>
    </row>
    <row r="949" spans="2:5" x14ac:dyDescent="0.3">
      <c r="B949" t="s">
        <v>443</v>
      </c>
      <c r="C949" t="s">
        <v>232</v>
      </c>
      <c r="E949">
        <f>LEN(Tabla1[[#This Row],[Categorías]])</f>
        <v>44</v>
      </c>
    </row>
    <row r="950" spans="2:5" x14ac:dyDescent="0.3">
      <c r="B950" t="s">
        <v>13</v>
      </c>
      <c r="C950" t="s">
        <v>123</v>
      </c>
      <c r="D950" s="16" t="s">
        <v>324</v>
      </c>
      <c r="E950">
        <f>LEN(Tabla1[[#This Row],[Categorías]])</f>
        <v>10</v>
      </c>
    </row>
    <row r="951" spans="2:5" x14ac:dyDescent="0.3">
      <c r="B951" t="s">
        <v>325</v>
      </c>
      <c r="C951" t="s">
        <v>123</v>
      </c>
      <c r="D951" s="16" t="s">
        <v>324</v>
      </c>
      <c r="E951">
        <f>LEN(Tabla1[[#This Row],[Categorías]])</f>
        <v>10</v>
      </c>
    </row>
    <row r="952" spans="2:5" x14ac:dyDescent="0.3">
      <c r="B952" t="s">
        <v>443</v>
      </c>
      <c r="C952" t="s">
        <v>123</v>
      </c>
      <c r="E952">
        <f>LEN(Tabla1[[#This Row],[Categorías]])</f>
        <v>10</v>
      </c>
    </row>
    <row r="953" spans="2:5" x14ac:dyDescent="0.3">
      <c r="B953" t="s">
        <v>13</v>
      </c>
      <c r="C953" t="s">
        <v>159</v>
      </c>
      <c r="D953" s="16" t="s">
        <v>324</v>
      </c>
      <c r="E953">
        <f>LEN(Tabla1[[#This Row],[Categorías]])</f>
        <v>7</v>
      </c>
    </row>
    <row r="954" spans="2:5" x14ac:dyDescent="0.3">
      <c r="B954" t="s">
        <v>325</v>
      </c>
      <c r="C954" t="s">
        <v>159</v>
      </c>
      <c r="D954" s="16" t="s">
        <v>324</v>
      </c>
      <c r="E954">
        <f>LEN(Tabla1[[#This Row],[Categorías]])</f>
        <v>7</v>
      </c>
    </row>
    <row r="955" spans="2:5" x14ac:dyDescent="0.3">
      <c r="B955" t="s">
        <v>443</v>
      </c>
      <c r="C955" t="s">
        <v>159</v>
      </c>
      <c r="E955">
        <f>LEN(Tabla1[[#This Row],[Categorías]])</f>
        <v>7</v>
      </c>
    </row>
    <row r="956" spans="2:5" x14ac:dyDescent="0.3">
      <c r="B956" t="s">
        <v>13</v>
      </c>
      <c r="C956" t="s">
        <v>310</v>
      </c>
      <c r="D956" s="16" t="s">
        <v>324</v>
      </c>
      <c r="E956">
        <f>LEN(Tabla1[[#This Row],[Categorías]])</f>
        <v>8</v>
      </c>
    </row>
    <row r="957" spans="2:5" x14ac:dyDescent="0.3">
      <c r="B957" t="s">
        <v>325</v>
      </c>
      <c r="C957" t="s">
        <v>310</v>
      </c>
      <c r="D957" s="16" t="s">
        <v>324</v>
      </c>
      <c r="E957">
        <f>LEN(Tabla1[[#This Row],[Categorías]])</f>
        <v>8</v>
      </c>
    </row>
    <row r="958" spans="2:5" x14ac:dyDescent="0.3">
      <c r="B958" t="s">
        <v>443</v>
      </c>
      <c r="C958" t="s">
        <v>310</v>
      </c>
      <c r="E958">
        <f>LEN(Tabla1[[#This Row],[Categorías]])</f>
        <v>8</v>
      </c>
    </row>
    <row r="959" spans="2:5" x14ac:dyDescent="0.3">
      <c r="B959" t="s">
        <v>325</v>
      </c>
      <c r="C959" t="s">
        <v>382</v>
      </c>
      <c r="D959" s="16" t="s">
        <v>324</v>
      </c>
      <c r="E959">
        <f>LEN(Tabla1[[#This Row],[Categorías]])</f>
        <v>62</v>
      </c>
    </row>
    <row r="960" spans="2:5" x14ac:dyDescent="0.3">
      <c r="B960" t="s">
        <v>325</v>
      </c>
      <c r="C960" t="s">
        <v>24</v>
      </c>
      <c r="D960" s="16" t="s">
        <v>324</v>
      </c>
      <c r="E960">
        <f>LEN(Tabla1[[#This Row],[Categorías]])</f>
        <v>5</v>
      </c>
    </row>
    <row r="961" spans="2:5" x14ac:dyDescent="0.3">
      <c r="B961" t="s">
        <v>462</v>
      </c>
      <c r="C961" t="s">
        <v>24</v>
      </c>
      <c r="E961">
        <f>LEN(Tabla1[[#This Row],[Categorías]])</f>
        <v>5</v>
      </c>
    </row>
    <row r="962" spans="2:5" x14ac:dyDescent="0.3">
      <c r="B962" t="s">
        <v>485</v>
      </c>
      <c r="C962" t="s">
        <v>24</v>
      </c>
      <c r="E962">
        <f>LEN(Tabla1[[#This Row],[Categorías]])</f>
        <v>5</v>
      </c>
    </row>
    <row r="963" spans="2:5" x14ac:dyDescent="0.3">
      <c r="B963" t="s">
        <v>13</v>
      </c>
      <c r="C963" t="s">
        <v>263</v>
      </c>
      <c r="D963" s="16" t="s">
        <v>324</v>
      </c>
      <c r="E963">
        <f>LEN(Tabla1[[#This Row],[Categorías]])</f>
        <v>94</v>
      </c>
    </row>
    <row r="964" spans="2:5" x14ac:dyDescent="0.3">
      <c r="B964" t="s">
        <v>325</v>
      </c>
      <c r="C964" t="s">
        <v>263</v>
      </c>
      <c r="D964" s="16" t="s">
        <v>324</v>
      </c>
      <c r="E964">
        <f>LEN(Tabla1[[#This Row],[Categorías]])</f>
        <v>94</v>
      </c>
    </row>
    <row r="965" spans="2:5" x14ac:dyDescent="0.3">
      <c r="B965" t="s">
        <v>13</v>
      </c>
      <c r="C965" t="s">
        <v>269</v>
      </c>
      <c r="D965" s="16" t="s">
        <v>324</v>
      </c>
      <c r="E965">
        <f>LEN(Tabla1[[#This Row],[Categorías]])</f>
        <v>25</v>
      </c>
    </row>
    <row r="966" spans="2:5" x14ac:dyDescent="0.3">
      <c r="B966" t="s">
        <v>325</v>
      </c>
      <c r="C966" t="s">
        <v>269</v>
      </c>
      <c r="D966" s="16" t="s">
        <v>324</v>
      </c>
      <c r="E966">
        <f>LEN(Tabla1[[#This Row],[Categorías]])</f>
        <v>25</v>
      </c>
    </row>
    <row r="967" spans="2:5" x14ac:dyDescent="0.3">
      <c r="B967" t="s">
        <v>443</v>
      </c>
      <c r="C967" t="s">
        <v>269</v>
      </c>
      <c r="E967">
        <f>LEN(Tabla1[[#This Row],[Categorías]])</f>
        <v>25</v>
      </c>
    </row>
    <row r="968" spans="2:5" x14ac:dyDescent="0.3">
      <c r="B968" t="s">
        <v>325</v>
      </c>
      <c r="C968" t="s">
        <v>384</v>
      </c>
      <c r="D968" s="16" t="s">
        <v>324</v>
      </c>
      <c r="E968">
        <f>LEN(Tabla1[[#This Row],[Categorías]])</f>
        <v>21</v>
      </c>
    </row>
    <row r="969" spans="2:5" x14ac:dyDescent="0.3">
      <c r="B969" t="s">
        <v>13</v>
      </c>
      <c r="C969" t="s">
        <v>259</v>
      </c>
      <c r="D969" s="16" t="s">
        <v>324</v>
      </c>
      <c r="E969">
        <f>LEN(Tabla1[[#This Row],[Categorías]])</f>
        <v>22</v>
      </c>
    </row>
    <row r="970" spans="2:5" x14ac:dyDescent="0.3">
      <c r="B970" t="s">
        <v>325</v>
      </c>
      <c r="C970" t="s">
        <v>259</v>
      </c>
      <c r="D970" s="16" t="s">
        <v>324</v>
      </c>
      <c r="E970">
        <f>LEN(Tabla1[[#This Row],[Categorías]])</f>
        <v>22</v>
      </c>
    </row>
    <row r="971" spans="2:5" x14ac:dyDescent="0.3">
      <c r="B971" t="s">
        <v>13</v>
      </c>
      <c r="C971" t="s">
        <v>288</v>
      </c>
      <c r="D971" s="16" t="s">
        <v>324</v>
      </c>
      <c r="E971">
        <f>LEN(Tabla1[[#This Row],[Categorías]])</f>
        <v>18</v>
      </c>
    </row>
    <row r="972" spans="2:5" x14ac:dyDescent="0.3">
      <c r="B972" t="s">
        <v>325</v>
      </c>
      <c r="C972" t="s">
        <v>288</v>
      </c>
      <c r="D972" s="16" t="s">
        <v>324</v>
      </c>
      <c r="E972">
        <f>LEN(Tabla1[[#This Row],[Categorías]])</f>
        <v>18</v>
      </c>
    </row>
    <row r="973" spans="2:5" x14ac:dyDescent="0.3">
      <c r="B973" t="s">
        <v>13</v>
      </c>
      <c r="C973" t="s">
        <v>30</v>
      </c>
      <c r="D973" s="16" t="s">
        <v>324</v>
      </c>
      <c r="E973">
        <f>LEN(Tabla1[[#This Row],[Categorías]])</f>
        <v>18</v>
      </c>
    </row>
    <row r="974" spans="2:5" x14ac:dyDescent="0.3">
      <c r="B974" t="s">
        <v>325</v>
      </c>
      <c r="C974" t="s">
        <v>30</v>
      </c>
      <c r="D974" s="16" t="s">
        <v>324</v>
      </c>
      <c r="E974">
        <f>LEN(Tabla1[[#This Row],[Categorías]])</f>
        <v>18</v>
      </c>
    </row>
    <row r="975" spans="2:5" x14ac:dyDescent="0.3">
      <c r="B975" t="s">
        <v>443</v>
      </c>
      <c r="C975" t="s">
        <v>30</v>
      </c>
      <c r="E975">
        <f>LEN(Tabla1[[#This Row],[Categorías]])</f>
        <v>18</v>
      </c>
    </row>
    <row r="976" spans="2:5" x14ac:dyDescent="0.3">
      <c r="B976" t="s">
        <v>325</v>
      </c>
      <c r="C976" t="s">
        <v>373</v>
      </c>
      <c r="D976" s="16" t="s">
        <v>324</v>
      </c>
      <c r="E976">
        <f>LEN(Tabla1[[#This Row],[Categorías]])</f>
        <v>21</v>
      </c>
    </row>
    <row r="977" spans="2:5" x14ac:dyDescent="0.3">
      <c r="B977" t="s">
        <v>13</v>
      </c>
      <c r="C977" t="s">
        <v>252</v>
      </c>
      <c r="D977" s="16" t="s">
        <v>324</v>
      </c>
      <c r="E977">
        <f>LEN(Tabla1[[#This Row],[Categorías]])</f>
        <v>68</v>
      </c>
    </row>
    <row r="978" spans="2:5" x14ac:dyDescent="0.3">
      <c r="B978" t="s">
        <v>325</v>
      </c>
      <c r="C978" t="s">
        <v>252</v>
      </c>
      <c r="D978" s="16" t="s">
        <v>324</v>
      </c>
      <c r="E978">
        <f>LEN(Tabla1[[#This Row],[Categorías]])</f>
        <v>68</v>
      </c>
    </row>
    <row r="979" spans="2:5" x14ac:dyDescent="0.3">
      <c r="B979" t="s">
        <v>13</v>
      </c>
      <c r="C979" t="s">
        <v>297</v>
      </c>
      <c r="D979" s="16" t="s">
        <v>324</v>
      </c>
      <c r="E979">
        <f>LEN(Tabla1[[#This Row],[Categorías]])</f>
        <v>24</v>
      </c>
    </row>
    <row r="980" spans="2:5" x14ac:dyDescent="0.3">
      <c r="B980" t="s">
        <v>325</v>
      </c>
      <c r="C980" t="s">
        <v>371</v>
      </c>
      <c r="D980" s="16" t="s">
        <v>324</v>
      </c>
      <c r="E980">
        <f>LEN(Tabla1[[#This Row],[Categorías]])</f>
        <v>24</v>
      </c>
    </row>
    <row r="981" spans="2:5" x14ac:dyDescent="0.3">
      <c r="B981" t="s">
        <v>13</v>
      </c>
      <c r="C981" t="s">
        <v>266</v>
      </c>
      <c r="D981" s="16" t="s">
        <v>324</v>
      </c>
      <c r="E981">
        <f>LEN(Tabla1[[#This Row],[Categorías]])</f>
        <v>42</v>
      </c>
    </row>
    <row r="982" spans="2:5" x14ac:dyDescent="0.3">
      <c r="B982" t="s">
        <v>325</v>
      </c>
      <c r="C982" t="s">
        <v>266</v>
      </c>
      <c r="D982" s="16" t="s">
        <v>324</v>
      </c>
      <c r="E982">
        <f>LEN(Tabla1[[#This Row],[Categorías]])</f>
        <v>42</v>
      </c>
    </row>
    <row r="983" spans="2:5" x14ac:dyDescent="0.3">
      <c r="B983" t="s">
        <v>443</v>
      </c>
      <c r="C983" t="s">
        <v>266</v>
      </c>
      <c r="E983">
        <f>LEN(Tabla1[[#This Row],[Categorías]])</f>
        <v>42</v>
      </c>
    </row>
    <row r="984" spans="2:5" x14ac:dyDescent="0.3">
      <c r="B984" t="s">
        <v>13</v>
      </c>
      <c r="C984" t="s">
        <v>191</v>
      </c>
      <c r="D984" s="16" t="s">
        <v>324</v>
      </c>
      <c r="E984">
        <f>LEN(Tabla1[[#This Row],[Categorías]])</f>
        <v>17</v>
      </c>
    </row>
    <row r="985" spans="2:5" x14ac:dyDescent="0.3">
      <c r="B985" t="s">
        <v>325</v>
      </c>
      <c r="C985" t="s">
        <v>191</v>
      </c>
      <c r="D985" s="16" t="s">
        <v>324</v>
      </c>
      <c r="E985">
        <f>LEN(Tabla1[[#This Row],[Categorías]])</f>
        <v>17</v>
      </c>
    </row>
    <row r="986" spans="2:5" x14ac:dyDescent="0.3">
      <c r="B986" t="s">
        <v>443</v>
      </c>
      <c r="C986" t="s">
        <v>191</v>
      </c>
      <c r="E986">
        <f>LEN(Tabla1[[#This Row],[Categorías]])</f>
        <v>17</v>
      </c>
    </row>
    <row r="987" spans="2:5" x14ac:dyDescent="0.3">
      <c r="B987" t="s">
        <v>13</v>
      </c>
      <c r="C987" t="s">
        <v>207</v>
      </c>
      <c r="D987" s="16" t="s">
        <v>324</v>
      </c>
      <c r="E987">
        <f>LEN(Tabla1[[#This Row],[Categorías]])</f>
        <v>35</v>
      </c>
    </row>
    <row r="988" spans="2:5" x14ac:dyDescent="0.3">
      <c r="B988" t="s">
        <v>325</v>
      </c>
      <c r="C988" t="s">
        <v>207</v>
      </c>
      <c r="D988" s="16" t="s">
        <v>324</v>
      </c>
      <c r="E988">
        <f>LEN(Tabla1[[#This Row],[Categorías]])</f>
        <v>35</v>
      </c>
    </row>
    <row r="989" spans="2:5" x14ac:dyDescent="0.3">
      <c r="B989" t="s">
        <v>443</v>
      </c>
      <c r="C989" t="s">
        <v>207</v>
      </c>
      <c r="E989">
        <f>LEN(Tabla1[[#This Row],[Categorías]])</f>
        <v>35</v>
      </c>
    </row>
    <row r="990" spans="2:5" x14ac:dyDescent="0.3">
      <c r="B990" t="s">
        <v>13</v>
      </c>
      <c r="C990" t="s">
        <v>94</v>
      </c>
      <c r="D990" s="16" t="s">
        <v>324</v>
      </c>
      <c r="E990">
        <f>LEN(Tabla1[[#This Row],[Categorías]])</f>
        <v>35</v>
      </c>
    </row>
    <row r="991" spans="2:5" x14ac:dyDescent="0.3">
      <c r="B991" t="s">
        <v>325</v>
      </c>
      <c r="C991" t="s">
        <v>94</v>
      </c>
      <c r="D991" s="16" t="s">
        <v>324</v>
      </c>
      <c r="E991">
        <f>LEN(Tabla1[[#This Row],[Categorías]])</f>
        <v>35</v>
      </c>
    </row>
    <row r="992" spans="2:5" x14ac:dyDescent="0.3">
      <c r="B992" t="s">
        <v>443</v>
      </c>
      <c r="C992" t="s">
        <v>94</v>
      </c>
      <c r="E992">
        <f>LEN(Tabla1[[#This Row],[Categorías]])</f>
        <v>35</v>
      </c>
    </row>
    <row r="993" spans="2:5" x14ac:dyDescent="0.3">
      <c r="B993" t="s">
        <v>13</v>
      </c>
      <c r="C993" t="s">
        <v>90</v>
      </c>
      <c r="D993" s="16" t="s">
        <v>324</v>
      </c>
      <c r="E993">
        <f>LEN(Tabla1[[#This Row],[Categorías]])</f>
        <v>69</v>
      </c>
    </row>
    <row r="994" spans="2:5" x14ac:dyDescent="0.3">
      <c r="B994" t="s">
        <v>325</v>
      </c>
      <c r="C994" t="s">
        <v>90</v>
      </c>
      <c r="D994" s="16" t="s">
        <v>324</v>
      </c>
      <c r="E994">
        <f>LEN(Tabla1[[#This Row],[Categorías]])</f>
        <v>69</v>
      </c>
    </row>
    <row r="995" spans="2:5" x14ac:dyDescent="0.3">
      <c r="B995" t="s">
        <v>443</v>
      </c>
      <c r="C995" t="s">
        <v>90</v>
      </c>
      <c r="E995">
        <f>LEN(Tabla1[[#This Row],[Categorías]])</f>
        <v>69</v>
      </c>
    </row>
    <row r="996" spans="2:5" x14ac:dyDescent="0.3">
      <c r="B996" t="s">
        <v>13</v>
      </c>
      <c r="C996" t="s">
        <v>91</v>
      </c>
      <c r="D996" s="16" t="s">
        <v>324</v>
      </c>
      <c r="E996">
        <f>LEN(Tabla1[[#This Row],[Categorías]])</f>
        <v>79</v>
      </c>
    </row>
    <row r="997" spans="2:5" x14ac:dyDescent="0.3">
      <c r="B997" t="s">
        <v>325</v>
      </c>
      <c r="C997" t="s">
        <v>91</v>
      </c>
      <c r="D997" s="16" t="s">
        <v>324</v>
      </c>
      <c r="E997">
        <f>LEN(Tabla1[[#This Row],[Categorías]])</f>
        <v>79</v>
      </c>
    </row>
    <row r="998" spans="2:5" x14ac:dyDescent="0.3">
      <c r="B998" t="s">
        <v>443</v>
      </c>
      <c r="C998" t="s">
        <v>91</v>
      </c>
      <c r="E998">
        <f>LEN(Tabla1[[#This Row],[Categorías]])</f>
        <v>79</v>
      </c>
    </row>
    <row r="999" spans="2:5" x14ac:dyDescent="0.3">
      <c r="B999" t="s">
        <v>13</v>
      </c>
      <c r="C999" t="s">
        <v>92</v>
      </c>
      <c r="D999" s="16" t="s">
        <v>324</v>
      </c>
      <c r="E999">
        <f>LEN(Tabla1[[#This Row],[Categorías]])</f>
        <v>69</v>
      </c>
    </row>
    <row r="1000" spans="2:5" x14ac:dyDescent="0.3">
      <c r="B1000" t="s">
        <v>325</v>
      </c>
      <c r="C1000" t="s">
        <v>92</v>
      </c>
      <c r="D1000" s="16" t="s">
        <v>324</v>
      </c>
      <c r="E1000">
        <f>LEN(Tabla1[[#This Row],[Categorías]])</f>
        <v>69</v>
      </c>
    </row>
    <row r="1001" spans="2:5" x14ac:dyDescent="0.3">
      <c r="B1001" t="s">
        <v>443</v>
      </c>
      <c r="C1001" t="s">
        <v>92</v>
      </c>
      <c r="E1001">
        <f>LEN(Tabla1[[#This Row],[Categorías]])</f>
        <v>69</v>
      </c>
    </row>
    <row r="1002" spans="2:5" x14ac:dyDescent="0.3">
      <c r="B1002" t="s">
        <v>13</v>
      </c>
      <c r="C1002" t="s">
        <v>93</v>
      </c>
      <c r="D1002" s="16" t="s">
        <v>324</v>
      </c>
      <c r="E1002">
        <f>LEN(Tabla1[[#This Row],[Categorías]])</f>
        <v>53</v>
      </c>
    </row>
    <row r="1003" spans="2:5" x14ac:dyDescent="0.3">
      <c r="B1003" t="s">
        <v>325</v>
      </c>
      <c r="C1003" t="s">
        <v>93</v>
      </c>
      <c r="D1003" s="16" t="s">
        <v>324</v>
      </c>
      <c r="E1003">
        <f>LEN(Tabla1[[#This Row],[Categorías]])</f>
        <v>53</v>
      </c>
    </row>
    <row r="1004" spans="2:5" x14ac:dyDescent="0.3">
      <c r="B1004" t="s">
        <v>443</v>
      </c>
      <c r="C1004" t="s">
        <v>93</v>
      </c>
      <c r="E1004">
        <f>LEN(Tabla1[[#This Row],[Categorías]])</f>
        <v>53</v>
      </c>
    </row>
    <row r="1005" spans="2:5" x14ac:dyDescent="0.3">
      <c r="B1005" t="s">
        <v>325</v>
      </c>
      <c r="C1005" t="s">
        <v>383</v>
      </c>
      <c r="D1005" s="16" t="s">
        <v>324</v>
      </c>
      <c r="E1005">
        <f>LEN(Tabla1[[#This Row],[Categorías]])</f>
        <v>60</v>
      </c>
    </row>
    <row r="1006" spans="2:5" x14ac:dyDescent="0.3">
      <c r="B1006" t="s">
        <v>13</v>
      </c>
      <c r="C1006" t="s">
        <v>243</v>
      </c>
      <c r="D1006" s="16" t="s">
        <v>324</v>
      </c>
      <c r="E1006">
        <f>LEN(Tabla1[[#This Row],[Categorías]])</f>
        <v>49</v>
      </c>
    </row>
    <row r="1007" spans="2:5" x14ac:dyDescent="0.3">
      <c r="B1007" t="s">
        <v>325</v>
      </c>
      <c r="C1007" t="s">
        <v>243</v>
      </c>
      <c r="D1007" s="16" t="s">
        <v>324</v>
      </c>
      <c r="E1007">
        <f>LEN(Tabla1[[#This Row],[Categorías]])</f>
        <v>49</v>
      </c>
    </row>
    <row r="1008" spans="2:5" x14ac:dyDescent="0.3">
      <c r="B1008" t="s">
        <v>443</v>
      </c>
      <c r="C1008" t="s">
        <v>243</v>
      </c>
      <c r="E1008">
        <f>LEN(Tabla1[[#This Row],[Categorías]])</f>
        <v>49</v>
      </c>
    </row>
    <row r="1009" spans="2:5" x14ac:dyDescent="0.3">
      <c r="B1009" t="s">
        <v>13</v>
      </c>
      <c r="C1009" t="s">
        <v>244</v>
      </c>
      <c r="D1009" s="16" t="s">
        <v>324</v>
      </c>
      <c r="E1009">
        <f>LEN(Tabla1[[#This Row],[Categorías]])</f>
        <v>59</v>
      </c>
    </row>
    <row r="1010" spans="2:5" x14ac:dyDescent="0.3">
      <c r="B1010" t="s">
        <v>325</v>
      </c>
      <c r="C1010" t="s">
        <v>244</v>
      </c>
      <c r="D1010" s="16" t="s">
        <v>324</v>
      </c>
      <c r="E1010">
        <f>LEN(Tabla1[[#This Row],[Categorías]])</f>
        <v>59</v>
      </c>
    </row>
    <row r="1011" spans="2:5" x14ac:dyDescent="0.3">
      <c r="B1011" t="s">
        <v>13</v>
      </c>
      <c r="C1011" t="s">
        <v>245</v>
      </c>
      <c r="D1011" s="16" t="s">
        <v>324</v>
      </c>
      <c r="E1011">
        <f>LEN(Tabla1[[#This Row],[Categorías]])</f>
        <v>49</v>
      </c>
    </row>
    <row r="1012" spans="2:5" x14ac:dyDescent="0.3">
      <c r="B1012" t="s">
        <v>13</v>
      </c>
      <c r="C1012" t="s">
        <v>246</v>
      </c>
      <c r="D1012" s="16" t="s">
        <v>324</v>
      </c>
      <c r="E1012">
        <f>LEN(Tabla1[[#This Row],[Categorías]])</f>
        <v>33</v>
      </c>
    </row>
    <row r="1013" spans="2:5" x14ac:dyDescent="0.3">
      <c r="B1013" t="s">
        <v>325</v>
      </c>
      <c r="C1013" t="s">
        <v>246</v>
      </c>
      <c r="D1013" s="16" t="s">
        <v>324</v>
      </c>
      <c r="E1013">
        <f>LEN(Tabla1[[#This Row],[Categorías]])</f>
        <v>33</v>
      </c>
    </row>
    <row r="1014" spans="2:5" x14ac:dyDescent="0.3">
      <c r="B1014" t="s">
        <v>443</v>
      </c>
      <c r="C1014" t="s">
        <v>246</v>
      </c>
      <c r="E1014">
        <f>LEN(Tabla1[[#This Row],[Categorías]])</f>
        <v>33</v>
      </c>
    </row>
    <row r="1015" spans="2:5" x14ac:dyDescent="0.3">
      <c r="B1015" t="s">
        <v>325</v>
      </c>
      <c r="C1015" t="s">
        <v>372</v>
      </c>
      <c r="D1015" s="16" t="s">
        <v>324</v>
      </c>
      <c r="E1015">
        <f>LEN(Tabla1[[#This Row],[Categorías]])</f>
        <v>48</v>
      </c>
    </row>
    <row r="1016" spans="2:5" x14ac:dyDescent="0.3">
      <c r="B1016" t="s">
        <v>443</v>
      </c>
      <c r="C1016" t="s">
        <v>372</v>
      </c>
      <c r="E1016">
        <f>LEN(Tabla1[[#This Row],[Categorías]])</f>
        <v>48</v>
      </c>
    </row>
    <row r="1017" spans="2:5" x14ac:dyDescent="0.3">
      <c r="B1017" t="s">
        <v>13</v>
      </c>
      <c r="C1017" t="s">
        <v>166</v>
      </c>
      <c r="D1017" s="16" t="s">
        <v>324</v>
      </c>
      <c r="E1017">
        <f>LEN(Tabla1[[#This Row],[Categorías]])</f>
        <v>47</v>
      </c>
    </row>
    <row r="1018" spans="2:5" x14ac:dyDescent="0.3">
      <c r="B1018" t="s">
        <v>325</v>
      </c>
      <c r="C1018" t="s">
        <v>166</v>
      </c>
      <c r="D1018" s="16" t="s">
        <v>324</v>
      </c>
      <c r="E1018">
        <f>LEN(Tabla1[[#This Row],[Categorías]])</f>
        <v>47</v>
      </c>
    </row>
    <row r="1019" spans="2:5" x14ac:dyDescent="0.3">
      <c r="B1019" t="s">
        <v>443</v>
      </c>
      <c r="C1019" t="s">
        <v>166</v>
      </c>
      <c r="E1019">
        <f>LEN(Tabla1[[#This Row],[Categorías]])</f>
        <v>47</v>
      </c>
    </row>
    <row r="1020" spans="2:5" x14ac:dyDescent="0.3">
      <c r="B1020" t="s">
        <v>13</v>
      </c>
      <c r="C1020" t="s">
        <v>240</v>
      </c>
      <c r="D1020" s="16" t="s">
        <v>324</v>
      </c>
      <c r="E1020">
        <f>LEN(Tabla1[[#This Row],[Categorías]])</f>
        <v>14</v>
      </c>
    </row>
    <row r="1021" spans="2:5" x14ac:dyDescent="0.3">
      <c r="B1021" t="s">
        <v>325</v>
      </c>
      <c r="C1021" t="s">
        <v>240</v>
      </c>
      <c r="D1021" s="16" t="s">
        <v>324</v>
      </c>
      <c r="E1021">
        <f>LEN(Tabla1[[#This Row],[Categorías]])</f>
        <v>14</v>
      </c>
    </row>
    <row r="1022" spans="2:5" x14ac:dyDescent="0.3">
      <c r="B1022" t="s">
        <v>443</v>
      </c>
      <c r="C1022" t="s">
        <v>240</v>
      </c>
      <c r="E1022">
        <f>LEN(Tabla1[[#This Row],[Categorías]])</f>
        <v>14</v>
      </c>
    </row>
    <row r="1023" spans="2:5" x14ac:dyDescent="0.3">
      <c r="B1023" t="s">
        <v>13</v>
      </c>
      <c r="C1023" t="s">
        <v>291</v>
      </c>
      <c r="D1023" s="16" t="s">
        <v>324</v>
      </c>
      <c r="E1023">
        <f>LEN(Tabla1[[#This Row],[Categorías]])</f>
        <v>9</v>
      </c>
    </row>
    <row r="1024" spans="2:5" x14ac:dyDescent="0.3">
      <c r="B1024" t="s">
        <v>325</v>
      </c>
      <c r="C1024" t="s">
        <v>291</v>
      </c>
      <c r="D1024" s="16" t="s">
        <v>324</v>
      </c>
      <c r="E1024">
        <f>LEN(Tabla1[[#This Row],[Categorías]])</f>
        <v>9</v>
      </c>
    </row>
    <row r="1025" spans="2:5" x14ac:dyDescent="0.3">
      <c r="B1025" t="s">
        <v>443</v>
      </c>
      <c r="C1025" t="s">
        <v>291</v>
      </c>
      <c r="E1025">
        <f>LEN(Tabla1[[#This Row],[Categorías]])</f>
        <v>9</v>
      </c>
    </row>
    <row r="1026" spans="2:5" x14ac:dyDescent="0.3">
      <c r="B1026" t="s">
        <v>13</v>
      </c>
      <c r="C1026" t="s">
        <v>202</v>
      </c>
      <c r="D1026" s="16" t="s">
        <v>324</v>
      </c>
      <c r="E1026">
        <f>LEN(Tabla1[[#This Row],[Categorías]])</f>
        <v>27</v>
      </c>
    </row>
    <row r="1027" spans="2:5" x14ac:dyDescent="0.3">
      <c r="B1027" t="s">
        <v>325</v>
      </c>
      <c r="C1027" t="s">
        <v>202</v>
      </c>
      <c r="D1027" s="16" t="s">
        <v>324</v>
      </c>
      <c r="E1027">
        <f>LEN(Tabla1[[#This Row],[Categorías]])</f>
        <v>27</v>
      </c>
    </row>
    <row r="1028" spans="2:5" x14ac:dyDescent="0.3">
      <c r="B1028" t="s">
        <v>443</v>
      </c>
      <c r="C1028" t="s">
        <v>202</v>
      </c>
      <c r="E1028">
        <f>LEN(Tabla1[[#This Row],[Categorías]])</f>
        <v>27</v>
      </c>
    </row>
    <row r="1029" spans="2:5" x14ac:dyDescent="0.3">
      <c r="B1029" t="s">
        <v>13</v>
      </c>
      <c r="C1029" t="s">
        <v>46</v>
      </c>
      <c r="D1029" s="16" t="s">
        <v>324</v>
      </c>
      <c r="E1029">
        <f>LEN(Tabla1[[#This Row],[Categorías]])</f>
        <v>27</v>
      </c>
    </row>
    <row r="1030" spans="2:5" x14ac:dyDescent="0.3">
      <c r="B1030" t="s">
        <v>325</v>
      </c>
      <c r="C1030" t="s">
        <v>46</v>
      </c>
      <c r="D1030" s="16" t="s">
        <v>324</v>
      </c>
      <c r="E1030">
        <f>LEN(Tabla1[[#This Row],[Categorías]])</f>
        <v>27</v>
      </c>
    </row>
    <row r="1031" spans="2:5" x14ac:dyDescent="0.3">
      <c r="B1031" t="s">
        <v>443</v>
      </c>
      <c r="C1031" t="s">
        <v>46</v>
      </c>
      <c r="E1031">
        <f>LEN(Tabla1[[#This Row],[Categorías]])</f>
        <v>27</v>
      </c>
    </row>
    <row r="1032" spans="2:5" x14ac:dyDescent="0.3">
      <c r="B1032" t="s">
        <v>13</v>
      </c>
      <c r="C1032" t="s">
        <v>45</v>
      </c>
      <c r="D1032" s="16" t="s">
        <v>324</v>
      </c>
      <c r="E1032">
        <f>LEN(Tabla1[[#This Row],[Categorías]])</f>
        <v>34</v>
      </c>
    </row>
    <row r="1033" spans="2:5" x14ac:dyDescent="0.3">
      <c r="B1033" t="s">
        <v>325</v>
      </c>
      <c r="C1033" t="s">
        <v>45</v>
      </c>
      <c r="D1033" s="16" t="s">
        <v>324</v>
      </c>
      <c r="E1033">
        <f>LEN(Tabla1[[#This Row],[Categorías]])</f>
        <v>34</v>
      </c>
    </row>
    <row r="1034" spans="2:5" x14ac:dyDescent="0.3">
      <c r="B1034" t="s">
        <v>443</v>
      </c>
      <c r="C1034" t="s">
        <v>45</v>
      </c>
      <c r="E1034">
        <f>LEN(Tabla1[[#This Row],[Categorías]])</f>
        <v>34</v>
      </c>
    </row>
    <row r="1035" spans="2:5" x14ac:dyDescent="0.3">
      <c r="B1035" t="s">
        <v>13</v>
      </c>
      <c r="C1035" t="s">
        <v>44</v>
      </c>
      <c r="D1035" s="16" t="s">
        <v>324</v>
      </c>
      <c r="E1035">
        <f>LEN(Tabla1[[#This Row],[Categorías]])</f>
        <v>65</v>
      </c>
    </row>
    <row r="1036" spans="2:5" x14ac:dyDescent="0.3">
      <c r="B1036" t="s">
        <v>325</v>
      </c>
      <c r="C1036" t="s">
        <v>44</v>
      </c>
      <c r="D1036" s="16" t="s">
        <v>324</v>
      </c>
      <c r="E1036">
        <f>LEN(Tabla1[[#This Row],[Categorías]])</f>
        <v>65</v>
      </c>
    </row>
    <row r="1037" spans="2:5" x14ac:dyDescent="0.3">
      <c r="B1037" t="s">
        <v>443</v>
      </c>
      <c r="C1037" t="s">
        <v>44</v>
      </c>
      <c r="E1037">
        <f>LEN(Tabla1[[#This Row],[Categorías]])</f>
        <v>65</v>
      </c>
    </row>
    <row r="1038" spans="2:5" x14ac:dyDescent="0.3">
      <c r="B1038" t="s">
        <v>13</v>
      </c>
      <c r="C1038" t="s">
        <v>43</v>
      </c>
      <c r="D1038" s="16" t="s">
        <v>324</v>
      </c>
      <c r="E1038">
        <f>LEN(Tabla1[[#This Row],[Categorías]])</f>
        <v>133</v>
      </c>
    </row>
    <row r="1039" spans="2:5" x14ac:dyDescent="0.3">
      <c r="B1039" t="s">
        <v>325</v>
      </c>
      <c r="C1039" t="s">
        <v>43</v>
      </c>
      <c r="D1039" s="16" t="s">
        <v>324</v>
      </c>
      <c r="E1039">
        <f>LEN(Tabla1[[#This Row],[Categorías]])</f>
        <v>133</v>
      </c>
    </row>
    <row r="1040" spans="2:5" x14ac:dyDescent="0.3">
      <c r="B1040" t="s">
        <v>443</v>
      </c>
      <c r="C1040" t="s">
        <v>43</v>
      </c>
      <c r="E1040">
        <f>LEN(Tabla1[[#This Row],[Categorías]])</f>
        <v>133</v>
      </c>
    </row>
    <row r="1041" spans="2:5" x14ac:dyDescent="0.3">
      <c r="B1041" t="s">
        <v>13</v>
      </c>
      <c r="C1041" t="s">
        <v>42</v>
      </c>
      <c r="D1041" s="16" t="s">
        <v>324</v>
      </c>
      <c r="E1041">
        <f>LEN(Tabla1[[#This Row],[Categorías]])</f>
        <v>28</v>
      </c>
    </row>
    <row r="1042" spans="2:5" x14ac:dyDescent="0.3">
      <c r="B1042" t="s">
        <v>325</v>
      </c>
      <c r="C1042" t="s">
        <v>42</v>
      </c>
      <c r="D1042" s="16" t="s">
        <v>324</v>
      </c>
      <c r="E1042">
        <f>LEN(Tabla1[[#This Row],[Categorías]])</f>
        <v>28</v>
      </c>
    </row>
    <row r="1043" spans="2:5" x14ac:dyDescent="0.3">
      <c r="B1043" t="s">
        <v>443</v>
      </c>
      <c r="C1043" t="s">
        <v>42</v>
      </c>
      <c r="E1043">
        <f>LEN(Tabla1[[#This Row],[Categorías]])</f>
        <v>28</v>
      </c>
    </row>
    <row r="1044" spans="2:5" x14ac:dyDescent="0.3">
      <c r="B1044" t="s">
        <v>13</v>
      </c>
      <c r="C1044" t="s">
        <v>192</v>
      </c>
      <c r="D1044" s="16" t="s">
        <v>324</v>
      </c>
      <c r="E1044">
        <f>LEN(Tabla1[[#This Row],[Categorías]])</f>
        <v>20</v>
      </c>
    </row>
    <row r="1045" spans="2:5" x14ac:dyDescent="0.3">
      <c r="B1045" t="s">
        <v>325</v>
      </c>
      <c r="C1045" t="s">
        <v>192</v>
      </c>
      <c r="D1045" s="16" t="s">
        <v>324</v>
      </c>
      <c r="E1045">
        <f>LEN(Tabla1[[#This Row],[Categorías]])</f>
        <v>20</v>
      </c>
    </row>
    <row r="1046" spans="2:5" x14ac:dyDescent="0.3">
      <c r="B1046" t="s">
        <v>443</v>
      </c>
      <c r="C1046" t="s">
        <v>192</v>
      </c>
      <c r="E1046">
        <f>LEN(Tabla1[[#This Row],[Categorías]])</f>
        <v>20</v>
      </c>
    </row>
    <row r="1047" spans="2:5" x14ac:dyDescent="0.3">
      <c r="B1047" t="s">
        <v>13</v>
      </c>
      <c r="C1047" t="s">
        <v>228</v>
      </c>
      <c r="D1047" s="16" t="s">
        <v>324</v>
      </c>
      <c r="E1047">
        <f>LEN(Tabla1[[#This Row],[Categorías]])</f>
        <v>53</v>
      </c>
    </row>
    <row r="1048" spans="2:5" x14ac:dyDescent="0.3">
      <c r="B1048" t="s">
        <v>325</v>
      </c>
      <c r="C1048" t="s">
        <v>228</v>
      </c>
      <c r="D1048" s="16" t="s">
        <v>324</v>
      </c>
      <c r="E1048">
        <f>LEN(Tabla1[[#This Row],[Categorías]])</f>
        <v>53</v>
      </c>
    </row>
    <row r="1049" spans="2:5" x14ac:dyDescent="0.3">
      <c r="B1049" t="s">
        <v>443</v>
      </c>
      <c r="C1049" t="s">
        <v>228</v>
      </c>
      <c r="E1049">
        <f>LEN(Tabla1[[#This Row],[Categorías]])</f>
        <v>53</v>
      </c>
    </row>
    <row r="1050" spans="2:5" x14ac:dyDescent="0.3">
      <c r="B1050" t="s">
        <v>13</v>
      </c>
      <c r="C1050" t="s">
        <v>227</v>
      </c>
      <c r="D1050" s="16" t="s">
        <v>324</v>
      </c>
      <c r="E1050">
        <f>LEN(Tabla1[[#This Row],[Categorías]])</f>
        <v>121</v>
      </c>
    </row>
    <row r="1051" spans="2:5" x14ac:dyDescent="0.3">
      <c r="B1051" t="s">
        <v>325</v>
      </c>
      <c r="C1051" t="s">
        <v>227</v>
      </c>
      <c r="D1051" s="16" t="s">
        <v>324</v>
      </c>
      <c r="E1051">
        <f>LEN(Tabla1[[#This Row],[Categorías]])</f>
        <v>121</v>
      </c>
    </row>
    <row r="1052" spans="2:5" x14ac:dyDescent="0.3">
      <c r="B1052" t="s">
        <v>443</v>
      </c>
      <c r="C1052" t="s">
        <v>227</v>
      </c>
      <c r="E1052">
        <f>LEN(Tabla1[[#This Row],[Categorías]])</f>
        <v>121</v>
      </c>
    </row>
    <row r="1053" spans="2:5" x14ac:dyDescent="0.3">
      <c r="B1053" t="s">
        <v>13</v>
      </c>
      <c r="C1053" t="s">
        <v>193</v>
      </c>
      <c r="D1053" s="16" t="s">
        <v>324</v>
      </c>
      <c r="E1053">
        <f>LEN(Tabla1[[#This Row],[Categorías]])</f>
        <v>16</v>
      </c>
    </row>
    <row r="1054" spans="2:5" x14ac:dyDescent="0.3">
      <c r="B1054" t="s">
        <v>325</v>
      </c>
      <c r="C1054" t="s">
        <v>193</v>
      </c>
      <c r="D1054" s="16" t="s">
        <v>324</v>
      </c>
      <c r="E1054">
        <f>LEN(Tabla1[[#This Row],[Categorías]])</f>
        <v>16</v>
      </c>
    </row>
    <row r="1055" spans="2:5" x14ac:dyDescent="0.3">
      <c r="B1055" t="s">
        <v>443</v>
      </c>
      <c r="C1055" t="s">
        <v>193</v>
      </c>
      <c r="E1055">
        <f>LEN(Tabla1[[#This Row],[Categorías]])</f>
        <v>16</v>
      </c>
    </row>
    <row r="1056" spans="2:5" x14ac:dyDescent="0.3">
      <c r="B1056" t="s">
        <v>325</v>
      </c>
      <c r="C1056" t="s">
        <v>394</v>
      </c>
      <c r="D1056" s="16" t="s">
        <v>324</v>
      </c>
      <c r="E1056">
        <f>LEN(Tabla1[[#This Row],[Categorías]])</f>
        <v>44</v>
      </c>
    </row>
    <row r="1057" spans="2:5" x14ac:dyDescent="0.3">
      <c r="B1057" t="s">
        <v>443</v>
      </c>
      <c r="C1057" t="s">
        <v>446</v>
      </c>
      <c r="E1057">
        <f>LEN(Tabla1[[#This Row],[Categorías]])</f>
        <v>44</v>
      </c>
    </row>
    <row r="1058" spans="2:5" x14ac:dyDescent="0.3">
      <c r="B1058" t="s">
        <v>13</v>
      </c>
      <c r="C1058" t="s">
        <v>95</v>
      </c>
      <c r="D1058" s="16" t="s">
        <v>324</v>
      </c>
      <c r="E1058">
        <f>LEN(Tabla1[[#This Row],[Categorías]])</f>
        <v>77</v>
      </c>
    </row>
    <row r="1059" spans="2:5" x14ac:dyDescent="0.3">
      <c r="B1059" t="s">
        <v>325</v>
      </c>
      <c r="C1059" t="s">
        <v>95</v>
      </c>
      <c r="D1059" s="16" t="s">
        <v>324</v>
      </c>
      <c r="E1059">
        <f>LEN(Tabla1[[#This Row],[Categorías]])</f>
        <v>77</v>
      </c>
    </row>
    <row r="1060" spans="2:5" x14ac:dyDescent="0.3">
      <c r="B1060" t="s">
        <v>443</v>
      </c>
      <c r="C1060" t="s">
        <v>95</v>
      </c>
      <c r="E1060">
        <f>LEN(Tabla1[[#This Row],[Categorías]])</f>
        <v>77</v>
      </c>
    </row>
    <row r="1061" spans="2:5" x14ac:dyDescent="0.3">
      <c r="B1061" t="s">
        <v>13</v>
      </c>
      <c r="C1061" t="s">
        <v>80</v>
      </c>
      <c r="D1061" s="16" t="s">
        <v>324</v>
      </c>
      <c r="E1061">
        <f>LEN(Tabla1[[#This Row],[Categorías]])</f>
        <v>18</v>
      </c>
    </row>
    <row r="1062" spans="2:5" x14ac:dyDescent="0.3">
      <c r="B1062" t="s">
        <v>325</v>
      </c>
      <c r="C1062" t="s">
        <v>80</v>
      </c>
      <c r="D1062" s="16" t="s">
        <v>324</v>
      </c>
      <c r="E1062">
        <f>LEN(Tabla1[[#This Row],[Categorías]])</f>
        <v>18</v>
      </c>
    </row>
    <row r="1063" spans="2:5" x14ac:dyDescent="0.3">
      <c r="B1063" t="s">
        <v>443</v>
      </c>
      <c r="C1063" t="s">
        <v>80</v>
      </c>
      <c r="E1063">
        <f>LEN(Tabla1[[#This Row],[Categorías]])</f>
        <v>18</v>
      </c>
    </row>
    <row r="1064" spans="2:5" x14ac:dyDescent="0.3">
      <c r="B1064" t="s">
        <v>443</v>
      </c>
      <c r="E1064">
        <f>LEN(Tabla1[[#This Row],[Categorías]])</f>
        <v>0</v>
      </c>
    </row>
    <row r="1065" spans="2:5" x14ac:dyDescent="0.3">
      <c r="B1065" t="s">
        <v>447</v>
      </c>
      <c r="E1065">
        <f>LEN(Tabla1[[#This Row],[Categorías]])</f>
        <v>0</v>
      </c>
    </row>
    <row r="1066" spans="2:5" x14ac:dyDescent="0.3">
      <c r="B1066" s="1"/>
      <c r="E1066">
        <f>LEN(Tabla1[[#This Row],[Categorías]])</f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4265-633F-4781-AE7D-BD309A834B61}">
  <dimension ref="A1:B5"/>
  <sheetViews>
    <sheetView workbookViewId="0">
      <selection activeCell="A6" sqref="A6"/>
    </sheetView>
  </sheetViews>
  <sheetFormatPr baseColWidth="10" defaultRowHeight="14.4" x14ac:dyDescent="0.3"/>
  <cols>
    <col min="1" max="1" width="34.44140625" customWidth="1"/>
  </cols>
  <sheetData>
    <row r="1" spans="1:2" x14ac:dyDescent="0.3">
      <c r="A1" t="s">
        <v>1038</v>
      </c>
      <c r="B1" t="s">
        <v>1039</v>
      </c>
    </row>
    <row r="2" spans="1:2" x14ac:dyDescent="0.3">
      <c r="A2" s="15" t="s">
        <v>14</v>
      </c>
    </row>
    <row r="3" spans="1:2" x14ac:dyDescent="0.3">
      <c r="A3" s="15" t="s">
        <v>1040</v>
      </c>
    </row>
    <row r="4" spans="1:2" x14ac:dyDescent="0.3">
      <c r="A4" s="15" t="s">
        <v>223</v>
      </c>
    </row>
    <row r="5" spans="1:2" x14ac:dyDescent="0.3">
      <c r="A5" s="15" t="s">
        <v>1041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9B94-05AE-4FB4-8014-0FF28EAB2B68}">
  <sheetPr>
    <tabColor rgb="FF00B050"/>
  </sheetPr>
  <dimension ref="A1:L129"/>
  <sheetViews>
    <sheetView workbookViewId="0">
      <selection activeCell="A15" sqref="A15"/>
    </sheetView>
  </sheetViews>
  <sheetFormatPr baseColWidth="10" defaultRowHeight="14.4" x14ac:dyDescent="0.3"/>
  <cols>
    <col min="1" max="1" width="22" customWidth="1"/>
    <col min="2" max="3" width="9.88671875" customWidth="1"/>
    <col min="4" max="4" width="47.5546875" customWidth="1"/>
    <col min="5" max="5" width="21.109375" customWidth="1"/>
    <col min="6" max="6" width="12.109375" customWidth="1"/>
    <col min="7" max="7" width="29.88671875" customWidth="1"/>
    <col min="9" max="12" width="15.6640625" customWidth="1"/>
  </cols>
  <sheetData>
    <row r="1" spans="1:12" ht="15" thickBot="1" x14ac:dyDescent="0.35">
      <c r="A1" s="24" t="s">
        <v>1047</v>
      </c>
      <c r="B1" s="25" t="s">
        <v>1051</v>
      </c>
      <c r="C1" s="26" t="s">
        <v>1019</v>
      </c>
      <c r="D1" s="27" t="s">
        <v>1020</v>
      </c>
      <c r="E1" s="27" t="s">
        <v>1045</v>
      </c>
      <c r="F1" s="27" t="s">
        <v>1022</v>
      </c>
      <c r="G1" s="27" t="s">
        <v>1023</v>
      </c>
      <c r="H1" s="27" t="s">
        <v>1044</v>
      </c>
      <c r="I1" s="27" t="s">
        <v>24</v>
      </c>
      <c r="J1" s="27" t="s">
        <v>1024</v>
      </c>
      <c r="K1" s="27" t="s">
        <v>1025</v>
      </c>
      <c r="L1" s="25" t="s">
        <v>1026</v>
      </c>
    </row>
    <row r="2" spans="1:12" x14ac:dyDescent="0.3">
      <c r="A2" s="65" t="str">
        <f>Tabla10[[#This Row],[TIPO_P]] &amp; "|" &amp;Tabla10[[#This Row],[Agrupación]] &amp; "|" &amp; Tabla10[[#This Row],[Sexo]] &amp; "|" &amp; Tabla10[[#This Row],[Entidad]]</f>
        <v>PS|||</v>
      </c>
      <c r="B2" s="66" t="s">
        <v>1050</v>
      </c>
      <c r="C2" s="28"/>
      <c r="D2" s="29"/>
      <c r="E2" s="29"/>
      <c r="F2" s="29"/>
      <c r="G2" s="29"/>
      <c r="H2" s="29"/>
      <c r="I2" s="29"/>
      <c r="J2" s="29"/>
      <c r="K2" s="29"/>
      <c r="L2" s="20"/>
    </row>
    <row r="3" spans="1:12" x14ac:dyDescent="0.3">
      <c r="A3" s="67" t="str">
        <f>Tabla10[[#This Row],[TIPO_P]] &amp; "|" &amp;Tabla10[[#This Row],[Agrupación]] &amp; "|" &amp; Tabla10[[#This Row],[Sexo]] &amp; "|" &amp; Tabla10[[#This Row],[Entidad]]</f>
        <v>PS|||</v>
      </c>
      <c r="B3" s="68" t="s">
        <v>1050</v>
      </c>
      <c r="C3" s="16"/>
      <c r="L3" s="30"/>
    </row>
    <row r="4" spans="1:12" x14ac:dyDescent="0.3">
      <c r="A4" s="67" t="str">
        <f>Tabla10[[#This Row],[TIPO_P]] &amp; "|" &amp;Tabla10[[#This Row],[Agrupación]] &amp; "|" &amp; Tabla10[[#This Row],[Sexo]] &amp; "|" &amp; Tabla10[[#This Row],[Entidad]]</f>
        <v>PS|||</v>
      </c>
      <c r="B4" s="68" t="s">
        <v>1050</v>
      </c>
      <c r="C4" s="16"/>
      <c r="L4" s="30"/>
    </row>
    <row r="5" spans="1:12" x14ac:dyDescent="0.3">
      <c r="A5" s="67" t="str">
        <f>Tabla10[[#This Row],[TIPO_P]] &amp; "|" &amp;Tabla10[[#This Row],[Agrupación]] &amp; "|" &amp; Tabla10[[#This Row],[Sexo]] &amp; "|" &amp; Tabla10[[#This Row],[Entidad]]</f>
        <v>PS|||</v>
      </c>
      <c r="B5" s="68" t="s">
        <v>1050</v>
      </c>
      <c r="C5" s="16"/>
      <c r="L5" s="30"/>
    </row>
    <row r="6" spans="1:12" x14ac:dyDescent="0.3">
      <c r="A6" s="67" t="str">
        <f>Tabla10[[#This Row],[TIPO_P]] &amp; "|" &amp;Tabla10[[#This Row],[Agrupación]] &amp; "|" &amp; Tabla10[[#This Row],[Sexo]] &amp; "|" &amp; Tabla10[[#This Row],[Entidad]]</f>
        <v>PS|||</v>
      </c>
      <c r="B6" s="68" t="s">
        <v>1050</v>
      </c>
      <c r="C6" s="16"/>
      <c r="L6" s="30"/>
    </row>
    <row r="7" spans="1:12" x14ac:dyDescent="0.3">
      <c r="A7" s="67" t="str">
        <f>Tabla10[[#This Row],[TIPO_P]] &amp; "|" &amp;Tabla10[[#This Row],[Agrupación]] &amp; "|" &amp; Tabla10[[#This Row],[Sexo]] &amp; "|" &amp; Tabla10[[#This Row],[Entidad]]</f>
        <v>PS|||</v>
      </c>
      <c r="B7" s="68" t="s">
        <v>1050</v>
      </c>
      <c r="C7" s="16"/>
      <c r="L7" s="30"/>
    </row>
    <row r="8" spans="1:12" x14ac:dyDescent="0.3">
      <c r="A8" s="67" t="str">
        <f>Tabla10[[#This Row],[TIPO_P]] &amp; "|" &amp;Tabla10[[#This Row],[Agrupación]] &amp; "|" &amp; Tabla10[[#This Row],[Sexo]] &amp; "|" &amp; Tabla10[[#This Row],[Entidad]]</f>
        <v>PS|||</v>
      </c>
      <c r="B8" s="68" t="s">
        <v>1050</v>
      </c>
      <c r="C8" s="16"/>
      <c r="L8" s="30"/>
    </row>
    <row r="9" spans="1:12" x14ac:dyDescent="0.3">
      <c r="A9" s="67" t="str">
        <f>Tabla10[[#This Row],[TIPO_P]] &amp; "|" &amp;Tabla10[[#This Row],[Agrupación]] &amp; "|" &amp; Tabla10[[#This Row],[Sexo]] &amp; "|" &amp; Tabla10[[#This Row],[Entidad]]</f>
        <v>PS|||</v>
      </c>
      <c r="B9" s="68" t="s">
        <v>1050</v>
      </c>
      <c r="C9" s="16"/>
      <c r="L9" s="30"/>
    </row>
    <row r="10" spans="1:12" x14ac:dyDescent="0.3">
      <c r="A10" s="67" t="str">
        <f>Tabla10[[#This Row],[TIPO_P]] &amp; "|" &amp;Tabla10[[#This Row],[Agrupación]] &amp; "|" &amp; Tabla10[[#This Row],[Sexo]] &amp; "|" &amp; Tabla10[[#This Row],[Entidad]]</f>
        <v>PS|||</v>
      </c>
      <c r="B10" s="68" t="s">
        <v>1050</v>
      </c>
      <c r="C10" s="16"/>
      <c r="L10" s="30"/>
    </row>
    <row r="11" spans="1:12" x14ac:dyDescent="0.3">
      <c r="A11" s="67" t="str">
        <f>Tabla10[[#This Row],[TIPO_P]] &amp; "|" &amp;Tabla10[[#This Row],[Agrupación]] &amp; "|" &amp; Tabla10[[#This Row],[Sexo]] &amp; "|" &amp; Tabla10[[#This Row],[Entidad]]</f>
        <v>PS|||</v>
      </c>
      <c r="B11" s="68" t="s">
        <v>1050</v>
      </c>
      <c r="C11" s="16"/>
      <c r="L11" s="30"/>
    </row>
    <row r="12" spans="1:12" x14ac:dyDescent="0.3">
      <c r="A12" s="67" t="str">
        <f>Tabla10[[#This Row],[TIPO_P]] &amp; "|" &amp;Tabla10[[#This Row],[Agrupación]] &amp; "|" &amp; Tabla10[[#This Row],[Sexo]] &amp; "|" &amp; Tabla10[[#This Row],[Entidad]]</f>
        <v>PS|||</v>
      </c>
      <c r="B12" s="68" t="s">
        <v>1050</v>
      </c>
      <c r="C12" s="16"/>
      <c r="L12" s="30"/>
    </row>
    <row r="13" spans="1:12" x14ac:dyDescent="0.3">
      <c r="A13" s="67" t="str">
        <f>Tabla10[[#This Row],[TIPO_P]] &amp; "|" &amp;Tabla10[[#This Row],[Agrupación]] &amp; "|" &amp; Tabla10[[#This Row],[Sexo]] &amp; "|" &amp; Tabla10[[#This Row],[Entidad]]</f>
        <v>PS|||</v>
      </c>
      <c r="B13" s="68" t="s">
        <v>1050</v>
      </c>
      <c r="C13" s="16"/>
      <c r="L13" s="30"/>
    </row>
    <row r="14" spans="1:12" x14ac:dyDescent="0.3">
      <c r="A14" s="67" t="str">
        <f>Tabla10[[#This Row],[TIPO_P]] &amp; "|" &amp;Tabla10[[#This Row],[Agrupación]] &amp; "|" &amp; Tabla10[[#This Row],[Sexo]] &amp; "|" &amp; Tabla10[[#This Row],[Entidad]]</f>
        <v>PS|||</v>
      </c>
      <c r="B14" s="68" t="s">
        <v>1050</v>
      </c>
      <c r="C14" s="16"/>
      <c r="L14" s="30"/>
    </row>
    <row r="15" spans="1:12" x14ac:dyDescent="0.3">
      <c r="A15" s="67" t="str">
        <f>Tabla10[[#This Row],[TIPO_P]] &amp; "|" &amp;Tabla10[[#This Row],[Agrupación]] &amp; "|" &amp; Tabla10[[#This Row],[Sexo]] &amp; "|" &amp; Tabla10[[#This Row],[Entidad]]</f>
        <v>PS|||</v>
      </c>
      <c r="B15" s="68" t="s">
        <v>1050</v>
      </c>
      <c r="C15" s="16"/>
      <c r="L15" s="30"/>
    </row>
    <row r="16" spans="1:12" x14ac:dyDescent="0.3">
      <c r="A16" s="67" t="str">
        <f>Tabla10[[#This Row],[TIPO_P]] &amp; "|" &amp;Tabla10[[#This Row],[Agrupación]] &amp; "|" &amp; Tabla10[[#This Row],[Sexo]] &amp; "|" &amp; Tabla10[[#This Row],[Entidad]]</f>
        <v>PS|||</v>
      </c>
      <c r="B16" s="68" t="s">
        <v>1050</v>
      </c>
      <c r="C16" s="16"/>
      <c r="L16" s="30"/>
    </row>
    <row r="17" spans="1:12" x14ac:dyDescent="0.3">
      <c r="A17" s="67" t="str">
        <f>Tabla10[[#This Row],[TIPO_P]] &amp; "|" &amp;Tabla10[[#This Row],[Agrupación]] &amp; "|" &amp; Tabla10[[#This Row],[Sexo]] &amp; "|" &amp; Tabla10[[#This Row],[Entidad]]</f>
        <v>PS|||</v>
      </c>
      <c r="B17" s="68" t="s">
        <v>1050</v>
      </c>
      <c r="C17" s="16"/>
      <c r="L17" s="30"/>
    </row>
    <row r="18" spans="1:12" x14ac:dyDescent="0.3">
      <c r="A18" s="67" t="str">
        <f>Tabla10[[#This Row],[TIPO_P]] &amp; "|" &amp;Tabla10[[#This Row],[Agrupación]] &amp; "|" &amp; Tabla10[[#This Row],[Sexo]] &amp; "|" &amp; Tabla10[[#This Row],[Entidad]]</f>
        <v>PS|||</v>
      </c>
      <c r="B18" s="68" t="s">
        <v>1050</v>
      </c>
      <c r="C18" s="16"/>
      <c r="L18" s="30"/>
    </row>
    <row r="19" spans="1:12" x14ac:dyDescent="0.3">
      <c r="A19" s="67" t="str">
        <f>Tabla10[[#This Row],[TIPO_P]] &amp; "|" &amp;Tabla10[[#This Row],[Agrupación]] &amp; "|" &amp; Tabla10[[#This Row],[Sexo]] &amp; "|" &amp; Tabla10[[#This Row],[Entidad]]</f>
        <v>PS|||</v>
      </c>
      <c r="B19" s="68" t="s">
        <v>1050</v>
      </c>
      <c r="C19" s="16"/>
      <c r="L19" s="30"/>
    </row>
    <row r="20" spans="1:12" x14ac:dyDescent="0.3">
      <c r="A20" s="67" t="str">
        <f>Tabla10[[#This Row],[TIPO_P]] &amp; "|" &amp;Tabla10[[#This Row],[Agrupación]] &amp; "|" &amp; Tabla10[[#This Row],[Sexo]] &amp; "|" &amp; Tabla10[[#This Row],[Entidad]]</f>
        <v>PS|||</v>
      </c>
      <c r="B20" s="68" t="s">
        <v>1050</v>
      </c>
      <c r="C20" s="16"/>
      <c r="L20" s="30"/>
    </row>
    <row r="21" spans="1:12" x14ac:dyDescent="0.3">
      <c r="A21" s="67" t="str">
        <f>Tabla10[[#This Row],[TIPO_P]] &amp; "|" &amp;Tabla10[[#This Row],[Agrupación]] &amp; "|" &amp; Tabla10[[#This Row],[Sexo]] &amp; "|" &amp; Tabla10[[#This Row],[Entidad]]</f>
        <v>PS|||</v>
      </c>
      <c r="B21" s="68" t="s">
        <v>1050</v>
      </c>
      <c r="C21" s="16"/>
      <c r="L21" s="30"/>
    </row>
    <row r="22" spans="1:12" x14ac:dyDescent="0.3">
      <c r="A22" s="67" t="str">
        <f>Tabla10[[#This Row],[TIPO_P]] &amp; "|" &amp;Tabla10[[#This Row],[Agrupación]] &amp; "|" &amp; Tabla10[[#This Row],[Sexo]] &amp; "|" &amp; Tabla10[[#This Row],[Entidad]]</f>
        <v>PS|||</v>
      </c>
      <c r="B22" s="68" t="s">
        <v>1050</v>
      </c>
      <c r="C22" s="16"/>
      <c r="L22" s="30"/>
    </row>
    <row r="23" spans="1:12" x14ac:dyDescent="0.3">
      <c r="A23" s="67" t="str">
        <f>Tabla10[[#This Row],[TIPO_P]] &amp; "|" &amp;Tabla10[[#This Row],[Agrupación]] &amp; "|" &amp; Tabla10[[#This Row],[Sexo]] &amp; "|" &amp; Tabla10[[#This Row],[Entidad]]</f>
        <v>PS|||</v>
      </c>
      <c r="B23" s="68" t="s">
        <v>1050</v>
      </c>
      <c r="C23" s="16"/>
      <c r="L23" s="30"/>
    </row>
    <row r="24" spans="1:12" x14ac:dyDescent="0.3">
      <c r="A24" s="67" t="str">
        <f>Tabla10[[#This Row],[TIPO_P]] &amp; "|" &amp;Tabla10[[#This Row],[Agrupación]] &amp; "|" &amp; Tabla10[[#This Row],[Sexo]] &amp; "|" &amp; Tabla10[[#This Row],[Entidad]]</f>
        <v>PS|||</v>
      </c>
      <c r="B24" s="68" t="s">
        <v>1050</v>
      </c>
      <c r="C24" s="16"/>
      <c r="L24" s="30"/>
    </row>
    <row r="25" spans="1:12" x14ac:dyDescent="0.3">
      <c r="A25" s="67" t="str">
        <f>Tabla10[[#This Row],[TIPO_P]] &amp; "|" &amp;Tabla10[[#This Row],[Agrupación]] &amp; "|" &amp; Tabla10[[#This Row],[Sexo]] &amp; "|" &amp; Tabla10[[#This Row],[Entidad]]</f>
        <v>PS|||</v>
      </c>
      <c r="B25" s="68" t="s">
        <v>1050</v>
      </c>
      <c r="C25" s="16"/>
      <c r="L25" s="30"/>
    </row>
    <row r="26" spans="1:12" x14ac:dyDescent="0.3">
      <c r="A26" s="67" t="str">
        <f>Tabla10[[#This Row],[TIPO_P]] &amp; "|" &amp;Tabla10[[#This Row],[Agrupación]] &amp; "|" &amp; Tabla10[[#This Row],[Sexo]] &amp; "|" &amp; Tabla10[[#This Row],[Entidad]]</f>
        <v>PS|||</v>
      </c>
      <c r="B26" s="68" t="s">
        <v>1050</v>
      </c>
      <c r="C26" s="16"/>
      <c r="L26" s="30"/>
    </row>
    <row r="27" spans="1:12" x14ac:dyDescent="0.3">
      <c r="A27" s="67" t="str">
        <f>Tabla10[[#This Row],[TIPO_P]] &amp; "|" &amp;Tabla10[[#This Row],[Agrupación]] &amp; "|" &amp; Tabla10[[#This Row],[Sexo]] &amp; "|" &amp; Tabla10[[#This Row],[Entidad]]</f>
        <v>PS|||</v>
      </c>
      <c r="B27" s="68" t="s">
        <v>1050</v>
      </c>
      <c r="C27" s="16"/>
      <c r="L27" s="30"/>
    </row>
    <row r="28" spans="1:12" x14ac:dyDescent="0.3">
      <c r="A28" s="67" t="str">
        <f>Tabla10[[#This Row],[TIPO_P]] &amp; "|" &amp;Tabla10[[#This Row],[Agrupación]] &amp; "|" &amp; Tabla10[[#This Row],[Sexo]] &amp; "|" &amp; Tabla10[[#This Row],[Entidad]]</f>
        <v>PS|||</v>
      </c>
      <c r="B28" s="68" t="s">
        <v>1050</v>
      </c>
      <c r="C28" s="16"/>
      <c r="L28" s="30"/>
    </row>
    <row r="29" spans="1:12" x14ac:dyDescent="0.3">
      <c r="A29" s="67" t="str">
        <f>Tabla10[[#This Row],[TIPO_P]] &amp; "|" &amp;Tabla10[[#This Row],[Agrupación]] &amp; "|" &amp; Tabla10[[#This Row],[Sexo]] &amp; "|" &amp; Tabla10[[#This Row],[Entidad]]</f>
        <v>PS|||</v>
      </c>
      <c r="B29" s="68" t="s">
        <v>1050</v>
      </c>
      <c r="C29" s="16"/>
      <c r="L29" s="30"/>
    </row>
    <row r="30" spans="1:12" x14ac:dyDescent="0.3">
      <c r="A30" s="67" t="str">
        <f>Tabla10[[#This Row],[TIPO_P]] &amp; "|" &amp;Tabla10[[#This Row],[Agrupación]] &amp; "|" &amp; Tabla10[[#This Row],[Sexo]] &amp; "|" &amp; Tabla10[[#This Row],[Entidad]]</f>
        <v>PS|||</v>
      </c>
      <c r="B30" s="68" t="s">
        <v>1050</v>
      </c>
      <c r="C30" s="16"/>
      <c r="L30" s="30"/>
    </row>
    <row r="31" spans="1:12" x14ac:dyDescent="0.3">
      <c r="A31" s="67" t="str">
        <f>Tabla10[[#This Row],[TIPO_P]] &amp; "|" &amp;Tabla10[[#This Row],[Agrupación]] &amp; "|" &amp; Tabla10[[#This Row],[Sexo]] &amp; "|" &amp; Tabla10[[#This Row],[Entidad]]</f>
        <v>PS|||</v>
      </c>
      <c r="B31" s="68" t="s">
        <v>1050</v>
      </c>
      <c r="C31" s="16"/>
      <c r="L31" s="30"/>
    </row>
    <row r="32" spans="1:12" x14ac:dyDescent="0.3">
      <c r="A32" s="67" t="str">
        <f>Tabla10[[#This Row],[TIPO_P]] &amp; "|" &amp;Tabla10[[#This Row],[Agrupación]] &amp; "|" &amp; Tabla10[[#This Row],[Sexo]] &amp; "|" &amp; Tabla10[[#This Row],[Entidad]]</f>
        <v>PS|||</v>
      </c>
      <c r="B32" s="68" t="s">
        <v>1050</v>
      </c>
      <c r="C32" s="16"/>
      <c r="L32" s="30"/>
    </row>
    <row r="33" spans="1:12" x14ac:dyDescent="0.3">
      <c r="A33" s="67" t="str">
        <f>Tabla10[[#This Row],[TIPO_P]] &amp; "|" &amp;Tabla10[[#This Row],[Agrupación]] &amp; "|" &amp; Tabla10[[#This Row],[Sexo]] &amp; "|" &amp; Tabla10[[#This Row],[Entidad]]</f>
        <v>PS|||</v>
      </c>
      <c r="B33" s="68" t="s">
        <v>1050</v>
      </c>
      <c r="C33" s="16"/>
      <c r="L33" s="30"/>
    </row>
    <row r="34" spans="1:12" x14ac:dyDescent="0.3">
      <c r="A34" s="67" t="str">
        <f>Tabla10[[#This Row],[TIPO_P]] &amp; "|" &amp;Tabla10[[#This Row],[Agrupación]] &amp; "|" &amp; Tabla10[[#This Row],[Sexo]] &amp; "|" &amp; Tabla10[[#This Row],[Entidad]]</f>
        <v>PS|||</v>
      </c>
      <c r="B34" s="68" t="s">
        <v>1050</v>
      </c>
      <c r="C34" s="16"/>
      <c r="L34" s="30"/>
    </row>
    <row r="35" spans="1:12" x14ac:dyDescent="0.3">
      <c r="A35" s="67" t="str">
        <f>Tabla10[[#This Row],[TIPO_P]] &amp; "|" &amp;Tabla10[[#This Row],[Agrupación]] &amp; "|" &amp; Tabla10[[#This Row],[Sexo]] &amp; "|" &amp; Tabla10[[#This Row],[Entidad]]</f>
        <v>PS|||</v>
      </c>
      <c r="B35" s="68" t="s">
        <v>1050</v>
      </c>
      <c r="C35" s="16"/>
      <c r="L35" s="30"/>
    </row>
    <row r="36" spans="1:12" x14ac:dyDescent="0.3">
      <c r="A36" s="67" t="str">
        <f>Tabla10[[#This Row],[TIPO_P]] &amp; "|" &amp;Tabla10[[#This Row],[Agrupación]] &amp; "|" &amp; Tabla10[[#This Row],[Sexo]] &amp; "|" &amp; Tabla10[[#This Row],[Entidad]]</f>
        <v>PS|||</v>
      </c>
      <c r="B36" s="68" t="s">
        <v>1050</v>
      </c>
      <c r="C36" s="16"/>
      <c r="L36" s="30"/>
    </row>
    <row r="37" spans="1:12" x14ac:dyDescent="0.3">
      <c r="A37" s="67" t="str">
        <f>Tabla10[[#This Row],[TIPO_P]] &amp; "|" &amp;Tabla10[[#This Row],[Agrupación]] &amp; "|" &amp; Tabla10[[#This Row],[Sexo]] &amp; "|" &amp; Tabla10[[#This Row],[Entidad]]</f>
        <v>PS|||</v>
      </c>
      <c r="B37" s="68" t="s">
        <v>1050</v>
      </c>
      <c r="C37" s="16"/>
      <c r="L37" s="30"/>
    </row>
    <row r="38" spans="1:12" x14ac:dyDescent="0.3">
      <c r="A38" s="67" t="str">
        <f>Tabla10[[#This Row],[TIPO_P]] &amp; "|" &amp;Tabla10[[#This Row],[Agrupación]] &amp; "|" &amp; Tabla10[[#This Row],[Sexo]] &amp; "|" &amp; Tabla10[[#This Row],[Entidad]]</f>
        <v>PS|||</v>
      </c>
      <c r="B38" s="68" t="s">
        <v>1050</v>
      </c>
      <c r="C38" s="16"/>
      <c r="L38" s="30"/>
    </row>
    <row r="39" spans="1:12" x14ac:dyDescent="0.3">
      <c r="A39" s="67" t="str">
        <f>Tabla10[[#This Row],[TIPO_P]] &amp; "|" &amp;Tabla10[[#This Row],[Agrupación]] &amp; "|" &amp; Tabla10[[#This Row],[Sexo]] &amp; "|" &amp; Tabla10[[#This Row],[Entidad]]</f>
        <v>PS|||</v>
      </c>
      <c r="B39" s="68" t="s">
        <v>1050</v>
      </c>
      <c r="C39" s="16"/>
      <c r="L39" s="30"/>
    </row>
    <row r="40" spans="1:12" x14ac:dyDescent="0.3">
      <c r="A40" s="67" t="str">
        <f>Tabla10[[#This Row],[TIPO_P]] &amp; "|" &amp;Tabla10[[#This Row],[Agrupación]] &amp; "|" &amp; Tabla10[[#This Row],[Sexo]] &amp; "|" &amp; Tabla10[[#This Row],[Entidad]]</f>
        <v>PS|||</v>
      </c>
      <c r="B40" s="68" t="s">
        <v>1050</v>
      </c>
      <c r="C40" s="16"/>
      <c r="L40" s="30"/>
    </row>
    <row r="41" spans="1:12" x14ac:dyDescent="0.3">
      <c r="A41" s="67" t="str">
        <f>Tabla10[[#This Row],[TIPO_P]] &amp; "|" &amp;Tabla10[[#This Row],[Agrupación]] &amp; "|" &amp; Tabla10[[#This Row],[Sexo]] &amp; "|" &amp; Tabla10[[#This Row],[Entidad]]</f>
        <v>PS|||</v>
      </c>
      <c r="B41" s="68" t="s">
        <v>1050</v>
      </c>
      <c r="C41" s="16"/>
      <c r="L41" s="30"/>
    </row>
    <row r="42" spans="1:12" x14ac:dyDescent="0.3">
      <c r="A42" s="67" t="str">
        <f>Tabla10[[#This Row],[TIPO_P]] &amp; "|" &amp;Tabla10[[#This Row],[Agrupación]] &amp; "|" &amp; Tabla10[[#This Row],[Sexo]] &amp; "|" &amp; Tabla10[[#This Row],[Entidad]]</f>
        <v>PS|||</v>
      </c>
      <c r="B42" s="68" t="s">
        <v>1050</v>
      </c>
      <c r="C42" s="16"/>
      <c r="L42" s="30"/>
    </row>
    <row r="43" spans="1:12" x14ac:dyDescent="0.3">
      <c r="A43" s="67" t="str">
        <f>Tabla10[[#This Row],[TIPO_P]] &amp; "|" &amp;Tabla10[[#This Row],[Agrupación]] &amp; "|" &amp; Tabla10[[#This Row],[Sexo]] &amp; "|" &amp; Tabla10[[#This Row],[Entidad]]</f>
        <v>PS|||</v>
      </c>
      <c r="B43" s="68" t="s">
        <v>1050</v>
      </c>
      <c r="C43" s="16"/>
      <c r="L43" s="30"/>
    </row>
    <row r="44" spans="1:12" x14ac:dyDescent="0.3">
      <c r="A44" s="67" t="str">
        <f>Tabla10[[#This Row],[TIPO_P]] &amp; "|" &amp;Tabla10[[#This Row],[Agrupación]] &amp; "|" &amp; Tabla10[[#This Row],[Sexo]] &amp; "|" &amp; Tabla10[[#This Row],[Entidad]]</f>
        <v>PS|||</v>
      </c>
      <c r="B44" s="68" t="s">
        <v>1050</v>
      </c>
      <c r="C44" s="16"/>
      <c r="L44" s="30"/>
    </row>
    <row r="45" spans="1:12" x14ac:dyDescent="0.3">
      <c r="A45" s="67" t="str">
        <f>Tabla10[[#This Row],[TIPO_P]] &amp; "|" &amp;Tabla10[[#This Row],[Agrupación]] &amp; "|" &amp; Tabla10[[#This Row],[Sexo]] &amp; "|" &amp; Tabla10[[#This Row],[Entidad]]</f>
        <v>PS|||</v>
      </c>
      <c r="B45" s="68" t="s">
        <v>1050</v>
      </c>
      <c r="C45" s="16"/>
      <c r="L45" s="30"/>
    </row>
    <row r="46" spans="1:12" x14ac:dyDescent="0.3">
      <c r="A46" s="67" t="str">
        <f>Tabla10[[#This Row],[TIPO_P]] &amp; "|" &amp;Tabla10[[#This Row],[Agrupación]] &amp; "|" &amp; Tabla10[[#This Row],[Sexo]] &amp; "|" &amp; Tabla10[[#This Row],[Entidad]]</f>
        <v>PS|||</v>
      </c>
      <c r="B46" s="68" t="s">
        <v>1050</v>
      </c>
      <c r="C46" s="16"/>
      <c r="L46" s="30"/>
    </row>
    <row r="47" spans="1:12" x14ac:dyDescent="0.3">
      <c r="A47" s="67" t="str">
        <f>Tabla10[[#This Row],[TIPO_P]] &amp; "|" &amp;Tabla10[[#This Row],[Agrupación]] &amp; "|" &amp; Tabla10[[#This Row],[Sexo]] &amp; "|" &amp; Tabla10[[#This Row],[Entidad]]</f>
        <v>PS|||</v>
      </c>
      <c r="B47" s="68" t="s">
        <v>1050</v>
      </c>
      <c r="C47" s="16"/>
      <c r="L47" s="30"/>
    </row>
    <row r="48" spans="1:12" x14ac:dyDescent="0.3">
      <c r="A48" s="67" t="str">
        <f>Tabla10[[#This Row],[TIPO_P]] &amp; "|" &amp;Tabla10[[#This Row],[Agrupación]] &amp; "|" &amp; Tabla10[[#This Row],[Sexo]] &amp; "|" &amp; Tabla10[[#This Row],[Entidad]]</f>
        <v>PS|||</v>
      </c>
      <c r="B48" s="68" t="s">
        <v>1050</v>
      </c>
      <c r="C48" s="16"/>
      <c r="L48" s="30"/>
    </row>
    <row r="49" spans="1:12" x14ac:dyDescent="0.3">
      <c r="A49" s="67" t="str">
        <f>Tabla10[[#This Row],[TIPO_P]] &amp; "|" &amp;Tabla10[[#This Row],[Agrupación]] &amp; "|" &amp; Tabla10[[#This Row],[Sexo]] &amp; "|" &amp; Tabla10[[#This Row],[Entidad]]</f>
        <v>PS|||</v>
      </c>
      <c r="B49" s="68" t="s">
        <v>1050</v>
      </c>
      <c r="C49" s="16"/>
      <c r="L49" s="30"/>
    </row>
    <row r="50" spans="1:12" x14ac:dyDescent="0.3">
      <c r="A50" s="67" t="str">
        <f>Tabla10[[#This Row],[TIPO_P]] &amp; "|" &amp;Tabla10[[#This Row],[Agrupación]] &amp; "|" &amp; Tabla10[[#This Row],[Sexo]] &amp; "|" &amp; Tabla10[[#This Row],[Entidad]]</f>
        <v>PS|||</v>
      </c>
      <c r="B50" s="68" t="s">
        <v>1050</v>
      </c>
      <c r="C50" s="16"/>
      <c r="L50" s="30"/>
    </row>
    <row r="51" spans="1:12" x14ac:dyDescent="0.3">
      <c r="A51" s="67" t="str">
        <f>Tabla10[[#This Row],[TIPO_P]] &amp; "|" &amp;Tabla10[[#This Row],[Agrupación]] &amp; "|" &amp; Tabla10[[#This Row],[Sexo]] &amp; "|" &amp; Tabla10[[#This Row],[Entidad]]</f>
        <v>PS|||</v>
      </c>
      <c r="B51" s="68" t="s">
        <v>1050</v>
      </c>
      <c r="C51" s="16"/>
      <c r="L51" s="30"/>
    </row>
    <row r="52" spans="1:12" x14ac:dyDescent="0.3">
      <c r="A52" s="67" t="str">
        <f>Tabla10[[#This Row],[TIPO_P]] &amp; "|" &amp;Tabla10[[#This Row],[Agrupación]] &amp; "|" &amp; Tabla10[[#This Row],[Sexo]] &amp; "|" &amp; Tabla10[[#This Row],[Entidad]]</f>
        <v>PS|||</v>
      </c>
      <c r="B52" s="68" t="s">
        <v>1050</v>
      </c>
      <c r="C52" s="16"/>
      <c r="L52" s="30"/>
    </row>
    <row r="53" spans="1:12" x14ac:dyDescent="0.3">
      <c r="A53" s="67" t="str">
        <f>Tabla10[[#This Row],[TIPO_P]] &amp; "|" &amp;Tabla10[[#This Row],[Agrupación]] &amp; "|" &amp; Tabla10[[#This Row],[Sexo]] &amp; "|" &amp; Tabla10[[#This Row],[Entidad]]</f>
        <v>PS|||</v>
      </c>
      <c r="B53" s="68" t="s">
        <v>1050</v>
      </c>
      <c r="C53" s="16"/>
      <c r="L53" s="30"/>
    </row>
    <row r="54" spans="1:12" x14ac:dyDescent="0.3">
      <c r="A54" s="67" t="str">
        <f>Tabla10[[#This Row],[TIPO_P]] &amp; "|" &amp;Tabla10[[#This Row],[Agrupación]] &amp; "|" &amp; Tabla10[[#This Row],[Sexo]] &amp; "|" &amp; Tabla10[[#This Row],[Entidad]]</f>
        <v>PS|||</v>
      </c>
      <c r="B54" s="68" t="s">
        <v>1050</v>
      </c>
      <c r="C54" s="16"/>
      <c r="L54" s="30"/>
    </row>
    <row r="55" spans="1:12" x14ac:dyDescent="0.3">
      <c r="A55" s="67" t="str">
        <f>Tabla10[[#This Row],[TIPO_P]] &amp; "|" &amp;Tabla10[[#This Row],[Agrupación]] &amp; "|" &amp; Tabla10[[#This Row],[Sexo]] &amp; "|" &amp; Tabla10[[#This Row],[Entidad]]</f>
        <v>PS|||</v>
      </c>
      <c r="B55" s="68" t="s">
        <v>1050</v>
      </c>
      <c r="C55" s="16"/>
      <c r="L55" s="30"/>
    </row>
    <row r="56" spans="1:12" x14ac:dyDescent="0.3">
      <c r="A56" s="67" t="str">
        <f>Tabla10[[#This Row],[TIPO_P]] &amp; "|" &amp;Tabla10[[#This Row],[Agrupación]] &amp; "|" &amp; Tabla10[[#This Row],[Sexo]] &amp; "|" &amp; Tabla10[[#This Row],[Entidad]]</f>
        <v>PS|||</v>
      </c>
      <c r="B56" s="68" t="s">
        <v>1050</v>
      </c>
      <c r="C56" s="16"/>
      <c r="L56" s="30"/>
    </row>
    <row r="57" spans="1:12" x14ac:dyDescent="0.3">
      <c r="A57" s="67" t="str">
        <f>Tabla10[[#This Row],[TIPO_P]] &amp; "|" &amp;Tabla10[[#This Row],[Agrupación]] &amp; "|" &amp; Tabla10[[#This Row],[Sexo]] &amp; "|" &amp; Tabla10[[#This Row],[Entidad]]</f>
        <v>PS|||</v>
      </c>
      <c r="B57" s="68" t="s">
        <v>1050</v>
      </c>
      <c r="C57" s="16"/>
      <c r="L57" s="30"/>
    </row>
    <row r="58" spans="1:12" x14ac:dyDescent="0.3">
      <c r="A58" s="67" t="str">
        <f>Tabla10[[#This Row],[TIPO_P]] &amp; "|" &amp;Tabla10[[#This Row],[Agrupación]] &amp; "|" &amp; Tabla10[[#This Row],[Sexo]] &amp; "|" &amp; Tabla10[[#This Row],[Entidad]]</f>
        <v>PS|||</v>
      </c>
      <c r="B58" s="68" t="s">
        <v>1050</v>
      </c>
      <c r="C58" s="16"/>
      <c r="L58" s="30"/>
    </row>
    <row r="59" spans="1:12" x14ac:dyDescent="0.3">
      <c r="A59" s="67" t="str">
        <f>Tabla10[[#This Row],[TIPO_P]] &amp; "|" &amp;Tabla10[[#This Row],[Agrupación]] &amp; "|" &amp; Tabla10[[#This Row],[Sexo]] &amp; "|" &amp; Tabla10[[#This Row],[Entidad]]</f>
        <v>PS|||</v>
      </c>
      <c r="B59" s="68" t="s">
        <v>1050</v>
      </c>
      <c r="C59" s="16"/>
      <c r="L59" s="30"/>
    </row>
    <row r="60" spans="1:12" x14ac:dyDescent="0.3">
      <c r="A60" s="67" t="str">
        <f>Tabla10[[#This Row],[TIPO_P]] &amp; "|" &amp;Tabla10[[#This Row],[Agrupación]] &amp; "|" &amp; Tabla10[[#This Row],[Sexo]] &amp; "|" &amp; Tabla10[[#This Row],[Entidad]]</f>
        <v>PS|||</v>
      </c>
      <c r="B60" s="68" t="s">
        <v>1050</v>
      </c>
      <c r="C60" s="16"/>
      <c r="L60" s="30"/>
    </row>
    <row r="61" spans="1:12" x14ac:dyDescent="0.3">
      <c r="A61" s="67" t="str">
        <f>Tabla10[[#This Row],[TIPO_P]] &amp; "|" &amp;Tabla10[[#This Row],[Agrupación]] &amp; "|" &amp; Tabla10[[#This Row],[Sexo]] &amp; "|" &amp; Tabla10[[#This Row],[Entidad]]</f>
        <v>PS|||</v>
      </c>
      <c r="B61" s="68" t="s">
        <v>1050</v>
      </c>
      <c r="C61" s="16"/>
      <c r="L61" s="30"/>
    </row>
    <row r="62" spans="1:12" x14ac:dyDescent="0.3">
      <c r="A62" s="67" t="str">
        <f>Tabla10[[#This Row],[TIPO_P]] &amp; "|" &amp;Tabla10[[#This Row],[Agrupación]] &amp; "|" &amp; Tabla10[[#This Row],[Sexo]] &amp; "|" &amp; Tabla10[[#This Row],[Entidad]]</f>
        <v>PS|||</v>
      </c>
      <c r="B62" s="68" t="s">
        <v>1050</v>
      </c>
      <c r="C62" s="16"/>
      <c r="L62" s="30"/>
    </row>
    <row r="63" spans="1:12" x14ac:dyDescent="0.3">
      <c r="A63" s="67" t="str">
        <f>Tabla10[[#This Row],[TIPO_P]] &amp; "|" &amp;Tabla10[[#This Row],[Agrupación]] &amp; "|" &amp; Tabla10[[#This Row],[Sexo]] &amp; "|" &amp; Tabla10[[#This Row],[Entidad]]</f>
        <v>PS|||</v>
      </c>
      <c r="B63" s="68" t="s">
        <v>1050</v>
      </c>
      <c r="C63" s="16"/>
      <c r="L63" s="30"/>
    </row>
    <row r="64" spans="1:12" x14ac:dyDescent="0.3">
      <c r="A64" s="67" t="str">
        <f>Tabla10[[#This Row],[TIPO_P]] &amp; "|" &amp;Tabla10[[#This Row],[Agrupación]] &amp; "|" &amp; Tabla10[[#This Row],[Sexo]] &amp; "|" &amp; Tabla10[[#This Row],[Entidad]]</f>
        <v>PS|||</v>
      </c>
      <c r="B64" s="68" t="s">
        <v>1050</v>
      </c>
      <c r="C64" s="16"/>
      <c r="L64" s="30"/>
    </row>
    <row r="65" spans="1:12" ht="15" thickBot="1" x14ac:dyDescent="0.35">
      <c r="A65" s="69" t="str">
        <f>Tabla10[[#This Row],[TIPO_P]] &amp; "|" &amp;Tabla10[[#This Row],[Agrupación]] &amp; "|" &amp; Tabla10[[#This Row],[Sexo]] &amp; "|" &amp; Tabla10[[#This Row],[Entidad]]</f>
        <v>PS|||</v>
      </c>
      <c r="B65" s="70" t="s">
        <v>1050</v>
      </c>
      <c r="C65" s="16"/>
      <c r="L65" s="30"/>
    </row>
    <row r="66" spans="1:12" x14ac:dyDescent="0.3">
      <c r="A66" s="67" t="str">
        <f>Tabla10[[#This Row],[TIPO_P]] &amp; "|" &amp;Tabla10[[#This Row],[Agrupación]] &amp; "|" &amp; Tabla10[[#This Row],[Sexo]] &amp; "|" &amp; Tabla10[[#This Row],[Entidad]]</f>
        <v>PI|||</v>
      </c>
      <c r="B66" s="68" t="s">
        <v>1046</v>
      </c>
      <c r="C66" s="71"/>
      <c r="D66" s="29"/>
      <c r="E66" s="29"/>
      <c r="F66" s="29"/>
      <c r="G66" s="29"/>
      <c r="H66" s="29"/>
      <c r="I66" s="29"/>
      <c r="J66" s="29"/>
      <c r="K66" s="29"/>
      <c r="L66" s="20"/>
    </row>
    <row r="67" spans="1:12" x14ac:dyDescent="0.3">
      <c r="A67" s="67" t="str">
        <f>Tabla10[[#This Row],[TIPO_P]] &amp; "|" &amp;Tabla10[[#This Row],[Agrupación]] &amp; "|" &amp; Tabla10[[#This Row],[Sexo]] &amp; "|" &amp; Tabla10[[#This Row],[Entidad]]</f>
        <v>PI|||</v>
      </c>
      <c r="B67" s="68" t="s">
        <v>1046</v>
      </c>
      <c r="C67" s="72"/>
      <c r="L67" s="30"/>
    </row>
    <row r="68" spans="1:12" x14ac:dyDescent="0.3">
      <c r="A68" s="67" t="str">
        <f>Tabla10[[#This Row],[TIPO_P]] &amp; "|" &amp;Tabla10[[#This Row],[Agrupación]] &amp; "|" &amp; Tabla10[[#This Row],[Sexo]] &amp; "|" &amp; Tabla10[[#This Row],[Entidad]]</f>
        <v>PI|||</v>
      </c>
      <c r="B68" s="68" t="s">
        <v>1046</v>
      </c>
      <c r="C68" s="72"/>
      <c r="L68" s="30"/>
    </row>
    <row r="69" spans="1:12" x14ac:dyDescent="0.3">
      <c r="A69" s="67" t="str">
        <f>Tabla10[[#This Row],[TIPO_P]] &amp; "|" &amp;Tabla10[[#This Row],[Agrupación]] &amp; "|" &amp; Tabla10[[#This Row],[Sexo]] &amp; "|" &amp; Tabla10[[#This Row],[Entidad]]</f>
        <v>PI|||</v>
      </c>
      <c r="B69" s="68" t="s">
        <v>1046</v>
      </c>
      <c r="C69" s="72"/>
      <c r="L69" s="30"/>
    </row>
    <row r="70" spans="1:12" x14ac:dyDescent="0.3">
      <c r="A70" s="67" t="str">
        <f>Tabla10[[#This Row],[TIPO_P]] &amp; "|" &amp;Tabla10[[#This Row],[Agrupación]] &amp; "|" &amp; Tabla10[[#This Row],[Sexo]] &amp; "|" &amp; Tabla10[[#This Row],[Entidad]]</f>
        <v>PI|||</v>
      </c>
      <c r="B70" s="68" t="s">
        <v>1046</v>
      </c>
      <c r="C70" s="72"/>
      <c r="L70" s="30"/>
    </row>
    <row r="71" spans="1:12" x14ac:dyDescent="0.3">
      <c r="A71" s="67" t="str">
        <f>Tabla10[[#This Row],[TIPO_P]] &amp; "|" &amp;Tabla10[[#This Row],[Agrupación]] &amp; "|" &amp; Tabla10[[#This Row],[Sexo]] &amp; "|" &amp; Tabla10[[#This Row],[Entidad]]</f>
        <v>PI|||</v>
      </c>
      <c r="B71" s="68" t="s">
        <v>1046</v>
      </c>
      <c r="C71" s="72"/>
      <c r="L71" s="30"/>
    </row>
    <row r="72" spans="1:12" x14ac:dyDescent="0.3">
      <c r="A72" s="67" t="str">
        <f>Tabla10[[#This Row],[TIPO_P]] &amp; "|" &amp;Tabla10[[#This Row],[Agrupación]] &amp; "|" &amp; Tabla10[[#This Row],[Sexo]] &amp; "|" &amp; Tabla10[[#This Row],[Entidad]]</f>
        <v>PI|||</v>
      </c>
      <c r="B72" s="68" t="s">
        <v>1046</v>
      </c>
      <c r="C72" s="72"/>
      <c r="L72" s="30"/>
    </row>
    <row r="73" spans="1:12" x14ac:dyDescent="0.3">
      <c r="A73" s="67" t="str">
        <f>Tabla10[[#This Row],[TIPO_P]] &amp; "|" &amp;Tabla10[[#This Row],[Agrupación]] &amp; "|" &amp; Tabla10[[#This Row],[Sexo]] &amp; "|" &amp; Tabla10[[#This Row],[Entidad]]</f>
        <v>PI|||</v>
      </c>
      <c r="B73" s="68" t="s">
        <v>1046</v>
      </c>
      <c r="C73" s="72"/>
      <c r="L73" s="30"/>
    </row>
    <row r="74" spans="1:12" x14ac:dyDescent="0.3">
      <c r="A74" s="67" t="str">
        <f>Tabla10[[#This Row],[TIPO_P]] &amp; "|" &amp;Tabla10[[#This Row],[Agrupación]] &amp; "|" &amp; Tabla10[[#This Row],[Sexo]] &amp; "|" &amp; Tabla10[[#This Row],[Entidad]]</f>
        <v>PI|||</v>
      </c>
      <c r="B74" s="68" t="s">
        <v>1046</v>
      </c>
      <c r="C74" s="72"/>
      <c r="L74" s="30"/>
    </row>
    <row r="75" spans="1:12" x14ac:dyDescent="0.3">
      <c r="A75" s="67" t="str">
        <f>Tabla10[[#This Row],[TIPO_P]] &amp; "|" &amp;Tabla10[[#This Row],[Agrupación]] &amp; "|" &amp; Tabla10[[#This Row],[Sexo]] &amp; "|" &amp; Tabla10[[#This Row],[Entidad]]</f>
        <v>PI|||</v>
      </c>
      <c r="B75" s="68" t="s">
        <v>1046</v>
      </c>
      <c r="C75" s="72"/>
      <c r="L75" s="30"/>
    </row>
    <row r="76" spans="1:12" x14ac:dyDescent="0.3">
      <c r="A76" s="67" t="str">
        <f>Tabla10[[#This Row],[TIPO_P]] &amp; "|" &amp;Tabla10[[#This Row],[Agrupación]] &amp; "|" &amp; Tabla10[[#This Row],[Sexo]] &amp; "|" &amp; Tabla10[[#This Row],[Entidad]]</f>
        <v>PI|||</v>
      </c>
      <c r="B76" s="68" t="s">
        <v>1046</v>
      </c>
      <c r="C76" s="72"/>
      <c r="L76" s="30"/>
    </row>
    <row r="77" spans="1:12" x14ac:dyDescent="0.3">
      <c r="A77" s="67" t="str">
        <f>Tabla10[[#This Row],[TIPO_P]] &amp; "|" &amp;Tabla10[[#This Row],[Agrupación]] &amp; "|" &amp; Tabla10[[#This Row],[Sexo]] &amp; "|" &amp; Tabla10[[#This Row],[Entidad]]</f>
        <v>PI|||</v>
      </c>
      <c r="B77" s="68" t="s">
        <v>1046</v>
      </c>
      <c r="C77" s="72"/>
      <c r="L77" s="30"/>
    </row>
    <row r="78" spans="1:12" x14ac:dyDescent="0.3">
      <c r="A78" s="67" t="str">
        <f>Tabla10[[#This Row],[TIPO_P]] &amp; "|" &amp;Tabla10[[#This Row],[Agrupación]] &amp; "|" &amp; Tabla10[[#This Row],[Sexo]] &amp; "|" &amp; Tabla10[[#This Row],[Entidad]]</f>
        <v>PI|||</v>
      </c>
      <c r="B78" s="68" t="s">
        <v>1046</v>
      </c>
      <c r="C78" s="72"/>
      <c r="L78" s="30"/>
    </row>
    <row r="79" spans="1:12" x14ac:dyDescent="0.3">
      <c r="A79" s="67" t="str">
        <f>Tabla10[[#This Row],[TIPO_P]] &amp; "|" &amp;Tabla10[[#This Row],[Agrupación]] &amp; "|" &amp; Tabla10[[#This Row],[Sexo]] &amp; "|" &amp; Tabla10[[#This Row],[Entidad]]</f>
        <v>PI|||</v>
      </c>
      <c r="B79" s="68" t="s">
        <v>1046</v>
      </c>
      <c r="C79" s="72"/>
      <c r="L79" s="30"/>
    </row>
    <row r="80" spans="1:12" x14ac:dyDescent="0.3">
      <c r="A80" s="67" t="str">
        <f>Tabla10[[#This Row],[TIPO_P]] &amp; "|" &amp;Tabla10[[#This Row],[Agrupación]] &amp; "|" &amp; Tabla10[[#This Row],[Sexo]] &amp; "|" &amp; Tabla10[[#This Row],[Entidad]]</f>
        <v>PI|||</v>
      </c>
      <c r="B80" s="68" t="s">
        <v>1046</v>
      </c>
      <c r="C80" s="72"/>
      <c r="L80" s="30"/>
    </row>
    <row r="81" spans="1:12" x14ac:dyDescent="0.3">
      <c r="A81" s="67" t="str">
        <f>Tabla10[[#This Row],[TIPO_P]] &amp; "|" &amp;Tabla10[[#This Row],[Agrupación]] &amp; "|" &amp; Tabla10[[#This Row],[Sexo]] &amp; "|" &amp; Tabla10[[#This Row],[Entidad]]</f>
        <v>PI|||</v>
      </c>
      <c r="B81" s="68" t="s">
        <v>1046</v>
      </c>
      <c r="C81" s="72"/>
      <c r="L81" s="30"/>
    </row>
    <row r="82" spans="1:12" x14ac:dyDescent="0.3">
      <c r="A82" s="67" t="str">
        <f>Tabla10[[#This Row],[TIPO_P]] &amp; "|" &amp;Tabla10[[#This Row],[Agrupación]] &amp; "|" &amp; Tabla10[[#This Row],[Sexo]] &amp; "|" &amp; Tabla10[[#This Row],[Entidad]]</f>
        <v>PI|||</v>
      </c>
      <c r="B82" s="68" t="s">
        <v>1046</v>
      </c>
      <c r="C82" s="72"/>
      <c r="L82" s="30"/>
    </row>
    <row r="83" spans="1:12" x14ac:dyDescent="0.3">
      <c r="A83" s="67" t="str">
        <f>Tabla10[[#This Row],[TIPO_P]] &amp; "|" &amp;Tabla10[[#This Row],[Agrupación]] &amp; "|" &amp; Tabla10[[#This Row],[Sexo]] &amp; "|" &amp; Tabla10[[#This Row],[Entidad]]</f>
        <v>PI|||</v>
      </c>
      <c r="B83" s="68" t="s">
        <v>1046</v>
      </c>
      <c r="C83" s="72"/>
      <c r="L83" s="30"/>
    </row>
    <row r="84" spans="1:12" x14ac:dyDescent="0.3">
      <c r="A84" s="67" t="str">
        <f>Tabla10[[#This Row],[TIPO_P]] &amp; "|" &amp;Tabla10[[#This Row],[Agrupación]] &amp; "|" &amp; Tabla10[[#This Row],[Sexo]] &amp; "|" &amp; Tabla10[[#This Row],[Entidad]]</f>
        <v>PI|||</v>
      </c>
      <c r="B84" s="68" t="s">
        <v>1046</v>
      </c>
      <c r="C84" s="72"/>
      <c r="L84" s="30"/>
    </row>
    <row r="85" spans="1:12" x14ac:dyDescent="0.3">
      <c r="A85" s="67" t="str">
        <f>Tabla10[[#This Row],[TIPO_P]] &amp; "|" &amp;Tabla10[[#This Row],[Agrupación]] &amp; "|" &amp; Tabla10[[#This Row],[Sexo]] &amp; "|" &amp; Tabla10[[#This Row],[Entidad]]</f>
        <v>PI|||</v>
      </c>
      <c r="B85" s="68" t="s">
        <v>1046</v>
      </c>
      <c r="C85" s="72"/>
      <c r="L85" s="30"/>
    </row>
    <row r="86" spans="1:12" x14ac:dyDescent="0.3">
      <c r="A86" s="67" t="str">
        <f>Tabla10[[#This Row],[TIPO_P]] &amp; "|" &amp;Tabla10[[#This Row],[Agrupación]] &amp; "|" &amp; Tabla10[[#This Row],[Sexo]] &amp; "|" &amp; Tabla10[[#This Row],[Entidad]]</f>
        <v>PI|||</v>
      </c>
      <c r="B86" s="68" t="s">
        <v>1046</v>
      </c>
      <c r="C86" s="72"/>
      <c r="L86" s="30"/>
    </row>
    <row r="87" spans="1:12" x14ac:dyDescent="0.3">
      <c r="A87" s="67" t="str">
        <f>Tabla10[[#This Row],[TIPO_P]] &amp; "|" &amp;Tabla10[[#This Row],[Agrupación]] &amp; "|" &amp; Tabla10[[#This Row],[Sexo]] &amp; "|" &amp; Tabla10[[#This Row],[Entidad]]</f>
        <v>PI|||</v>
      </c>
      <c r="B87" s="68" t="s">
        <v>1046</v>
      </c>
      <c r="C87" s="72"/>
      <c r="L87" s="30"/>
    </row>
    <row r="88" spans="1:12" x14ac:dyDescent="0.3">
      <c r="A88" s="67" t="str">
        <f>Tabla10[[#This Row],[TIPO_P]] &amp; "|" &amp;Tabla10[[#This Row],[Agrupación]] &amp; "|" &amp; Tabla10[[#This Row],[Sexo]] &amp; "|" &amp; Tabla10[[#This Row],[Entidad]]</f>
        <v>PI|||</v>
      </c>
      <c r="B88" s="68" t="s">
        <v>1046</v>
      </c>
      <c r="C88" s="72"/>
      <c r="L88" s="30"/>
    </row>
    <row r="89" spans="1:12" x14ac:dyDescent="0.3">
      <c r="A89" s="67" t="str">
        <f>Tabla10[[#This Row],[TIPO_P]] &amp; "|" &amp;Tabla10[[#This Row],[Agrupación]] &amp; "|" &amp; Tabla10[[#This Row],[Sexo]] &amp; "|" &amp; Tabla10[[#This Row],[Entidad]]</f>
        <v>PI|||</v>
      </c>
      <c r="B89" s="68" t="s">
        <v>1046</v>
      </c>
      <c r="C89" s="72"/>
      <c r="L89" s="30"/>
    </row>
    <row r="90" spans="1:12" x14ac:dyDescent="0.3">
      <c r="A90" s="67" t="str">
        <f>Tabla10[[#This Row],[TIPO_P]] &amp; "|" &amp;Tabla10[[#This Row],[Agrupación]] &amp; "|" &amp; Tabla10[[#This Row],[Sexo]] &amp; "|" &amp; Tabla10[[#This Row],[Entidad]]</f>
        <v>PI|||</v>
      </c>
      <c r="B90" s="68" t="s">
        <v>1046</v>
      </c>
      <c r="C90" s="72"/>
      <c r="L90" s="30"/>
    </row>
    <row r="91" spans="1:12" x14ac:dyDescent="0.3">
      <c r="A91" s="67" t="str">
        <f>Tabla10[[#This Row],[TIPO_P]] &amp; "|" &amp;Tabla10[[#This Row],[Agrupación]] &amp; "|" &amp; Tabla10[[#This Row],[Sexo]] &amp; "|" &amp; Tabla10[[#This Row],[Entidad]]</f>
        <v>PI|||</v>
      </c>
      <c r="B91" s="68" t="s">
        <v>1046</v>
      </c>
      <c r="C91" s="72"/>
      <c r="L91" s="30"/>
    </row>
    <row r="92" spans="1:12" x14ac:dyDescent="0.3">
      <c r="A92" s="67" t="str">
        <f>Tabla10[[#This Row],[TIPO_P]] &amp; "|" &amp;Tabla10[[#This Row],[Agrupación]] &amp; "|" &amp; Tabla10[[#This Row],[Sexo]] &amp; "|" &amp; Tabla10[[#This Row],[Entidad]]</f>
        <v>PI|||</v>
      </c>
      <c r="B92" s="68" t="s">
        <v>1046</v>
      </c>
      <c r="C92" s="72"/>
      <c r="L92" s="30"/>
    </row>
    <row r="93" spans="1:12" x14ac:dyDescent="0.3">
      <c r="A93" s="67" t="str">
        <f>Tabla10[[#This Row],[TIPO_P]] &amp; "|" &amp;Tabla10[[#This Row],[Agrupación]] &amp; "|" &amp; Tabla10[[#This Row],[Sexo]] &amp; "|" &amp; Tabla10[[#This Row],[Entidad]]</f>
        <v>PI|||</v>
      </c>
      <c r="B93" s="68" t="s">
        <v>1046</v>
      </c>
      <c r="C93" s="72"/>
      <c r="L93" s="30"/>
    </row>
    <row r="94" spans="1:12" x14ac:dyDescent="0.3">
      <c r="A94" s="67" t="str">
        <f>Tabla10[[#This Row],[TIPO_P]] &amp; "|" &amp;Tabla10[[#This Row],[Agrupación]] &amp; "|" &amp; Tabla10[[#This Row],[Sexo]] &amp; "|" &amp; Tabla10[[#This Row],[Entidad]]</f>
        <v>PI|||</v>
      </c>
      <c r="B94" s="68" t="s">
        <v>1046</v>
      </c>
      <c r="C94" s="72"/>
      <c r="L94" s="30"/>
    </row>
    <row r="95" spans="1:12" x14ac:dyDescent="0.3">
      <c r="A95" s="67" t="str">
        <f>Tabla10[[#This Row],[TIPO_P]] &amp; "|" &amp;Tabla10[[#This Row],[Agrupación]] &amp; "|" &amp; Tabla10[[#This Row],[Sexo]] &amp; "|" &amp; Tabla10[[#This Row],[Entidad]]</f>
        <v>PI|||</v>
      </c>
      <c r="B95" s="68" t="s">
        <v>1046</v>
      </c>
      <c r="C95" s="72"/>
      <c r="L95" s="30"/>
    </row>
    <row r="96" spans="1:12" x14ac:dyDescent="0.3">
      <c r="A96" s="67" t="str">
        <f>Tabla10[[#This Row],[TIPO_P]] &amp; "|" &amp;Tabla10[[#This Row],[Agrupación]] &amp; "|" &amp; Tabla10[[#This Row],[Sexo]] &amp; "|" &amp; Tabla10[[#This Row],[Entidad]]</f>
        <v>PI|||</v>
      </c>
      <c r="B96" s="68" t="s">
        <v>1046</v>
      </c>
      <c r="C96" s="72"/>
      <c r="L96" s="30"/>
    </row>
    <row r="97" spans="1:12" x14ac:dyDescent="0.3">
      <c r="A97" s="67" t="str">
        <f>Tabla10[[#This Row],[TIPO_P]] &amp; "|" &amp;Tabla10[[#This Row],[Agrupación]] &amp; "|" &amp; Tabla10[[#This Row],[Sexo]] &amp; "|" &amp; Tabla10[[#This Row],[Entidad]]</f>
        <v>PI|||</v>
      </c>
      <c r="B97" s="68" t="s">
        <v>1046</v>
      </c>
      <c r="C97" s="72"/>
      <c r="L97" s="30"/>
    </row>
    <row r="98" spans="1:12" x14ac:dyDescent="0.3">
      <c r="A98" s="67" t="str">
        <f>Tabla10[[#This Row],[TIPO_P]] &amp; "|" &amp;Tabla10[[#This Row],[Agrupación]] &amp; "|" &amp; Tabla10[[#This Row],[Sexo]] &amp; "|" &amp; Tabla10[[#This Row],[Entidad]]</f>
        <v>PI|||</v>
      </c>
      <c r="B98" s="68" t="s">
        <v>1046</v>
      </c>
      <c r="C98" s="72"/>
      <c r="L98" s="30"/>
    </row>
    <row r="99" spans="1:12" x14ac:dyDescent="0.3">
      <c r="A99" s="67" t="str">
        <f>Tabla10[[#This Row],[TIPO_P]] &amp; "|" &amp;Tabla10[[#This Row],[Agrupación]] &amp; "|" &amp; Tabla10[[#This Row],[Sexo]] &amp; "|" &amp; Tabla10[[#This Row],[Entidad]]</f>
        <v>PI|||</v>
      </c>
      <c r="B99" s="68" t="s">
        <v>1046</v>
      </c>
      <c r="C99" s="72"/>
      <c r="L99" s="30"/>
    </row>
    <row r="100" spans="1:12" x14ac:dyDescent="0.3">
      <c r="A100" s="67" t="str">
        <f>Tabla10[[#This Row],[TIPO_P]] &amp; "|" &amp;Tabla10[[#This Row],[Agrupación]] &amp; "|" &amp; Tabla10[[#This Row],[Sexo]] &amp; "|" &amp; Tabla10[[#This Row],[Entidad]]</f>
        <v>PI|||</v>
      </c>
      <c r="B100" s="68" t="s">
        <v>1046</v>
      </c>
      <c r="C100" s="72"/>
      <c r="L100" s="30"/>
    </row>
    <row r="101" spans="1:12" x14ac:dyDescent="0.3">
      <c r="A101" s="67" t="str">
        <f>Tabla10[[#This Row],[TIPO_P]] &amp; "|" &amp;Tabla10[[#This Row],[Agrupación]] &amp; "|" &amp; Tabla10[[#This Row],[Sexo]] &amp; "|" &amp; Tabla10[[#This Row],[Entidad]]</f>
        <v>PI|||</v>
      </c>
      <c r="B101" s="68" t="s">
        <v>1046</v>
      </c>
      <c r="C101" s="72"/>
      <c r="L101" s="30"/>
    </row>
    <row r="102" spans="1:12" x14ac:dyDescent="0.3">
      <c r="A102" s="67" t="str">
        <f>Tabla10[[#This Row],[TIPO_P]] &amp; "|" &amp;Tabla10[[#This Row],[Agrupación]] &amp; "|" &amp; Tabla10[[#This Row],[Sexo]] &amp; "|" &amp; Tabla10[[#This Row],[Entidad]]</f>
        <v>PI|||</v>
      </c>
      <c r="B102" s="68" t="s">
        <v>1046</v>
      </c>
      <c r="C102" s="72"/>
      <c r="L102" s="30"/>
    </row>
    <row r="103" spans="1:12" x14ac:dyDescent="0.3">
      <c r="A103" s="67" t="str">
        <f>Tabla10[[#This Row],[TIPO_P]] &amp; "|" &amp;Tabla10[[#This Row],[Agrupación]] &amp; "|" &amp; Tabla10[[#This Row],[Sexo]] &amp; "|" &amp; Tabla10[[#This Row],[Entidad]]</f>
        <v>PI|||</v>
      </c>
      <c r="B103" s="68" t="s">
        <v>1046</v>
      </c>
      <c r="C103" s="72"/>
      <c r="L103" s="30"/>
    </row>
    <row r="104" spans="1:12" x14ac:dyDescent="0.3">
      <c r="A104" s="67" t="str">
        <f>Tabla10[[#This Row],[TIPO_P]] &amp; "|" &amp;Tabla10[[#This Row],[Agrupación]] &amp; "|" &amp; Tabla10[[#This Row],[Sexo]] &amp; "|" &amp; Tabla10[[#This Row],[Entidad]]</f>
        <v>PI|||</v>
      </c>
      <c r="B104" s="68" t="s">
        <v>1046</v>
      </c>
      <c r="C104" s="72"/>
      <c r="L104" s="30"/>
    </row>
    <row r="105" spans="1:12" x14ac:dyDescent="0.3">
      <c r="A105" s="67" t="str">
        <f>Tabla10[[#This Row],[TIPO_P]] &amp; "|" &amp;Tabla10[[#This Row],[Agrupación]] &amp; "|" &amp; Tabla10[[#This Row],[Sexo]] &amp; "|" &amp; Tabla10[[#This Row],[Entidad]]</f>
        <v>PI|||</v>
      </c>
      <c r="B105" s="68" t="s">
        <v>1046</v>
      </c>
      <c r="C105" s="72"/>
      <c r="L105" s="30"/>
    </row>
    <row r="106" spans="1:12" x14ac:dyDescent="0.3">
      <c r="A106" s="67" t="str">
        <f>Tabla10[[#This Row],[TIPO_P]] &amp; "|" &amp;Tabla10[[#This Row],[Agrupación]] &amp; "|" &amp; Tabla10[[#This Row],[Sexo]] &amp; "|" &amp; Tabla10[[#This Row],[Entidad]]</f>
        <v>PI|||</v>
      </c>
      <c r="B106" s="68" t="s">
        <v>1046</v>
      </c>
      <c r="C106" s="72"/>
      <c r="L106" s="30"/>
    </row>
    <row r="107" spans="1:12" x14ac:dyDescent="0.3">
      <c r="A107" s="67" t="str">
        <f>Tabla10[[#This Row],[TIPO_P]] &amp; "|" &amp;Tabla10[[#This Row],[Agrupación]] &amp; "|" &amp; Tabla10[[#This Row],[Sexo]] &amp; "|" &amp; Tabla10[[#This Row],[Entidad]]</f>
        <v>PI|||</v>
      </c>
      <c r="B107" s="68" t="s">
        <v>1046</v>
      </c>
      <c r="C107" s="72"/>
      <c r="L107" s="30"/>
    </row>
    <row r="108" spans="1:12" x14ac:dyDescent="0.3">
      <c r="A108" s="67" t="str">
        <f>Tabla10[[#This Row],[TIPO_P]] &amp; "|" &amp;Tabla10[[#This Row],[Agrupación]] &amp; "|" &amp; Tabla10[[#This Row],[Sexo]] &amp; "|" &amp; Tabla10[[#This Row],[Entidad]]</f>
        <v>PI|||</v>
      </c>
      <c r="B108" s="68" t="s">
        <v>1046</v>
      </c>
      <c r="C108" s="72"/>
      <c r="L108" s="30"/>
    </row>
    <row r="109" spans="1:12" x14ac:dyDescent="0.3">
      <c r="A109" s="67" t="str">
        <f>Tabla10[[#This Row],[TIPO_P]] &amp; "|" &amp;Tabla10[[#This Row],[Agrupación]] &amp; "|" &amp; Tabla10[[#This Row],[Sexo]] &amp; "|" &amp; Tabla10[[#This Row],[Entidad]]</f>
        <v>PI|||</v>
      </c>
      <c r="B109" s="68" t="s">
        <v>1046</v>
      </c>
      <c r="C109" s="72"/>
      <c r="L109" s="30"/>
    </row>
    <row r="110" spans="1:12" x14ac:dyDescent="0.3">
      <c r="A110" s="67" t="str">
        <f>Tabla10[[#This Row],[TIPO_P]] &amp; "|" &amp;Tabla10[[#This Row],[Agrupación]] &amp; "|" &amp; Tabla10[[#This Row],[Sexo]] &amp; "|" &amp; Tabla10[[#This Row],[Entidad]]</f>
        <v>PI|||</v>
      </c>
      <c r="B110" s="68" t="s">
        <v>1046</v>
      </c>
      <c r="C110" s="72"/>
      <c r="L110" s="30"/>
    </row>
    <row r="111" spans="1:12" x14ac:dyDescent="0.3">
      <c r="A111" s="67" t="str">
        <f>Tabla10[[#This Row],[TIPO_P]] &amp; "|" &amp;Tabla10[[#This Row],[Agrupación]] &amp; "|" &amp; Tabla10[[#This Row],[Sexo]] &amp; "|" &amp; Tabla10[[#This Row],[Entidad]]</f>
        <v>PI|||</v>
      </c>
      <c r="B111" s="68" t="s">
        <v>1046</v>
      </c>
      <c r="C111" s="72"/>
      <c r="L111" s="30"/>
    </row>
    <row r="112" spans="1:12" x14ac:dyDescent="0.3">
      <c r="A112" s="67" t="str">
        <f>Tabla10[[#This Row],[TIPO_P]] &amp; "|" &amp;Tabla10[[#This Row],[Agrupación]] &amp; "|" &amp; Tabla10[[#This Row],[Sexo]] &amp; "|" &amp; Tabla10[[#This Row],[Entidad]]</f>
        <v>PI|||</v>
      </c>
      <c r="B112" s="68" t="s">
        <v>1046</v>
      </c>
      <c r="C112" s="72"/>
      <c r="L112" s="30"/>
    </row>
    <row r="113" spans="1:12" x14ac:dyDescent="0.3">
      <c r="A113" s="67" t="str">
        <f>Tabla10[[#This Row],[TIPO_P]] &amp; "|" &amp;Tabla10[[#This Row],[Agrupación]] &amp; "|" &amp; Tabla10[[#This Row],[Sexo]] &amp; "|" &amp; Tabla10[[#This Row],[Entidad]]</f>
        <v>PI|||</v>
      </c>
      <c r="B113" s="68" t="s">
        <v>1046</v>
      </c>
      <c r="C113" s="72"/>
      <c r="L113" s="30"/>
    </row>
    <row r="114" spans="1:12" x14ac:dyDescent="0.3">
      <c r="A114" s="67" t="str">
        <f>Tabla10[[#This Row],[TIPO_P]] &amp; "|" &amp;Tabla10[[#This Row],[Agrupación]] &amp; "|" &amp; Tabla10[[#This Row],[Sexo]] &amp; "|" &amp; Tabla10[[#This Row],[Entidad]]</f>
        <v>PI|||</v>
      </c>
      <c r="B114" s="68" t="s">
        <v>1046</v>
      </c>
      <c r="C114" s="72"/>
      <c r="L114" s="30"/>
    </row>
    <row r="115" spans="1:12" x14ac:dyDescent="0.3">
      <c r="A115" s="67" t="str">
        <f>Tabla10[[#This Row],[TIPO_P]] &amp; "|" &amp;Tabla10[[#This Row],[Agrupación]] &amp; "|" &amp; Tabla10[[#This Row],[Sexo]] &amp; "|" &amp; Tabla10[[#This Row],[Entidad]]</f>
        <v>PI|||</v>
      </c>
      <c r="B115" s="68" t="s">
        <v>1046</v>
      </c>
      <c r="C115" s="72"/>
      <c r="L115" s="30"/>
    </row>
    <row r="116" spans="1:12" x14ac:dyDescent="0.3">
      <c r="A116" s="67" t="str">
        <f>Tabla10[[#This Row],[TIPO_P]] &amp; "|" &amp;Tabla10[[#This Row],[Agrupación]] &amp; "|" &amp; Tabla10[[#This Row],[Sexo]] &amp; "|" &amp; Tabla10[[#This Row],[Entidad]]</f>
        <v>PI|||</v>
      </c>
      <c r="B116" s="68" t="s">
        <v>1046</v>
      </c>
      <c r="C116" s="72"/>
      <c r="L116" s="30"/>
    </row>
    <row r="117" spans="1:12" x14ac:dyDescent="0.3">
      <c r="A117" s="67" t="str">
        <f>Tabla10[[#This Row],[TIPO_P]] &amp; "|" &amp;Tabla10[[#This Row],[Agrupación]] &amp; "|" &amp; Tabla10[[#This Row],[Sexo]] &amp; "|" &amp; Tabla10[[#This Row],[Entidad]]</f>
        <v>PI|||</v>
      </c>
      <c r="B117" s="68" t="s">
        <v>1046</v>
      </c>
      <c r="C117" s="72"/>
      <c r="L117" s="30"/>
    </row>
    <row r="118" spans="1:12" x14ac:dyDescent="0.3">
      <c r="A118" s="67" t="str">
        <f>Tabla10[[#This Row],[TIPO_P]] &amp; "|" &amp;Tabla10[[#This Row],[Agrupación]] &amp; "|" &amp; Tabla10[[#This Row],[Sexo]] &amp; "|" &amp; Tabla10[[#This Row],[Entidad]]</f>
        <v>PI|||</v>
      </c>
      <c r="B118" s="68" t="s">
        <v>1046</v>
      </c>
      <c r="C118" s="72"/>
      <c r="L118" s="30"/>
    </row>
    <row r="119" spans="1:12" x14ac:dyDescent="0.3">
      <c r="A119" s="67" t="str">
        <f>Tabla10[[#This Row],[TIPO_P]] &amp; "|" &amp;Tabla10[[#This Row],[Agrupación]] &amp; "|" &amp; Tabla10[[#This Row],[Sexo]] &amp; "|" &amp; Tabla10[[#This Row],[Entidad]]</f>
        <v>PI|||</v>
      </c>
      <c r="B119" s="68" t="s">
        <v>1046</v>
      </c>
      <c r="C119" s="72"/>
      <c r="L119" s="30"/>
    </row>
    <row r="120" spans="1:12" x14ac:dyDescent="0.3">
      <c r="A120" s="67" t="str">
        <f>Tabla10[[#This Row],[TIPO_P]] &amp; "|" &amp;Tabla10[[#This Row],[Agrupación]] &amp; "|" &amp; Tabla10[[#This Row],[Sexo]] &amp; "|" &amp; Tabla10[[#This Row],[Entidad]]</f>
        <v>PI|||</v>
      </c>
      <c r="B120" s="68" t="s">
        <v>1046</v>
      </c>
      <c r="C120" s="72"/>
      <c r="L120" s="30"/>
    </row>
    <row r="121" spans="1:12" x14ac:dyDescent="0.3">
      <c r="A121" s="67" t="str">
        <f>Tabla10[[#This Row],[TIPO_P]] &amp; "|" &amp;Tabla10[[#This Row],[Agrupación]] &amp; "|" &amp; Tabla10[[#This Row],[Sexo]] &amp; "|" &amp; Tabla10[[#This Row],[Entidad]]</f>
        <v>PI|||</v>
      </c>
      <c r="B121" s="68" t="s">
        <v>1046</v>
      </c>
      <c r="C121" s="72"/>
      <c r="L121" s="30"/>
    </row>
    <row r="122" spans="1:12" x14ac:dyDescent="0.3">
      <c r="A122" s="67" t="str">
        <f>Tabla10[[#This Row],[TIPO_P]] &amp; "|" &amp;Tabla10[[#This Row],[Agrupación]] &amp; "|" &amp; Tabla10[[#This Row],[Sexo]] &amp; "|" &amp; Tabla10[[#This Row],[Entidad]]</f>
        <v>PI|||</v>
      </c>
      <c r="B122" s="68" t="s">
        <v>1046</v>
      </c>
      <c r="C122" s="72"/>
      <c r="L122" s="30"/>
    </row>
    <row r="123" spans="1:12" x14ac:dyDescent="0.3">
      <c r="A123" s="67" t="str">
        <f>Tabla10[[#This Row],[TIPO_P]] &amp; "|" &amp;Tabla10[[#This Row],[Agrupación]] &amp; "|" &amp; Tabla10[[#This Row],[Sexo]] &amp; "|" &amp; Tabla10[[#This Row],[Entidad]]</f>
        <v>PI|||</v>
      </c>
      <c r="B123" s="68" t="s">
        <v>1046</v>
      </c>
      <c r="C123" s="72"/>
      <c r="L123" s="30"/>
    </row>
    <row r="124" spans="1:12" x14ac:dyDescent="0.3">
      <c r="A124" s="67" t="str">
        <f>Tabla10[[#This Row],[TIPO_P]] &amp; "|" &amp;Tabla10[[#This Row],[Agrupación]] &amp; "|" &amp; Tabla10[[#This Row],[Sexo]] &amp; "|" &amp; Tabla10[[#This Row],[Entidad]]</f>
        <v>PI|||</v>
      </c>
      <c r="B124" s="68" t="s">
        <v>1046</v>
      </c>
      <c r="C124" s="72"/>
      <c r="L124" s="30"/>
    </row>
    <row r="125" spans="1:12" x14ac:dyDescent="0.3">
      <c r="A125" s="67" t="str">
        <f>Tabla10[[#This Row],[TIPO_P]] &amp; "|" &amp;Tabla10[[#This Row],[Agrupación]] &amp; "|" &amp; Tabla10[[#This Row],[Sexo]] &amp; "|" &amp; Tabla10[[#This Row],[Entidad]]</f>
        <v>PI|||</v>
      </c>
      <c r="B125" s="68" t="s">
        <v>1046</v>
      </c>
      <c r="C125" s="72"/>
      <c r="L125" s="30"/>
    </row>
    <row r="126" spans="1:12" x14ac:dyDescent="0.3">
      <c r="A126" s="67" t="str">
        <f>Tabla10[[#This Row],[TIPO_P]] &amp; "|" &amp;Tabla10[[#This Row],[Agrupación]] &amp; "|" &amp; Tabla10[[#This Row],[Sexo]] &amp; "|" &amp; Tabla10[[#This Row],[Entidad]]</f>
        <v>PI|||</v>
      </c>
      <c r="B126" s="68" t="s">
        <v>1046</v>
      </c>
      <c r="C126" s="72"/>
      <c r="L126" s="30"/>
    </row>
    <row r="127" spans="1:12" x14ac:dyDescent="0.3">
      <c r="A127" s="67" t="str">
        <f>Tabla10[[#This Row],[TIPO_P]] &amp; "|" &amp;Tabla10[[#This Row],[Agrupación]] &amp; "|" &amp; Tabla10[[#This Row],[Sexo]] &amp; "|" &amp; Tabla10[[#This Row],[Entidad]]</f>
        <v>PI|||</v>
      </c>
      <c r="B127" s="68" t="s">
        <v>1046</v>
      </c>
      <c r="C127" s="72"/>
      <c r="L127" s="30"/>
    </row>
    <row r="128" spans="1:12" x14ac:dyDescent="0.3">
      <c r="A128" s="67" t="str">
        <f>Tabla10[[#This Row],[TIPO_P]] &amp; "|" &amp;Tabla10[[#This Row],[Agrupación]] &amp; "|" &amp; Tabla10[[#This Row],[Sexo]] &amp; "|" &amp; Tabla10[[#This Row],[Entidad]]</f>
        <v>PI|||</v>
      </c>
      <c r="B128" s="68" t="s">
        <v>1046</v>
      </c>
      <c r="C128" s="72"/>
      <c r="L128" s="30"/>
    </row>
    <row r="129" spans="1:12" ht="15" thickBot="1" x14ac:dyDescent="0.35">
      <c r="A129" s="69" t="str">
        <f>Tabla10[[#This Row],[TIPO_P]] &amp; "|" &amp;Tabla10[[#This Row],[Agrupación]] &amp; "|" &amp; Tabla10[[#This Row],[Sexo]] &amp; "|" &amp; Tabla10[[#This Row],[Entidad]]</f>
        <v>PI|||</v>
      </c>
      <c r="B129" s="70" t="s">
        <v>1046</v>
      </c>
      <c r="C129" s="73"/>
      <c r="D129" s="31"/>
      <c r="E129" s="31"/>
      <c r="F129" s="31"/>
      <c r="G129" s="31"/>
      <c r="H129" s="31"/>
      <c r="I129" s="31"/>
      <c r="J129" s="31"/>
      <c r="K129" s="31"/>
      <c r="L129" s="3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22B2-A708-4BE0-8436-1BBEA7486857}">
  <sheetPr>
    <tabColor rgb="FF00B050"/>
  </sheetPr>
  <dimension ref="A1:Q66"/>
  <sheetViews>
    <sheetView tabSelected="1" workbookViewId="0">
      <selection activeCell="A14" sqref="A14"/>
    </sheetView>
  </sheetViews>
  <sheetFormatPr baseColWidth="10" defaultRowHeight="14.4" x14ac:dyDescent="0.3"/>
  <cols>
    <col min="1" max="3" width="8.6640625" customWidth="1"/>
    <col min="4" max="4" width="19.6640625" customWidth="1"/>
    <col min="6" max="6" width="30.88671875" customWidth="1"/>
    <col min="7" max="7" width="16.44140625" hidden="1" customWidth="1"/>
    <col min="8" max="9" width="16.44140625" customWidth="1"/>
    <col min="10" max="16" width="10.6640625" customWidth="1"/>
    <col min="17" max="17" width="136" customWidth="1"/>
  </cols>
  <sheetData>
    <row r="1" spans="1:17" ht="15.6" x14ac:dyDescent="0.3">
      <c r="O1" s="74">
        <f>SUM(Tabla410[[PI]:[PS]])</f>
        <v>0</v>
      </c>
      <c r="P1" s="74"/>
    </row>
    <row r="2" spans="1:17" ht="27.75" customHeight="1" x14ac:dyDescent="0.3">
      <c r="A2" s="57" t="s">
        <v>1019</v>
      </c>
      <c r="B2" s="57" t="s">
        <v>1052</v>
      </c>
      <c r="C2" s="57" t="s">
        <v>1053</v>
      </c>
      <c r="D2" s="57" t="s">
        <v>1045</v>
      </c>
      <c r="E2" s="57" t="s">
        <v>1022</v>
      </c>
      <c r="F2" s="57" t="s">
        <v>1023</v>
      </c>
      <c r="G2" s="57" t="s">
        <v>1044</v>
      </c>
      <c r="H2" s="57" t="s">
        <v>1048</v>
      </c>
      <c r="I2" s="57" t="s">
        <v>1049</v>
      </c>
      <c r="J2" s="57" t="s">
        <v>1036</v>
      </c>
      <c r="K2" s="57" t="s">
        <v>1031</v>
      </c>
      <c r="L2" s="57" t="s">
        <v>1030</v>
      </c>
      <c r="M2" s="57" t="s">
        <v>1037</v>
      </c>
      <c r="N2" s="57" t="s">
        <v>1029</v>
      </c>
      <c r="O2" s="57" t="s">
        <v>1046</v>
      </c>
      <c r="P2" s="57" t="s">
        <v>1050</v>
      </c>
      <c r="Q2" s="58" t="s">
        <v>1027</v>
      </c>
    </row>
    <row r="3" spans="1:17" ht="15" customHeight="1" x14ac:dyDescent="0.3">
      <c r="A3" s="52">
        <v>2015</v>
      </c>
      <c r="B3" s="33" t="s">
        <v>1046</v>
      </c>
      <c r="C3" s="59" t="s">
        <v>1050</v>
      </c>
      <c r="D3" s="34" t="s">
        <v>20</v>
      </c>
      <c r="E3" s="34" t="s">
        <v>1042</v>
      </c>
      <c r="F3" s="34" t="s">
        <v>518</v>
      </c>
      <c r="G3" s="53"/>
      <c r="H3" s="54" t="str">
        <f>Tabla410[[#This Row],[P1]] &amp; "|" &amp;Tabla410[[#This Row],[Agrupación]] &amp; "|" &amp; Tabla410[[#This Row],[Sexo]] &amp; "|" &amp; Tabla410[[#This Row],[Entidad]]</f>
        <v>PI|Acoso sexual|Mujer|Aguascalientes</v>
      </c>
      <c r="I3" s="35" t="str">
        <f>Tabla410[[#This Row],[P2]] &amp; "|" &amp;Tabla410[[#This Row],[Agrupación]] &amp; "|" &amp; Tabla410[[#This Row],[Sexo]] &amp; "|" &amp; Tabla410[[#This Row],[Entidad]]</f>
        <v>PS|Acoso sexual|Mujer|Aguascalientes</v>
      </c>
      <c r="J3" s="36">
        <f>VLOOKUP(Tabla410[[#This Row],[Agrupación]],Tabla5[[#All],[name]:[id_1]],2,FALSE)</f>
        <v>6</v>
      </c>
      <c r="K3" s="36">
        <f>VLOOKUP(Tabla410[[#This Row],[Año]],Tabla6[[#All],[name]:[id_2]],2)</f>
        <v>16</v>
      </c>
      <c r="L3" s="36">
        <f>VLOOKUP(Tabla410[[#This Row],[Sexo]],Tabla8[[#All],[name]:[gender_id]],2,FALSE)</f>
        <v>1</v>
      </c>
      <c r="M3" s="36" t="str">
        <f>IF(LEN(Tabla410[[#This Row],[centros]])&gt;0,VLOOKUP(Tabla410[[#This Row],[centros]],Tabla2[[#All],[Centros]:[ID]],2,FALSE),"NULL")</f>
        <v>NULL</v>
      </c>
      <c r="N3" s="36">
        <f>VLOOKUP(Tabla410[[#This Row],[Entidad]],Tabla3[[#All],[name]:[ID_2]],2,FALSE)</f>
        <v>1</v>
      </c>
      <c r="O3" s="36">
        <f>IFERROR(VLOOKUP(Tabla410[[#This Row],[CLAVE PI]], Tabla10[], 10, FALSE), 0)</f>
        <v>0</v>
      </c>
      <c r="P3" s="55">
        <f>IFERROR(VLOOKUP(Tabla410[[#This Row],[CLAVE PS]], Tabla10[], 10, FALSE), 0)</f>
        <v>0</v>
      </c>
      <c r="Q3" s="56" t="str">
        <f t="shared" ref="Q3:Q34" si="0">"INSERT INTO indicator_category_details (category_id, year_id, gender_id, center_id, state_id, PI, PS, status) VALUES ("
&amp;J3&amp;", "&amp;K3&amp;", "&amp;L3&amp;", "&amp;M3&amp;", "&amp;N3&amp;", "&amp;O3&amp;", "&amp;P3&amp;", 1);"</f>
        <v>INSERT INTO indicator_category_details (category_id, year_id, gender_id, center_id, state_id, PI, PS, status) VALUES (6, 16, 1, NULL, 1, 0, 0, 1);</v>
      </c>
    </row>
    <row r="4" spans="1:17" ht="15" customHeight="1" x14ac:dyDescent="0.3">
      <c r="A4" s="52">
        <v>2015</v>
      </c>
      <c r="B4" s="21" t="s">
        <v>1046</v>
      </c>
      <c r="C4" s="60" t="s">
        <v>1050</v>
      </c>
      <c r="D4" s="34" t="s">
        <v>20</v>
      </c>
      <c r="E4" s="34" t="s">
        <v>1042</v>
      </c>
      <c r="F4" s="3" t="s">
        <v>519</v>
      </c>
      <c r="G4" s="37"/>
      <c r="H4" s="41" t="str">
        <f>Tabla410[[#This Row],[P1]] &amp; "|" &amp;Tabla410[[#This Row],[Agrupación]] &amp; "|" &amp; Tabla410[[#This Row],[Sexo]] &amp; "|" &amp; Tabla410[[#This Row],[Entidad]]</f>
        <v>PI|Acoso sexual|Mujer|Baja California</v>
      </c>
      <c r="I4" s="22" t="str">
        <f>Tabla410[[#This Row],[P2]] &amp; "|" &amp;Tabla410[[#This Row],[Agrupación]] &amp; "|" &amp; Tabla410[[#This Row],[Sexo]] &amp; "|" &amp; Tabla410[[#This Row],[Entidad]]</f>
        <v>PS|Acoso sexual|Mujer|Baja California</v>
      </c>
      <c r="J4" s="9">
        <f>VLOOKUP(Tabla410[[#This Row],[Agrupación]],Tabla5[[#All],[name]:[id_1]],2,FALSE)</f>
        <v>6</v>
      </c>
      <c r="K4" s="9">
        <f>VLOOKUP(Tabla410[[#This Row],[Año]],Tabla6[[#All],[name]:[id_2]],2)</f>
        <v>16</v>
      </c>
      <c r="L4" s="9">
        <f>VLOOKUP(Tabla410[[#This Row],[Sexo]],Tabla8[[#All],[name]:[gender_id]],2,FALSE)</f>
        <v>1</v>
      </c>
      <c r="M4" s="9" t="str">
        <f>IF(LEN(Tabla410[[#This Row],[centros]])&gt;0,VLOOKUP(Tabla410[[#This Row],[centros]],Tabla2[[#All],[Centros]:[ID]],2,FALSE),"NULL")</f>
        <v>NULL</v>
      </c>
      <c r="N4" s="9">
        <f>VLOOKUP(Tabla410[[#This Row],[Entidad]],Tabla3[[#All],[name]:[ID_2]],2,FALSE)</f>
        <v>2</v>
      </c>
      <c r="O4" s="9">
        <f>IFERROR(VLOOKUP(Tabla410[[#This Row],[CLAVE PI]], Tabla10[], 10, FALSE), 0)</f>
        <v>0</v>
      </c>
      <c r="P4" s="42">
        <f>IFERROR(VLOOKUP(Tabla410[[#This Row],[CLAVE PS]], Tabla10[], 10, FALSE), 0)</f>
        <v>0</v>
      </c>
      <c r="Q4" s="48" t="str">
        <f t="shared" si="0"/>
        <v>INSERT INTO indicator_category_details (category_id, year_id, gender_id, center_id, state_id, PI, PS, status) VALUES (6, 16, 1, NULL, 2, 0, 0, 1);</v>
      </c>
    </row>
    <row r="5" spans="1:17" ht="15" customHeight="1" x14ac:dyDescent="0.3">
      <c r="A5" s="52">
        <v>2015</v>
      </c>
      <c r="B5" s="21" t="s">
        <v>1046</v>
      </c>
      <c r="C5" s="60" t="s">
        <v>1050</v>
      </c>
      <c r="D5" s="34" t="s">
        <v>20</v>
      </c>
      <c r="E5" s="34" t="s">
        <v>1042</v>
      </c>
      <c r="F5" s="3" t="s">
        <v>528</v>
      </c>
      <c r="G5" s="37"/>
      <c r="H5" s="41" t="str">
        <f>Tabla410[[#This Row],[P1]] &amp; "|" &amp;Tabla410[[#This Row],[Agrupación]] &amp; "|" &amp; Tabla410[[#This Row],[Sexo]] &amp; "|" &amp; Tabla410[[#This Row],[Entidad]]</f>
        <v>PI|Acoso sexual|Mujer|Baja California Sur</v>
      </c>
      <c r="I5" s="22" t="str">
        <f>Tabla410[[#This Row],[P2]] &amp; "|" &amp;Tabla410[[#This Row],[Agrupación]] &amp; "|" &amp; Tabla410[[#This Row],[Sexo]] &amp; "|" &amp; Tabla410[[#This Row],[Entidad]]</f>
        <v>PS|Acoso sexual|Mujer|Baja California Sur</v>
      </c>
      <c r="J5" s="9">
        <f>VLOOKUP(Tabla410[[#This Row],[Agrupación]],Tabla5[[#All],[name]:[id_1]],2,FALSE)</f>
        <v>6</v>
      </c>
      <c r="K5" s="9">
        <f>VLOOKUP(Tabla410[[#This Row],[Año]],Tabla6[[#All],[name]:[id_2]],2)</f>
        <v>16</v>
      </c>
      <c r="L5" s="9">
        <f>VLOOKUP(Tabla410[[#This Row],[Sexo]],Tabla8[[#All],[name]:[gender_id]],2,FALSE)</f>
        <v>1</v>
      </c>
      <c r="M5" s="9" t="str">
        <f>IF(LEN(Tabla410[[#This Row],[centros]])&gt;0,VLOOKUP(Tabla410[[#This Row],[centros]],Tabla2[[#All],[Centros]:[ID]],2,FALSE),"NULL")</f>
        <v>NULL</v>
      </c>
      <c r="N5" s="9">
        <f>VLOOKUP(Tabla410[[#This Row],[Entidad]],Tabla3[[#All],[name]:[ID_2]],2,FALSE)</f>
        <v>3</v>
      </c>
      <c r="O5" s="9">
        <f>IFERROR(VLOOKUP(Tabla410[[#This Row],[CLAVE PI]], Tabla10[], 10, FALSE), 0)</f>
        <v>0</v>
      </c>
      <c r="P5" s="42">
        <f>IFERROR(VLOOKUP(Tabla410[[#This Row],[CLAVE PS]], Tabla10[], 10, FALSE), 0)</f>
        <v>0</v>
      </c>
      <c r="Q5" s="48" t="str">
        <f t="shared" si="0"/>
        <v>INSERT INTO indicator_category_details (category_id, year_id, gender_id, center_id, state_id, PI, PS, status) VALUES (6, 16, 1, NULL, 3, 0, 0, 1);</v>
      </c>
    </row>
    <row r="6" spans="1:17" ht="15" customHeight="1" x14ac:dyDescent="0.3">
      <c r="A6" s="52">
        <v>2015</v>
      </c>
      <c r="B6" s="21" t="s">
        <v>1046</v>
      </c>
      <c r="C6" s="60" t="s">
        <v>1050</v>
      </c>
      <c r="D6" s="34" t="s">
        <v>20</v>
      </c>
      <c r="E6" s="34" t="s">
        <v>1042</v>
      </c>
      <c r="F6" s="3" t="s">
        <v>534</v>
      </c>
      <c r="G6" s="37"/>
      <c r="H6" s="41" t="str">
        <f>Tabla410[[#This Row],[P1]] &amp; "|" &amp;Tabla410[[#This Row],[Agrupación]] &amp; "|" &amp; Tabla410[[#This Row],[Sexo]] &amp; "|" &amp; Tabla410[[#This Row],[Entidad]]</f>
        <v>PI|Acoso sexual|Mujer|Campeche</v>
      </c>
      <c r="I6" s="22" t="str">
        <f>Tabla410[[#This Row],[P2]] &amp; "|" &amp;Tabla410[[#This Row],[Agrupación]] &amp; "|" &amp; Tabla410[[#This Row],[Sexo]] &amp; "|" &amp; Tabla410[[#This Row],[Entidad]]</f>
        <v>PS|Acoso sexual|Mujer|Campeche</v>
      </c>
      <c r="J6" s="9">
        <f>VLOOKUP(Tabla410[[#This Row],[Agrupación]],Tabla5[[#All],[name]:[id_1]],2,FALSE)</f>
        <v>6</v>
      </c>
      <c r="K6" s="9">
        <f>VLOOKUP(Tabla410[[#This Row],[Año]],Tabla6[[#All],[name]:[id_2]],2)</f>
        <v>16</v>
      </c>
      <c r="L6" s="9">
        <f>VLOOKUP(Tabla410[[#This Row],[Sexo]],Tabla8[[#All],[name]:[gender_id]],2,FALSE)</f>
        <v>1</v>
      </c>
      <c r="M6" s="9" t="str">
        <f>IF(LEN(Tabla410[[#This Row],[centros]])&gt;0,VLOOKUP(Tabla410[[#This Row],[centros]],Tabla2[[#All],[Centros]:[ID]],2,FALSE),"NULL")</f>
        <v>NULL</v>
      </c>
      <c r="N6" s="9">
        <f>VLOOKUP(Tabla410[[#This Row],[Entidad]],Tabla3[[#All],[name]:[ID_2]],2,FALSE)</f>
        <v>4</v>
      </c>
      <c r="O6" s="9">
        <f>IFERROR(VLOOKUP(Tabla410[[#This Row],[CLAVE PI]], Tabla10[], 10, FALSE), 0)</f>
        <v>0</v>
      </c>
      <c r="P6" s="42">
        <f>IFERROR(VLOOKUP(Tabla410[[#This Row],[CLAVE PS]], Tabla10[], 10, FALSE), 0)</f>
        <v>0</v>
      </c>
      <c r="Q6" s="48" t="str">
        <f t="shared" si="0"/>
        <v>INSERT INTO indicator_category_details (category_id, year_id, gender_id, center_id, state_id, PI, PS, status) VALUES (6, 16, 1, NULL, 4, 0, 0, 1);</v>
      </c>
    </row>
    <row r="7" spans="1:17" ht="15" customHeight="1" x14ac:dyDescent="0.3">
      <c r="A7" s="52">
        <v>2015</v>
      </c>
      <c r="B7" s="21" t="s">
        <v>1046</v>
      </c>
      <c r="C7" s="60" t="s">
        <v>1050</v>
      </c>
      <c r="D7" s="34" t="s">
        <v>20</v>
      </c>
      <c r="E7" s="34" t="s">
        <v>1042</v>
      </c>
      <c r="F7" s="3" t="s">
        <v>553</v>
      </c>
      <c r="G7" s="37"/>
      <c r="H7" s="41" t="str">
        <f>Tabla410[[#This Row],[P1]] &amp; "|" &amp;Tabla410[[#This Row],[Agrupación]] &amp; "|" &amp; Tabla410[[#This Row],[Sexo]] &amp; "|" &amp; Tabla410[[#This Row],[Entidad]]</f>
        <v>PI|Acoso sexual|Mujer|Chiapas</v>
      </c>
      <c r="I7" s="22" t="str">
        <f>Tabla410[[#This Row],[P2]] &amp; "|" &amp;Tabla410[[#This Row],[Agrupación]] &amp; "|" &amp; Tabla410[[#This Row],[Sexo]] &amp; "|" &amp; Tabla410[[#This Row],[Entidad]]</f>
        <v>PS|Acoso sexual|Mujer|Chiapas</v>
      </c>
      <c r="J7" s="9">
        <f>VLOOKUP(Tabla410[[#This Row],[Agrupación]],Tabla5[[#All],[name]:[id_1]],2,FALSE)</f>
        <v>6</v>
      </c>
      <c r="K7" s="9">
        <f>VLOOKUP(Tabla410[[#This Row],[Año]],Tabla6[[#All],[name]:[id_2]],2)</f>
        <v>16</v>
      </c>
      <c r="L7" s="9">
        <f>VLOOKUP(Tabla410[[#This Row],[Sexo]],Tabla8[[#All],[name]:[gender_id]],2,FALSE)</f>
        <v>1</v>
      </c>
      <c r="M7" s="9" t="str">
        <f>IF(LEN(Tabla410[[#This Row],[centros]])&gt;0,VLOOKUP(Tabla410[[#This Row],[centros]],Tabla2[[#All],[Centros]:[ID]],2,FALSE),"NULL")</f>
        <v>NULL</v>
      </c>
      <c r="N7" s="9">
        <f>VLOOKUP(Tabla410[[#This Row],[Entidad]],Tabla3[[#All],[name]:[ID_2]],2,FALSE)</f>
        <v>5</v>
      </c>
      <c r="O7" s="9">
        <f>IFERROR(VLOOKUP(Tabla410[[#This Row],[CLAVE PI]], Tabla10[], 10, FALSE), 0)</f>
        <v>0</v>
      </c>
      <c r="P7" s="42">
        <f>IFERROR(VLOOKUP(Tabla410[[#This Row],[CLAVE PS]], Tabla10[], 10, FALSE), 0)</f>
        <v>0</v>
      </c>
      <c r="Q7" s="48" t="str">
        <f t="shared" si="0"/>
        <v>INSERT INTO indicator_category_details (category_id, year_id, gender_id, center_id, state_id, PI, PS, status) VALUES (6, 16, 1, NULL, 5, 0, 0, 1);</v>
      </c>
    </row>
    <row r="8" spans="1:17" ht="15" customHeight="1" x14ac:dyDescent="0.3">
      <c r="A8" s="52">
        <v>2015</v>
      </c>
      <c r="B8" s="21" t="s">
        <v>1046</v>
      </c>
      <c r="C8" s="60" t="s">
        <v>1050</v>
      </c>
      <c r="D8" s="34" t="s">
        <v>20</v>
      </c>
      <c r="E8" s="34" t="s">
        <v>1042</v>
      </c>
      <c r="F8" s="3" t="s">
        <v>570</v>
      </c>
      <c r="G8" s="37"/>
      <c r="H8" s="41" t="str">
        <f>Tabla410[[#This Row],[P1]] &amp; "|" &amp;Tabla410[[#This Row],[Agrupación]] &amp; "|" &amp; Tabla410[[#This Row],[Sexo]] &amp; "|" &amp; Tabla410[[#This Row],[Entidad]]</f>
        <v>PI|Acoso sexual|Mujer|Chihuahua</v>
      </c>
      <c r="I8" s="22" t="str">
        <f>Tabla410[[#This Row],[P2]] &amp; "|" &amp;Tabla410[[#This Row],[Agrupación]] &amp; "|" &amp; Tabla410[[#This Row],[Sexo]] &amp; "|" &amp; Tabla410[[#This Row],[Entidad]]</f>
        <v>PS|Acoso sexual|Mujer|Chihuahua</v>
      </c>
      <c r="J8" s="9">
        <f>VLOOKUP(Tabla410[[#This Row],[Agrupación]],Tabla5[[#All],[name]:[id_1]],2,FALSE)</f>
        <v>6</v>
      </c>
      <c r="K8" s="9">
        <f>VLOOKUP(Tabla410[[#This Row],[Año]],Tabla6[[#All],[name]:[id_2]],2)</f>
        <v>16</v>
      </c>
      <c r="L8" s="9">
        <f>VLOOKUP(Tabla410[[#This Row],[Sexo]],Tabla8[[#All],[name]:[gender_id]],2,FALSE)</f>
        <v>1</v>
      </c>
      <c r="M8" s="9" t="str">
        <f>IF(LEN(Tabla410[[#This Row],[centros]])&gt;0,VLOOKUP(Tabla410[[#This Row],[centros]],Tabla2[[#All],[Centros]:[ID]],2,FALSE),"NULL")</f>
        <v>NULL</v>
      </c>
      <c r="N8" s="9">
        <f>VLOOKUP(Tabla410[[#This Row],[Entidad]],Tabla3[[#All],[name]:[ID_2]],2,FALSE)</f>
        <v>6</v>
      </c>
      <c r="O8" s="9">
        <f>IFERROR(VLOOKUP(Tabla410[[#This Row],[CLAVE PI]], Tabla10[], 10, FALSE), 0)</f>
        <v>0</v>
      </c>
      <c r="P8" s="42">
        <f>IFERROR(VLOOKUP(Tabla410[[#This Row],[CLAVE PS]], Tabla10[], 10, FALSE), 0)</f>
        <v>0</v>
      </c>
      <c r="Q8" s="48" t="str">
        <f t="shared" si="0"/>
        <v>INSERT INTO indicator_category_details (category_id, year_id, gender_id, center_id, state_id, PI, PS, status) VALUES (6, 16, 1, NULL, 6, 0, 0, 1);</v>
      </c>
    </row>
    <row r="9" spans="1:17" ht="15" customHeight="1" x14ac:dyDescent="0.3">
      <c r="A9" s="52">
        <v>2015</v>
      </c>
      <c r="B9" s="21" t="s">
        <v>1046</v>
      </c>
      <c r="C9" s="60" t="s">
        <v>1050</v>
      </c>
      <c r="D9" s="34" t="s">
        <v>20</v>
      </c>
      <c r="E9" s="34" t="s">
        <v>1042</v>
      </c>
      <c r="F9" s="3" t="s">
        <v>582</v>
      </c>
      <c r="G9" s="37"/>
      <c r="H9" s="41" t="str">
        <f>Tabla410[[#This Row],[P1]] &amp; "|" &amp;Tabla410[[#This Row],[Agrupación]] &amp; "|" &amp; Tabla410[[#This Row],[Sexo]] &amp; "|" &amp; Tabla410[[#This Row],[Entidad]]</f>
        <v>PI|Acoso sexual|Mujer|Ciudad de México</v>
      </c>
      <c r="I9" s="22" t="str">
        <f>Tabla410[[#This Row],[P2]] &amp; "|" &amp;Tabla410[[#This Row],[Agrupación]] &amp; "|" &amp; Tabla410[[#This Row],[Sexo]] &amp; "|" &amp; Tabla410[[#This Row],[Entidad]]</f>
        <v>PS|Acoso sexual|Mujer|Ciudad de México</v>
      </c>
      <c r="J9" s="9">
        <f>VLOOKUP(Tabla410[[#This Row],[Agrupación]],Tabla5[[#All],[name]:[id_1]],2,FALSE)</f>
        <v>6</v>
      </c>
      <c r="K9" s="9">
        <f>VLOOKUP(Tabla410[[#This Row],[Año]],Tabla6[[#All],[name]:[id_2]],2)</f>
        <v>16</v>
      </c>
      <c r="L9" s="9">
        <f>VLOOKUP(Tabla410[[#This Row],[Sexo]],Tabla8[[#All],[name]:[gender_id]],2,FALSE)</f>
        <v>1</v>
      </c>
      <c r="M9" s="9" t="str">
        <f>IF(LEN(Tabla410[[#This Row],[centros]])&gt;0,VLOOKUP(Tabla410[[#This Row],[centros]],Tabla2[[#All],[Centros]:[ID]],2,FALSE),"NULL")</f>
        <v>NULL</v>
      </c>
      <c r="N9" s="9">
        <f>VLOOKUP(Tabla410[[#This Row],[Entidad]],Tabla3[[#All],[name]:[ID_2]],2,FALSE)</f>
        <v>7</v>
      </c>
      <c r="O9" s="9">
        <f>IFERROR(VLOOKUP(Tabla410[[#This Row],[CLAVE PI]], Tabla10[], 10, FALSE), 0)</f>
        <v>0</v>
      </c>
      <c r="P9" s="42">
        <f>IFERROR(VLOOKUP(Tabla410[[#This Row],[CLAVE PS]], Tabla10[], 10, FALSE), 0)</f>
        <v>0</v>
      </c>
      <c r="Q9" s="48" t="str">
        <f t="shared" si="0"/>
        <v>INSERT INTO indicator_category_details (category_id, year_id, gender_id, center_id, state_id, PI, PS, status) VALUES (6, 16, 1, NULL, 7, 0, 0, 1);</v>
      </c>
    </row>
    <row r="10" spans="1:17" ht="15" customHeight="1" x14ac:dyDescent="0.3">
      <c r="A10" s="52">
        <v>2015</v>
      </c>
      <c r="B10" s="21" t="s">
        <v>1046</v>
      </c>
      <c r="C10" s="60" t="s">
        <v>1050</v>
      </c>
      <c r="D10" s="34" t="s">
        <v>20</v>
      </c>
      <c r="E10" s="34" t="s">
        <v>1042</v>
      </c>
      <c r="F10" s="3" t="s">
        <v>538</v>
      </c>
      <c r="G10" s="37"/>
      <c r="H10" s="41" t="str">
        <f>Tabla410[[#This Row],[P1]] &amp; "|" &amp;Tabla410[[#This Row],[Agrupación]] &amp; "|" &amp; Tabla410[[#This Row],[Sexo]] &amp; "|" &amp; Tabla410[[#This Row],[Entidad]]</f>
        <v>PI|Acoso sexual|Mujer|Coahuila de Zaragoza</v>
      </c>
      <c r="I10" s="22" t="str">
        <f>Tabla410[[#This Row],[P2]] &amp; "|" &amp;Tabla410[[#This Row],[Agrupación]] &amp; "|" &amp; Tabla410[[#This Row],[Sexo]] &amp; "|" &amp; Tabla410[[#This Row],[Entidad]]</f>
        <v>PS|Acoso sexual|Mujer|Coahuila de Zaragoza</v>
      </c>
      <c r="J10" s="9">
        <f>VLOOKUP(Tabla410[[#This Row],[Agrupación]],Tabla5[[#All],[name]:[id_1]],2,FALSE)</f>
        <v>6</v>
      </c>
      <c r="K10" s="9">
        <f>VLOOKUP(Tabla410[[#This Row],[Año]],Tabla6[[#All],[name]:[id_2]],2)</f>
        <v>16</v>
      </c>
      <c r="L10" s="9">
        <f>VLOOKUP(Tabla410[[#This Row],[Sexo]],Tabla8[[#All],[name]:[gender_id]],2,FALSE)</f>
        <v>1</v>
      </c>
      <c r="M10" s="9" t="str">
        <f>IF(LEN(Tabla410[[#This Row],[centros]])&gt;0,VLOOKUP(Tabla410[[#This Row],[centros]],Tabla2[[#All],[Centros]:[ID]],2,FALSE),"NULL")</f>
        <v>NULL</v>
      </c>
      <c r="N10" s="9">
        <f>VLOOKUP(Tabla410[[#This Row],[Entidad]],Tabla3[[#All],[name]:[ID_2]],2,FALSE)</f>
        <v>8</v>
      </c>
      <c r="O10" s="9">
        <f>IFERROR(VLOOKUP(Tabla410[[#This Row],[CLAVE PI]], Tabla10[], 10, FALSE), 0)</f>
        <v>0</v>
      </c>
      <c r="P10" s="42">
        <f>IFERROR(VLOOKUP(Tabla410[[#This Row],[CLAVE PS]], Tabla10[], 10, FALSE), 0)</f>
        <v>0</v>
      </c>
      <c r="Q10" s="48" t="str">
        <f t="shared" si="0"/>
        <v>INSERT INTO indicator_category_details (category_id, year_id, gender_id, center_id, state_id, PI, PS, status) VALUES (6, 16, 1, NULL, 8, 0, 0, 1);</v>
      </c>
    </row>
    <row r="11" spans="1:17" ht="15" customHeight="1" x14ac:dyDescent="0.3">
      <c r="A11" s="52">
        <v>2015</v>
      </c>
      <c r="B11" s="21" t="s">
        <v>1046</v>
      </c>
      <c r="C11" s="60" t="s">
        <v>1050</v>
      </c>
      <c r="D11" s="34" t="s">
        <v>20</v>
      </c>
      <c r="E11" s="34" t="s">
        <v>1042</v>
      </c>
      <c r="F11" s="3" t="s">
        <v>547</v>
      </c>
      <c r="G11" s="37"/>
      <c r="H11" s="41" t="str">
        <f>Tabla410[[#This Row],[P1]] &amp; "|" &amp;Tabla410[[#This Row],[Agrupación]] &amp; "|" &amp; Tabla410[[#This Row],[Sexo]] &amp; "|" &amp; Tabla410[[#This Row],[Entidad]]</f>
        <v>PI|Acoso sexual|Mujer|Colima</v>
      </c>
      <c r="I11" s="22" t="str">
        <f>Tabla410[[#This Row],[P2]] &amp; "|" &amp;Tabla410[[#This Row],[Agrupación]] &amp; "|" &amp; Tabla410[[#This Row],[Sexo]] &amp; "|" &amp; Tabla410[[#This Row],[Entidad]]</f>
        <v>PS|Acoso sexual|Mujer|Colima</v>
      </c>
      <c r="J11" s="9">
        <f>VLOOKUP(Tabla410[[#This Row],[Agrupación]],Tabla5[[#All],[name]:[id_1]],2,FALSE)</f>
        <v>6</v>
      </c>
      <c r="K11" s="9">
        <f>VLOOKUP(Tabla410[[#This Row],[Año]],Tabla6[[#All],[name]:[id_2]],2)</f>
        <v>16</v>
      </c>
      <c r="L11" s="9">
        <f>VLOOKUP(Tabla410[[#This Row],[Sexo]],Tabla8[[#All],[name]:[gender_id]],2,FALSE)</f>
        <v>1</v>
      </c>
      <c r="M11" s="9" t="str">
        <f>IF(LEN(Tabla410[[#This Row],[centros]])&gt;0,VLOOKUP(Tabla410[[#This Row],[centros]],Tabla2[[#All],[Centros]:[ID]],2,FALSE),"NULL")</f>
        <v>NULL</v>
      </c>
      <c r="N11" s="9">
        <f>VLOOKUP(Tabla410[[#This Row],[Entidad]],Tabla3[[#All],[name]:[ID_2]],2,FALSE)</f>
        <v>9</v>
      </c>
      <c r="O11" s="9">
        <f>IFERROR(VLOOKUP(Tabla410[[#This Row],[CLAVE PI]], Tabla10[], 10, FALSE), 0)</f>
        <v>0</v>
      </c>
      <c r="P11" s="42">
        <f>IFERROR(VLOOKUP(Tabla410[[#This Row],[CLAVE PS]], Tabla10[], 10, FALSE), 0)</f>
        <v>0</v>
      </c>
      <c r="Q11" s="48" t="str">
        <f t="shared" si="0"/>
        <v>INSERT INTO indicator_category_details (category_id, year_id, gender_id, center_id, state_id, PI, PS, status) VALUES (6, 16, 1, NULL, 9, 0, 0, 1);</v>
      </c>
    </row>
    <row r="12" spans="1:17" ht="15" customHeight="1" x14ac:dyDescent="0.3">
      <c r="A12" s="52">
        <v>2015</v>
      </c>
      <c r="B12" s="21" t="s">
        <v>1046</v>
      </c>
      <c r="C12" s="60" t="s">
        <v>1050</v>
      </c>
      <c r="D12" s="34" t="s">
        <v>20</v>
      </c>
      <c r="E12" s="34" t="s">
        <v>1042</v>
      </c>
      <c r="F12" s="3" t="s">
        <v>600</v>
      </c>
      <c r="G12" s="37"/>
      <c r="H12" s="41" t="str">
        <f>Tabla410[[#This Row],[P1]] &amp; "|" &amp;Tabla410[[#This Row],[Agrupación]] &amp; "|" &amp; Tabla410[[#This Row],[Sexo]] &amp; "|" &amp; Tabla410[[#This Row],[Entidad]]</f>
        <v>PI|Acoso sexual|Mujer|Durango</v>
      </c>
      <c r="I12" s="22" t="str">
        <f>Tabla410[[#This Row],[P2]] &amp; "|" &amp;Tabla410[[#This Row],[Agrupación]] &amp; "|" &amp; Tabla410[[#This Row],[Sexo]] &amp; "|" &amp; Tabla410[[#This Row],[Entidad]]</f>
        <v>PS|Acoso sexual|Mujer|Durango</v>
      </c>
      <c r="J12" s="9">
        <f>VLOOKUP(Tabla410[[#This Row],[Agrupación]],Tabla5[[#All],[name]:[id_1]],2,FALSE)</f>
        <v>6</v>
      </c>
      <c r="K12" s="9">
        <f>VLOOKUP(Tabla410[[#This Row],[Año]],Tabla6[[#All],[name]:[id_2]],2)</f>
        <v>16</v>
      </c>
      <c r="L12" s="9">
        <f>VLOOKUP(Tabla410[[#This Row],[Sexo]],Tabla8[[#All],[name]:[gender_id]],2,FALSE)</f>
        <v>1</v>
      </c>
      <c r="M12" s="9" t="str">
        <f>IF(LEN(Tabla410[[#This Row],[centros]])&gt;0,VLOOKUP(Tabla410[[#This Row],[centros]],Tabla2[[#All],[Centros]:[ID]],2,FALSE),"NULL")</f>
        <v>NULL</v>
      </c>
      <c r="N12" s="9">
        <f>VLOOKUP(Tabla410[[#This Row],[Entidad]],Tabla3[[#All],[name]:[ID_2]],2,FALSE)</f>
        <v>10</v>
      </c>
      <c r="O12" s="9">
        <f>IFERROR(VLOOKUP(Tabla410[[#This Row],[CLAVE PI]], Tabla10[], 10, FALSE), 0)</f>
        <v>0</v>
      </c>
      <c r="P12" s="42">
        <f>IFERROR(VLOOKUP(Tabla410[[#This Row],[CLAVE PS]], Tabla10[], 10, FALSE), 0)</f>
        <v>0</v>
      </c>
      <c r="Q12" s="48" t="str">
        <f t="shared" si="0"/>
        <v>INSERT INTO indicator_category_details (category_id, year_id, gender_id, center_id, state_id, PI, PS, status) VALUES (6, 16, 1, NULL, 10, 0, 0, 1);</v>
      </c>
    </row>
    <row r="13" spans="1:17" ht="15" customHeight="1" x14ac:dyDescent="0.3">
      <c r="A13" s="52">
        <v>2015</v>
      </c>
      <c r="B13" s="21" t="s">
        <v>1046</v>
      </c>
      <c r="C13" s="60" t="s">
        <v>1050</v>
      </c>
      <c r="D13" s="34" t="s">
        <v>20</v>
      </c>
      <c r="E13" s="34" t="s">
        <v>1042</v>
      </c>
      <c r="F13" s="3" t="s">
        <v>606</v>
      </c>
      <c r="G13" s="37"/>
      <c r="H13" s="41" t="str">
        <f>Tabla410[[#This Row],[P1]] &amp; "|" &amp;Tabla410[[#This Row],[Agrupación]] &amp; "|" &amp; Tabla410[[#This Row],[Sexo]] &amp; "|" &amp; Tabla410[[#This Row],[Entidad]]</f>
        <v>PI|Acoso sexual|Mujer|Guanajuato</v>
      </c>
      <c r="I13" s="22" t="str">
        <f>Tabla410[[#This Row],[P2]] &amp; "|" &amp;Tabla410[[#This Row],[Agrupación]] &amp; "|" &amp; Tabla410[[#This Row],[Sexo]] &amp; "|" &amp; Tabla410[[#This Row],[Entidad]]</f>
        <v>PS|Acoso sexual|Mujer|Guanajuato</v>
      </c>
      <c r="J13" s="9">
        <f>VLOOKUP(Tabla410[[#This Row],[Agrupación]],Tabla5[[#All],[name]:[id_1]],2,FALSE)</f>
        <v>6</v>
      </c>
      <c r="K13" s="9">
        <f>VLOOKUP(Tabla410[[#This Row],[Año]],Tabla6[[#All],[name]:[id_2]],2)</f>
        <v>16</v>
      </c>
      <c r="L13" s="9">
        <f>VLOOKUP(Tabla410[[#This Row],[Sexo]],Tabla8[[#All],[name]:[gender_id]],2,FALSE)</f>
        <v>1</v>
      </c>
      <c r="M13" s="9" t="str">
        <f>IF(LEN(Tabla410[[#This Row],[centros]])&gt;0,VLOOKUP(Tabla410[[#This Row],[centros]],Tabla2[[#All],[Centros]:[ID]],2,FALSE),"NULL")</f>
        <v>NULL</v>
      </c>
      <c r="N13" s="9">
        <f>VLOOKUP(Tabla410[[#This Row],[Entidad]],Tabla3[[#All],[name]:[ID_2]],2,FALSE)</f>
        <v>11</v>
      </c>
      <c r="O13" s="9">
        <f>IFERROR(VLOOKUP(Tabla410[[#This Row],[CLAVE PI]], Tabla10[], 10, FALSE), 0)</f>
        <v>0</v>
      </c>
      <c r="P13" s="42">
        <f>IFERROR(VLOOKUP(Tabla410[[#This Row],[CLAVE PS]], Tabla10[], 10, FALSE), 0)</f>
        <v>0</v>
      </c>
      <c r="Q13" s="48" t="str">
        <f t="shared" si="0"/>
        <v>INSERT INTO indicator_category_details (category_id, year_id, gender_id, center_id, state_id, PI, PS, status) VALUES (6, 16, 1, NULL, 11, 0, 0, 1);</v>
      </c>
    </row>
    <row r="14" spans="1:17" ht="15" customHeight="1" x14ac:dyDescent="0.3">
      <c r="A14" s="52">
        <v>2015</v>
      </c>
      <c r="B14" s="21" t="s">
        <v>1046</v>
      </c>
      <c r="C14" s="60" t="s">
        <v>1050</v>
      </c>
      <c r="D14" s="34" t="s">
        <v>20</v>
      </c>
      <c r="E14" s="34" t="s">
        <v>1042</v>
      </c>
      <c r="F14" s="3" t="s">
        <v>619</v>
      </c>
      <c r="G14" s="37"/>
      <c r="H14" s="41" t="str">
        <f>Tabla410[[#This Row],[P1]] &amp; "|" &amp;Tabla410[[#This Row],[Agrupación]] &amp; "|" &amp; Tabla410[[#This Row],[Sexo]] &amp; "|" &amp; Tabla410[[#This Row],[Entidad]]</f>
        <v>PI|Acoso sexual|Mujer|Guerrero</v>
      </c>
      <c r="I14" s="22" t="str">
        <f>Tabla410[[#This Row],[P2]] &amp; "|" &amp;Tabla410[[#This Row],[Agrupación]] &amp; "|" &amp; Tabla410[[#This Row],[Sexo]] &amp; "|" &amp; Tabla410[[#This Row],[Entidad]]</f>
        <v>PS|Acoso sexual|Mujer|Guerrero</v>
      </c>
      <c r="J14" s="9">
        <f>VLOOKUP(Tabla410[[#This Row],[Agrupación]],Tabla5[[#All],[name]:[id_1]],2,FALSE)</f>
        <v>6</v>
      </c>
      <c r="K14" s="9">
        <f>VLOOKUP(Tabla410[[#This Row],[Año]],Tabla6[[#All],[name]:[id_2]],2)</f>
        <v>16</v>
      </c>
      <c r="L14" s="9">
        <f>VLOOKUP(Tabla410[[#This Row],[Sexo]],Tabla8[[#All],[name]:[gender_id]],2,FALSE)</f>
        <v>1</v>
      </c>
      <c r="M14" s="9" t="str">
        <f>IF(LEN(Tabla410[[#This Row],[centros]])&gt;0,VLOOKUP(Tabla410[[#This Row],[centros]],Tabla2[[#All],[Centros]:[ID]],2,FALSE),"NULL")</f>
        <v>NULL</v>
      </c>
      <c r="N14" s="9">
        <f>VLOOKUP(Tabla410[[#This Row],[Entidad]],Tabla3[[#All],[name]:[ID_2]],2,FALSE)</f>
        <v>12</v>
      </c>
      <c r="O14" s="9">
        <f>IFERROR(VLOOKUP(Tabla410[[#This Row],[CLAVE PI]], Tabla10[], 10, FALSE), 0)</f>
        <v>0</v>
      </c>
      <c r="P14" s="42">
        <f>IFERROR(VLOOKUP(Tabla410[[#This Row],[CLAVE PS]], Tabla10[], 10, FALSE), 0)</f>
        <v>0</v>
      </c>
      <c r="Q14" s="48" t="str">
        <f t="shared" si="0"/>
        <v>INSERT INTO indicator_category_details (category_id, year_id, gender_id, center_id, state_id, PI, PS, status) VALUES (6, 16, 1, NULL, 12, 0, 0, 1);</v>
      </c>
    </row>
    <row r="15" spans="1:17" ht="15" customHeight="1" x14ac:dyDescent="0.3">
      <c r="A15" s="52">
        <v>2015</v>
      </c>
      <c r="B15" s="21" t="s">
        <v>1046</v>
      </c>
      <c r="C15" s="60" t="s">
        <v>1050</v>
      </c>
      <c r="D15" s="34" t="s">
        <v>20</v>
      </c>
      <c r="E15" s="34" t="s">
        <v>1042</v>
      </c>
      <c r="F15" s="3" t="s">
        <v>633</v>
      </c>
      <c r="G15" s="37"/>
      <c r="H15" s="41" t="str">
        <f>Tabla410[[#This Row],[P1]] &amp; "|" &amp;Tabla410[[#This Row],[Agrupación]] &amp; "|" &amp; Tabla410[[#This Row],[Sexo]] &amp; "|" &amp; Tabla410[[#This Row],[Entidad]]</f>
        <v>PI|Acoso sexual|Mujer|Hidalgo</v>
      </c>
      <c r="I15" s="22" t="str">
        <f>Tabla410[[#This Row],[P2]] &amp; "|" &amp;Tabla410[[#This Row],[Agrupación]] &amp; "|" &amp; Tabla410[[#This Row],[Sexo]] &amp; "|" &amp; Tabla410[[#This Row],[Entidad]]</f>
        <v>PS|Acoso sexual|Mujer|Hidalgo</v>
      </c>
      <c r="J15" s="9">
        <f>VLOOKUP(Tabla410[[#This Row],[Agrupación]],Tabla5[[#All],[name]:[id_1]],2,FALSE)</f>
        <v>6</v>
      </c>
      <c r="K15" s="9">
        <f>VLOOKUP(Tabla410[[#This Row],[Año]],Tabla6[[#All],[name]:[id_2]],2)</f>
        <v>16</v>
      </c>
      <c r="L15" s="9">
        <f>VLOOKUP(Tabla410[[#This Row],[Sexo]],Tabla8[[#All],[name]:[gender_id]],2,FALSE)</f>
        <v>1</v>
      </c>
      <c r="M15" s="9" t="str">
        <f>IF(LEN(Tabla410[[#This Row],[centros]])&gt;0,VLOOKUP(Tabla410[[#This Row],[centros]],Tabla2[[#All],[Centros]:[ID]],2,FALSE),"NULL")</f>
        <v>NULL</v>
      </c>
      <c r="N15" s="9">
        <f>VLOOKUP(Tabla410[[#This Row],[Entidad]],Tabla3[[#All],[name]:[ID_2]],2,FALSE)</f>
        <v>13</v>
      </c>
      <c r="O15" s="9">
        <f>IFERROR(VLOOKUP(Tabla410[[#This Row],[CLAVE PI]], Tabla10[], 10, FALSE), 0)</f>
        <v>0</v>
      </c>
      <c r="P15" s="42">
        <f>IFERROR(VLOOKUP(Tabla410[[#This Row],[CLAVE PS]], Tabla10[], 10, FALSE), 0)</f>
        <v>0</v>
      </c>
      <c r="Q15" s="48" t="str">
        <f t="shared" si="0"/>
        <v>INSERT INTO indicator_category_details (category_id, year_id, gender_id, center_id, state_id, PI, PS, status) VALUES (6, 16, 1, NULL, 13, 0, 0, 1);</v>
      </c>
    </row>
    <row r="16" spans="1:17" ht="15" customHeight="1" x14ac:dyDescent="0.3">
      <c r="A16" s="52">
        <v>2015</v>
      </c>
      <c r="B16" s="21" t="s">
        <v>1046</v>
      </c>
      <c r="C16" s="60" t="s">
        <v>1050</v>
      </c>
      <c r="D16" s="34" t="s">
        <v>20</v>
      </c>
      <c r="E16" s="34" t="s">
        <v>1042</v>
      </c>
      <c r="F16" s="3" t="s">
        <v>647</v>
      </c>
      <c r="G16" s="37"/>
      <c r="H16" s="41" t="str">
        <f>Tabla410[[#This Row],[P1]] &amp; "|" &amp;Tabla410[[#This Row],[Agrupación]] &amp; "|" &amp; Tabla410[[#This Row],[Sexo]] &amp; "|" &amp; Tabla410[[#This Row],[Entidad]]</f>
        <v>PI|Acoso sexual|Mujer|Jalisco</v>
      </c>
      <c r="I16" s="22" t="str">
        <f>Tabla410[[#This Row],[P2]] &amp; "|" &amp;Tabla410[[#This Row],[Agrupación]] &amp; "|" &amp; Tabla410[[#This Row],[Sexo]] &amp; "|" &amp; Tabla410[[#This Row],[Entidad]]</f>
        <v>PS|Acoso sexual|Mujer|Jalisco</v>
      </c>
      <c r="J16" s="9">
        <f>VLOOKUP(Tabla410[[#This Row],[Agrupación]],Tabla5[[#All],[name]:[id_1]],2,FALSE)</f>
        <v>6</v>
      </c>
      <c r="K16" s="9">
        <f>VLOOKUP(Tabla410[[#This Row],[Año]],Tabla6[[#All],[name]:[id_2]],2)</f>
        <v>16</v>
      </c>
      <c r="L16" s="9">
        <f>VLOOKUP(Tabla410[[#This Row],[Sexo]],Tabla8[[#All],[name]:[gender_id]],2,FALSE)</f>
        <v>1</v>
      </c>
      <c r="M16" s="9" t="str">
        <f>IF(LEN(Tabla410[[#This Row],[centros]])&gt;0,VLOOKUP(Tabla410[[#This Row],[centros]],Tabla2[[#All],[Centros]:[ID]],2,FALSE),"NULL")</f>
        <v>NULL</v>
      </c>
      <c r="N16" s="9">
        <f>VLOOKUP(Tabla410[[#This Row],[Entidad]],Tabla3[[#All],[name]:[ID_2]],2,FALSE)</f>
        <v>14</v>
      </c>
      <c r="O16" s="9">
        <f>IFERROR(VLOOKUP(Tabla410[[#This Row],[CLAVE PI]], Tabla10[], 10, FALSE), 0)</f>
        <v>0</v>
      </c>
      <c r="P16" s="42">
        <f>IFERROR(VLOOKUP(Tabla410[[#This Row],[CLAVE PS]], Tabla10[], 10, FALSE), 0)</f>
        <v>0</v>
      </c>
      <c r="Q16" s="48" t="str">
        <f t="shared" si="0"/>
        <v>INSERT INTO indicator_category_details (category_id, year_id, gender_id, center_id, state_id, PI, PS, status) VALUES (6, 16, 1, NULL, 14, 0, 0, 1);</v>
      </c>
    </row>
    <row r="17" spans="1:17" ht="15" customHeight="1" x14ac:dyDescent="0.3">
      <c r="A17" s="52">
        <v>2015</v>
      </c>
      <c r="B17" s="21" t="s">
        <v>1046</v>
      </c>
      <c r="C17" s="60" t="s">
        <v>1050</v>
      </c>
      <c r="D17" s="34" t="s">
        <v>20</v>
      </c>
      <c r="E17" s="34" t="s">
        <v>1042</v>
      </c>
      <c r="F17" s="3" t="s">
        <v>662</v>
      </c>
      <c r="G17" s="37"/>
      <c r="H17" s="41" t="str">
        <f>Tabla410[[#This Row],[P1]] &amp; "|" &amp;Tabla410[[#This Row],[Agrupación]] &amp; "|" &amp; Tabla410[[#This Row],[Sexo]] &amp; "|" &amp; Tabla410[[#This Row],[Entidad]]</f>
        <v>PI|Acoso sexual|Mujer|México</v>
      </c>
      <c r="I17" s="22" t="str">
        <f>Tabla410[[#This Row],[P2]] &amp; "|" &amp;Tabla410[[#This Row],[Agrupación]] &amp; "|" &amp; Tabla410[[#This Row],[Sexo]] &amp; "|" &amp; Tabla410[[#This Row],[Entidad]]</f>
        <v>PS|Acoso sexual|Mujer|México</v>
      </c>
      <c r="J17" s="9">
        <f>VLOOKUP(Tabla410[[#This Row],[Agrupación]],Tabla5[[#All],[name]:[id_1]],2,FALSE)</f>
        <v>6</v>
      </c>
      <c r="K17" s="9">
        <f>VLOOKUP(Tabla410[[#This Row],[Año]],Tabla6[[#All],[name]:[id_2]],2)</f>
        <v>16</v>
      </c>
      <c r="L17" s="9">
        <f>VLOOKUP(Tabla410[[#This Row],[Sexo]],Tabla8[[#All],[name]:[gender_id]],2,FALSE)</f>
        <v>1</v>
      </c>
      <c r="M17" s="9" t="str">
        <f>IF(LEN(Tabla410[[#This Row],[centros]])&gt;0,VLOOKUP(Tabla410[[#This Row],[centros]],Tabla2[[#All],[Centros]:[ID]],2,FALSE),"NULL")</f>
        <v>NULL</v>
      </c>
      <c r="N17" s="9">
        <f>VLOOKUP(Tabla410[[#This Row],[Entidad]],Tabla3[[#All],[name]:[ID_2]],2,FALSE)</f>
        <v>15</v>
      </c>
      <c r="O17" s="9">
        <f>IFERROR(VLOOKUP(Tabla410[[#This Row],[CLAVE PI]], Tabla10[], 10, FALSE), 0)</f>
        <v>0</v>
      </c>
      <c r="P17" s="42">
        <f>IFERROR(VLOOKUP(Tabla410[[#This Row],[CLAVE PS]], Tabla10[], 10, FALSE), 0)</f>
        <v>0</v>
      </c>
      <c r="Q17" s="48" t="str">
        <f t="shared" si="0"/>
        <v>INSERT INTO indicator_category_details (category_id, year_id, gender_id, center_id, state_id, PI, PS, status) VALUES (6, 16, 1, NULL, 15, 0, 0, 1);</v>
      </c>
    </row>
    <row r="18" spans="1:17" ht="15" customHeight="1" x14ac:dyDescent="0.3">
      <c r="A18" s="52">
        <v>2015</v>
      </c>
      <c r="B18" s="21" t="s">
        <v>1046</v>
      </c>
      <c r="C18" s="60" t="s">
        <v>1050</v>
      </c>
      <c r="D18" s="34" t="s">
        <v>20</v>
      </c>
      <c r="E18" s="34" t="s">
        <v>1042</v>
      </c>
      <c r="F18" s="3" t="s">
        <v>685</v>
      </c>
      <c r="G18" s="37"/>
      <c r="H18" s="41" t="str">
        <f>Tabla410[[#This Row],[P1]] &amp; "|" &amp;Tabla410[[#This Row],[Agrupación]] &amp; "|" &amp; Tabla410[[#This Row],[Sexo]] &amp; "|" &amp; Tabla410[[#This Row],[Entidad]]</f>
        <v>PI|Acoso sexual|Mujer|Michoacán de Ocampo</v>
      </c>
      <c r="I18" s="22" t="str">
        <f>Tabla410[[#This Row],[P2]] &amp; "|" &amp;Tabla410[[#This Row],[Agrupación]] &amp; "|" &amp; Tabla410[[#This Row],[Sexo]] &amp; "|" &amp; Tabla410[[#This Row],[Entidad]]</f>
        <v>PS|Acoso sexual|Mujer|Michoacán de Ocampo</v>
      </c>
      <c r="J18" s="9">
        <f>VLOOKUP(Tabla410[[#This Row],[Agrupación]],Tabla5[[#All],[name]:[id_1]],2,FALSE)</f>
        <v>6</v>
      </c>
      <c r="K18" s="9">
        <f>VLOOKUP(Tabla410[[#This Row],[Año]],Tabla6[[#All],[name]:[id_2]],2)</f>
        <v>16</v>
      </c>
      <c r="L18" s="9">
        <f>VLOOKUP(Tabla410[[#This Row],[Sexo]],Tabla8[[#All],[name]:[gender_id]],2,FALSE)</f>
        <v>1</v>
      </c>
      <c r="M18" s="9" t="str">
        <f>IF(LEN(Tabla410[[#This Row],[centros]])&gt;0,VLOOKUP(Tabla410[[#This Row],[centros]],Tabla2[[#All],[Centros]:[ID]],2,FALSE),"NULL")</f>
        <v>NULL</v>
      </c>
      <c r="N18" s="9">
        <f>VLOOKUP(Tabla410[[#This Row],[Entidad]],Tabla3[[#All],[name]:[ID_2]],2,FALSE)</f>
        <v>16</v>
      </c>
      <c r="O18" s="9">
        <f>IFERROR(VLOOKUP(Tabla410[[#This Row],[CLAVE PI]], Tabla10[], 10, FALSE), 0)</f>
        <v>0</v>
      </c>
      <c r="P18" s="42">
        <f>IFERROR(VLOOKUP(Tabla410[[#This Row],[CLAVE PS]], Tabla10[], 10, FALSE), 0)</f>
        <v>0</v>
      </c>
      <c r="Q18" s="48" t="str">
        <f t="shared" si="0"/>
        <v>INSERT INTO indicator_category_details (category_id, year_id, gender_id, center_id, state_id, PI, PS, status) VALUES (6, 16, 1, NULL, 16, 0, 0, 1);</v>
      </c>
    </row>
    <row r="19" spans="1:17" ht="15" customHeight="1" x14ac:dyDescent="0.3">
      <c r="A19" s="52">
        <v>2015</v>
      </c>
      <c r="B19" s="21" t="s">
        <v>1046</v>
      </c>
      <c r="C19" s="60" t="s">
        <v>1050</v>
      </c>
      <c r="D19" s="34" t="s">
        <v>20</v>
      </c>
      <c r="E19" s="34" t="s">
        <v>1042</v>
      </c>
      <c r="F19" s="3" t="s">
        <v>698</v>
      </c>
      <c r="G19" s="37"/>
      <c r="H19" s="41" t="str">
        <f>Tabla410[[#This Row],[P1]] &amp; "|" &amp;Tabla410[[#This Row],[Agrupación]] &amp; "|" &amp; Tabla410[[#This Row],[Sexo]] &amp; "|" &amp; Tabla410[[#This Row],[Entidad]]</f>
        <v>PI|Acoso sexual|Mujer|Morelos</v>
      </c>
      <c r="I19" s="22" t="str">
        <f>Tabla410[[#This Row],[P2]] &amp; "|" &amp;Tabla410[[#This Row],[Agrupación]] &amp; "|" &amp; Tabla410[[#This Row],[Sexo]] &amp; "|" &amp; Tabla410[[#This Row],[Entidad]]</f>
        <v>PS|Acoso sexual|Mujer|Morelos</v>
      </c>
      <c r="J19" s="9">
        <f>VLOOKUP(Tabla410[[#This Row],[Agrupación]],Tabla5[[#All],[name]:[id_1]],2,FALSE)</f>
        <v>6</v>
      </c>
      <c r="K19" s="9">
        <f>VLOOKUP(Tabla410[[#This Row],[Año]],Tabla6[[#All],[name]:[id_2]],2)</f>
        <v>16</v>
      </c>
      <c r="L19" s="9">
        <f>VLOOKUP(Tabla410[[#This Row],[Sexo]],Tabla8[[#All],[name]:[gender_id]],2,FALSE)</f>
        <v>1</v>
      </c>
      <c r="M19" s="9" t="str">
        <f>IF(LEN(Tabla410[[#This Row],[centros]])&gt;0,VLOOKUP(Tabla410[[#This Row],[centros]],Tabla2[[#All],[Centros]:[ID]],2,FALSE),"NULL")</f>
        <v>NULL</v>
      </c>
      <c r="N19" s="9">
        <f>VLOOKUP(Tabla410[[#This Row],[Entidad]],Tabla3[[#All],[name]:[ID_2]],2,FALSE)</f>
        <v>17</v>
      </c>
      <c r="O19" s="9">
        <f>IFERROR(VLOOKUP(Tabla410[[#This Row],[CLAVE PI]], Tabla10[], 10, FALSE), 0)</f>
        <v>0</v>
      </c>
      <c r="P19" s="42">
        <f>IFERROR(VLOOKUP(Tabla410[[#This Row],[CLAVE PS]], Tabla10[], 10, FALSE), 0)</f>
        <v>0</v>
      </c>
      <c r="Q19" s="48" t="str">
        <f t="shared" si="0"/>
        <v>INSERT INTO indicator_category_details (category_id, year_id, gender_id, center_id, state_id, PI, PS, status) VALUES (6, 16, 1, NULL, 17, 0, 0, 1);</v>
      </c>
    </row>
    <row r="20" spans="1:17" ht="15" customHeight="1" x14ac:dyDescent="0.3">
      <c r="A20" s="52">
        <v>2015</v>
      </c>
      <c r="B20" s="21" t="s">
        <v>1046</v>
      </c>
      <c r="C20" s="60" t="s">
        <v>1050</v>
      </c>
      <c r="D20" s="34" t="s">
        <v>20</v>
      </c>
      <c r="E20" s="34" t="s">
        <v>1042</v>
      </c>
      <c r="F20" s="3" t="s">
        <v>705</v>
      </c>
      <c r="G20" s="37"/>
      <c r="H20" s="41" t="str">
        <f>Tabla410[[#This Row],[P1]] &amp; "|" &amp;Tabla410[[#This Row],[Agrupación]] &amp; "|" &amp; Tabla410[[#This Row],[Sexo]] &amp; "|" &amp; Tabla410[[#This Row],[Entidad]]</f>
        <v>PI|Acoso sexual|Mujer|Nayarit</v>
      </c>
      <c r="I20" s="22" t="str">
        <f>Tabla410[[#This Row],[P2]] &amp; "|" &amp;Tabla410[[#This Row],[Agrupación]] &amp; "|" &amp; Tabla410[[#This Row],[Sexo]] &amp; "|" &amp; Tabla410[[#This Row],[Entidad]]</f>
        <v>PS|Acoso sexual|Mujer|Nayarit</v>
      </c>
      <c r="J20" s="9">
        <f>VLOOKUP(Tabla410[[#This Row],[Agrupación]],Tabla5[[#All],[name]:[id_1]],2,FALSE)</f>
        <v>6</v>
      </c>
      <c r="K20" s="9">
        <f>VLOOKUP(Tabla410[[#This Row],[Año]],Tabla6[[#All],[name]:[id_2]],2)</f>
        <v>16</v>
      </c>
      <c r="L20" s="9">
        <f>VLOOKUP(Tabla410[[#This Row],[Sexo]],Tabla8[[#All],[name]:[gender_id]],2,FALSE)</f>
        <v>1</v>
      </c>
      <c r="M20" s="9" t="str">
        <f>IF(LEN(Tabla410[[#This Row],[centros]])&gt;0,VLOOKUP(Tabla410[[#This Row],[centros]],Tabla2[[#All],[Centros]:[ID]],2,FALSE),"NULL")</f>
        <v>NULL</v>
      </c>
      <c r="N20" s="9">
        <f>VLOOKUP(Tabla410[[#This Row],[Entidad]],Tabla3[[#All],[name]:[ID_2]],2,FALSE)</f>
        <v>18</v>
      </c>
      <c r="O20" s="9">
        <f>IFERROR(VLOOKUP(Tabla410[[#This Row],[CLAVE PI]], Tabla10[], 10, FALSE), 0)</f>
        <v>0</v>
      </c>
      <c r="P20" s="42">
        <f>IFERROR(VLOOKUP(Tabla410[[#This Row],[CLAVE PS]], Tabla10[], 10, FALSE), 0)</f>
        <v>0</v>
      </c>
      <c r="Q20" s="48" t="str">
        <f t="shared" si="0"/>
        <v>INSERT INTO indicator_category_details (category_id, year_id, gender_id, center_id, state_id, PI, PS, status) VALUES (6, 16, 1, NULL, 18, 0, 0, 1);</v>
      </c>
    </row>
    <row r="21" spans="1:17" ht="15" customHeight="1" x14ac:dyDescent="0.3">
      <c r="A21" s="52">
        <v>2015</v>
      </c>
      <c r="B21" s="21" t="s">
        <v>1046</v>
      </c>
      <c r="C21" s="60" t="s">
        <v>1050</v>
      </c>
      <c r="D21" s="34" t="s">
        <v>20</v>
      </c>
      <c r="E21" s="34" t="s">
        <v>1042</v>
      </c>
      <c r="F21" s="11" t="s">
        <v>710</v>
      </c>
      <c r="G21" s="38"/>
      <c r="H21" s="43" t="str">
        <f>Tabla410[[#This Row],[P1]] &amp; "|" &amp;Tabla410[[#This Row],[Agrupación]] &amp; "|" &amp; Tabla410[[#This Row],[Sexo]] &amp; "|" &amp; Tabla410[[#This Row],[Entidad]]</f>
        <v>PI|Acoso sexual|Mujer|Nuevo León</v>
      </c>
      <c r="I21" s="23" t="str">
        <f>Tabla410[[#This Row],[P2]] &amp; "|" &amp;Tabla410[[#This Row],[Agrupación]] &amp; "|" &amp; Tabla410[[#This Row],[Sexo]] &amp; "|" &amp; Tabla410[[#This Row],[Entidad]]</f>
        <v>PS|Acoso sexual|Mujer|Nuevo León</v>
      </c>
      <c r="J21" s="13">
        <f>VLOOKUP(Tabla410[[#This Row],[Agrupación]],Tabla5[[#All],[name]:[id_1]],2,FALSE)</f>
        <v>6</v>
      </c>
      <c r="K21" s="13">
        <f>VLOOKUP(Tabla410[[#This Row],[Año]],Tabla6[[#All],[name]:[id_2]],2)</f>
        <v>16</v>
      </c>
      <c r="L21" s="13">
        <f>VLOOKUP(Tabla410[[#This Row],[Sexo]],Tabla8[[#All],[name]:[gender_id]],2,FALSE)</f>
        <v>1</v>
      </c>
      <c r="M21" s="13" t="str">
        <f>IF(LEN(Tabla410[[#This Row],[centros]])&gt;0,VLOOKUP(Tabla410[[#This Row],[centros]],Tabla2[[#All],[Centros]:[ID]],2,FALSE),"NULL")</f>
        <v>NULL</v>
      </c>
      <c r="N21" s="13">
        <f>VLOOKUP(Tabla410[[#This Row],[Entidad]],Tabla3[[#All],[name]:[ID_2]],2,FALSE)</f>
        <v>19</v>
      </c>
      <c r="O21" s="9">
        <f>IFERROR(VLOOKUP(Tabla410[[#This Row],[CLAVE PI]], Tabla10[], 10, FALSE), 0)</f>
        <v>0</v>
      </c>
      <c r="P21" s="42">
        <f>IFERROR(VLOOKUP(Tabla410[[#This Row],[CLAVE PS]], Tabla10[], 10, FALSE), 0)</f>
        <v>0</v>
      </c>
      <c r="Q21" s="49" t="str">
        <f t="shared" si="0"/>
        <v>INSERT INTO indicator_category_details (category_id, year_id, gender_id, center_id, state_id, PI, PS, status) VALUES (6, 16, 1, NULL, 19, 0, 0, 1);</v>
      </c>
    </row>
    <row r="22" spans="1:17" ht="15" customHeight="1" x14ac:dyDescent="0.3">
      <c r="A22" s="52">
        <v>2015</v>
      </c>
      <c r="B22" s="21" t="s">
        <v>1046</v>
      </c>
      <c r="C22" s="60" t="s">
        <v>1050</v>
      </c>
      <c r="D22" s="34" t="s">
        <v>20</v>
      </c>
      <c r="E22" s="34" t="s">
        <v>1042</v>
      </c>
      <c r="F22" s="3" t="s">
        <v>716</v>
      </c>
      <c r="G22" s="37"/>
      <c r="H22" s="41" t="str">
        <f>Tabla410[[#This Row],[P1]] &amp; "|" &amp;Tabla410[[#This Row],[Agrupación]] &amp; "|" &amp; Tabla410[[#This Row],[Sexo]] &amp; "|" &amp; Tabla410[[#This Row],[Entidad]]</f>
        <v>PI|Acoso sexual|Mujer|Oaxaca</v>
      </c>
      <c r="I22" s="22" t="str">
        <f>Tabla410[[#This Row],[P2]] &amp; "|" &amp;Tabla410[[#This Row],[Agrupación]] &amp; "|" &amp; Tabla410[[#This Row],[Sexo]] &amp; "|" &amp; Tabla410[[#This Row],[Entidad]]</f>
        <v>PS|Acoso sexual|Mujer|Oaxaca</v>
      </c>
      <c r="J22" s="9">
        <f>VLOOKUP(Tabla410[[#This Row],[Agrupación]],Tabla5[[#All],[name]:[id_1]],2,FALSE)</f>
        <v>6</v>
      </c>
      <c r="K22" s="9">
        <f>VLOOKUP(Tabla410[[#This Row],[Año]],Tabla6[[#All],[name]:[id_2]],2)</f>
        <v>16</v>
      </c>
      <c r="L22" s="9">
        <f>VLOOKUP(Tabla410[[#This Row],[Sexo]],Tabla8[[#All],[name]:[gender_id]],2,FALSE)</f>
        <v>1</v>
      </c>
      <c r="M22" s="9" t="str">
        <f>IF(LEN(Tabla410[[#This Row],[centros]])&gt;0,VLOOKUP(Tabla410[[#This Row],[centros]],Tabla2[[#All],[Centros]:[ID]],2,FALSE),"NULL")</f>
        <v>NULL</v>
      </c>
      <c r="N22" s="9">
        <f>VLOOKUP(Tabla410[[#This Row],[Entidad]],Tabla3[[#All],[name]:[ID_2]],2,FALSE)</f>
        <v>20</v>
      </c>
      <c r="O22" s="9">
        <f>IFERROR(VLOOKUP(Tabla410[[#This Row],[CLAVE PI]], Tabla10[], 10, FALSE), 0)</f>
        <v>0</v>
      </c>
      <c r="P22" s="42">
        <f>IFERROR(VLOOKUP(Tabla410[[#This Row],[CLAVE PS]], Tabla10[], 10, FALSE), 0)</f>
        <v>0</v>
      </c>
      <c r="Q22" s="48" t="str">
        <f t="shared" si="0"/>
        <v>INSERT INTO indicator_category_details (category_id, year_id, gender_id, center_id, state_id, PI, PS, status) VALUES (6, 16, 1, NULL, 20, 0, 0, 1);</v>
      </c>
    </row>
    <row r="23" spans="1:17" ht="15" customHeight="1" x14ac:dyDescent="0.3">
      <c r="A23" s="52">
        <v>2015</v>
      </c>
      <c r="B23" s="21" t="s">
        <v>1046</v>
      </c>
      <c r="C23" s="60" t="s">
        <v>1050</v>
      </c>
      <c r="D23" s="34" t="s">
        <v>20</v>
      </c>
      <c r="E23" s="34" t="s">
        <v>1042</v>
      </c>
      <c r="F23" s="3" t="s">
        <v>727</v>
      </c>
      <c r="G23" s="37"/>
      <c r="H23" s="41" t="str">
        <f>Tabla410[[#This Row],[P1]] &amp; "|" &amp;Tabla410[[#This Row],[Agrupación]] &amp; "|" &amp; Tabla410[[#This Row],[Sexo]] &amp; "|" &amp; Tabla410[[#This Row],[Entidad]]</f>
        <v>PI|Acoso sexual|Mujer|Puebla</v>
      </c>
      <c r="I23" s="22" t="str">
        <f>Tabla410[[#This Row],[P2]] &amp; "|" &amp;Tabla410[[#This Row],[Agrupación]] &amp; "|" &amp; Tabla410[[#This Row],[Sexo]] &amp; "|" &amp; Tabla410[[#This Row],[Entidad]]</f>
        <v>PS|Acoso sexual|Mujer|Puebla</v>
      </c>
      <c r="J23" s="9">
        <f>VLOOKUP(Tabla410[[#This Row],[Agrupación]],Tabla5[[#All],[name]:[id_1]],2,FALSE)</f>
        <v>6</v>
      </c>
      <c r="K23" s="9">
        <f>VLOOKUP(Tabla410[[#This Row],[Año]],Tabla6[[#All],[name]:[id_2]],2)</f>
        <v>16</v>
      </c>
      <c r="L23" s="9">
        <f>VLOOKUP(Tabla410[[#This Row],[Sexo]],Tabla8[[#All],[name]:[gender_id]],2,FALSE)</f>
        <v>1</v>
      </c>
      <c r="M23" s="9" t="str">
        <f>IF(LEN(Tabla410[[#This Row],[centros]])&gt;0,VLOOKUP(Tabla410[[#This Row],[centros]],Tabla2[[#All],[Centros]:[ID]],2,FALSE),"NULL")</f>
        <v>NULL</v>
      </c>
      <c r="N23" s="9">
        <f>VLOOKUP(Tabla410[[#This Row],[Entidad]],Tabla3[[#All],[name]:[ID_2]],2,FALSE)</f>
        <v>21</v>
      </c>
      <c r="O23" s="9">
        <f>IFERROR(VLOOKUP(Tabla410[[#This Row],[CLAVE PI]], Tabla10[], 10, FALSE), 0)</f>
        <v>0</v>
      </c>
      <c r="P23" s="42">
        <f>IFERROR(VLOOKUP(Tabla410[[#This Row],[CLAVE PS]], Tabla10[], 10, FALSE), 0)</f>
        <v>0</v>
      </c>
      <c r="Q23" s="48" t="str">
        <f t="shared" si="0"/>
        <v>INSERT INTO indicator_category_details (category_id, year_id, gender_id, center_id, state_id, PI, PS, status) VALUES (6, 16, 1, NULL, 21, 0, 0, 1);</v>
      </c>
    </row>
    <row r="24" spans="1:17" ht="15" customHeight="1" x14ac:dyDescent="0.3">
      <c r="A24" s="52">
        <v>2015</v>
      </c>
      <c r="B24" s="21" t="s">
        <v>1046</v>
      </c>
      <c r="C24" s="60" t="s">
        <v>1050</v>
      </c>
      <c r="D24" s="34" t="s">
        <v>20</v>
      </c>
      <c r="E24" s="34" t="s">
        <v>1042</v>
      </c>
      <c r="F24" s="3" t="s">
        <v>731</v>
      </c>
      <c r="G24" s="37"/>
      <c r="H24" s="41" t="str">
        <f>Tabla410[[#This Row],[P1]] &amp; "|" &amp;Tabla410[[#This Row],[Agrupación]] &amp; "|" &amp; Tabla410[[#This Row],[Sexo]] &amp; "|" &amp; Tabla410[[#This Row],[Entidad]]</f>
        <v>PI|Acoso sexual|Mujer|Querétaro</v>
      </c>
      <c r="I24" s="22" t="str">
        <f>Tabla410[[#This Row],[P2]] &amp; "|" &amp;Tabla410[[#This Row],[Agrupación]] &amp; "|" &amp; Tabla410[[#This Row],[Sexo]] &amp; "|" &amp; Tabla410[[#This Row],[Entidad]]</f>
        <v>PS|Acoso sexual|Mujer|Querétaro</v>
      </c>
      <c r="J24" s="9">
        <f>VLOOKUP(Tabla410[[#This Row],[Agrupación]],Tabla5[[#All],[name]:[id_1]],2,FALSE)</f>
        <v>6</v>
      </c>
      <c r="K24" s="9">
        <f>VLOOKUP(Tabla410[[#This Row],[Año]],Tabla6[[#All],[name]:[id_2]],2)</f>
        <v>16</v>
      </c>
      <c r="L24" s="9">
        <f>VLOOKUP(Tabla410[[#This Row],[Sexo]],Tabla8[[#All],[name]:[gender_id]],2,FALSE)</f>
        <v>1</v>
      </c>
      <c r="M24" s="9" t="str">
        <f>IF(LEN(Tabla410[[#This Row],[centros]])&gt;0,VLOOKUP(Tabla410[[#This Row],[centros]],Tabla2[[#All],[Centros]:[ID]],2,FALSE),"NULL")</f>
        <v>NULL</v>
      </c>
      <c r="N24" s="9">
        <f>VLOOKUP(Tabla410[[#This Row],[Entidad]],Tabla3[[#All],[name]:[ID_2]],2,FALSE)</f>
        <v>22</v>
      </c>
      <c r="O24" s="9">
        <f>IFERROR(VLOOKUP(Tabla410[[#This Row],[CLAVE PI]], Tabla10[], 10, FALSE), 0)</f>
        <v>0</v>
      </c>
      <c r="P24" s="42">
        <f>IFERROR(VLOOKUP(Tabla410[[#This Row],[CLAVE PS]], Tabla10[], 10, FALSE), 0)</f>
        <v>0</v>
      </c>
      <c r="Q24" s="48" t="str">
        <f t="shared" si="0"/>
        <v>INSERT INTO indicator_category_details (category_id, year_id, gender_id, center_id, state_id, PI, PS, status) VALUES (6, 16, 1, NULL, 22, 0, 0, 1);</v>
      </c>
    </row>
    <row r="25" spans="1:17" ht="15" customHeight="1" x14ac:dyDescent="0.3">
      <c r="A25" s="52">
        <v>2015</v>
      </c>
      <c r="B25" s="21" t="s">
        <v>1046</v>
      </c>
      <c r="C25" s="60" t="s">
        <v>1050</v>
      </c>
      <c r="D25" s="34" t="s">
        <v>20</v>
      </c>
      <c r="E25" s="34" t="s">
        <v>1042</v>
      </c>
      <c r="F25" s="3" t="s">
        <v>737</v>
      </c>
      <c r="G25" s="37"/>
      <c r="H25" s="41" t="str">
        <f>Tabla410[[#This Row],[P1]] &amp; "|" &amp;Tabla410[[#This Row],[Agrupación]] &amp; "|" &amp; Tabla410[[#This Row],[Sexo]] &amp; "|" &amp; Tabla410[[#This Row],[Entidad]]</f>
        <v>PI|Acoso sexual|Mujer|Quintana Roo</v>
      </c>
      <c r="I25" s="22" t="str">
        <f>Tabla410[[#This Row],[P2]] &amp; "|" &amp;Tabla410[[#This Row],[Agrupación]] &amp; "|" &amp; Tabla410[[#This Row],[Sexo]] &amp; "|" &amp; Tabla410[[#This Row],[Entidad]]</f>
        <v>PS|Acoso sexual|Mujer|Quintana Roo</v>
      </c>
      <c r="J25" s="9">
        <f>VLOOKUP(Tabla410[[#This Row],[Agrupación]],Tabla5[[#All],[name]:[id_1]],2,FALSE)</f>
        <v>6</v>
      </c>
      <c r="K25" s="9">
        <f>VLOOKUP(Tabla410[[#This Row],[Año]],Tabla6[[#All],[name]:[id_2]],2)</f>
        <v>16</v>
      </c>
      <c r="L25" s="9">
        <f>VLOOKUP(Tabla410[[#This Row],[Sexo]],Tabla8[[#All],[name]:[gender_id]],2,FALSE)</f>
        <v>1</v>
      </c>
      <c r="M25" s="9" t="str">
        <f>IF(LEN(Tabla410[[#This Row],[centros]])&gt;0,VLOOKUP(Tabla410[[#This Row],[centros]],Tabla2[[#All],[Centros]:[ID]],2,FALSE),"NULL")</f>
        <v>NULL</v>
      </c>
      <c r="N25" s="9">
        <f>VLOOKUP(Tabla410[[#This Row],[Entidad]],Tabla3[[#All],[name]:[ID_2]],2,FALSE)</f>
        <v>23</v>
      </c>
      <c r="O25" s="9">
        <f>IFERROR(VLOOKUP(Tabla410[[#This Row],[CLAVE PI]], Tabla10[], 10, FALSE), 0)</f>
        <v>0</v>
      </c>
      <c r="P25" s="42">
        <f>IFERROR(VLOOKUP(Tabla410[[#This Row],[CLAVE PS]], Tabla10[], 10, FALSE), 0)</f>
        <v>0</v>
      </c>
      <c r="Q25" s="48" t="str">
        <f t="shared" si="0"/>
        <v>INSERT INTO indicator_category_details (category_id, year_id, gender_id, center_id, state_id, PI, PS, status) VALUES (6, 16, 1, NULL, 23, 0, 0, 1);</v>
      </c>
    </row>
    <row r="26" spans="1:17" ht="15" customHeight="1" x14ac:dyDescent="0.3">
      <c r="A26" s="52">
        <v>2015</v>
      </c>
      <c r="B26" s="21" t="s">
        <v>1046</v>
      </c>
      <c r="C26" s="60" t="s">
        <v>1050</v>
      </c>
      <c r="D26" s="34" t="s">
        <v>20</v>
      </c>
      <c r="E26" s="34" t="s">
        <v>1042</v>
      </c>
      <c r="F26" s="3" t="s">
        <v>741</v>
      </c>
      <c r="G26" s="37"/>
      <c r="H26" s="41" t="str">
        <f>Tabla410[[#This Row],[P1]] &amp; "|" &amp;Tabla410[[#This Row],[Agrupación]] &amp; "|" &amp; Tabla410[[#This Row],[Sexo]] &amp; "|" &amp; Tabla410[[#This Row],[Entidad]]</f>
        <v>PI|Acoso sexual|Mujer|San Luis Potosí</v>
      </c>
      <c r="I26" s="22" t="str">
        <f>Tabla410[[#This Row],[P2]] &amp; "|" &amp;Tabla410[[#This Row],[Agrupación]] &amp; "|" &amp; Tabla410[[#This Row],[Sexo]] &amp; "|" &amp; Tabla410[[#This Row],[Entidad]]</f>
        <v>PS|Acoso sexual|Mujer|San Luis Potosí</v>
      </c>
      <c r="J26" s="9">
        <f>VLOOKUP(Tabla410[[#This Row],[Agrupación]],Tabla5[[#All],[name]:[id_1]],2,FALSE)</f>
        <v>6</v>
      </c>
      <c r="K26" s="9">
        <f>VLOOKUP(Tabla410[[#This Row],[Año]],Tabla6[[#All],[name]:[id_2]],2)</f>
        <v>16</v>
      </c>
      <c r="L26" s="9">
        <f>VLOOKUP(Tabla410[[#This Row],[Sexo]],Tabla8[[#All],[name]:[gender_id]],2,FALSE)</f>
        <v>1</v>
      </c>
      <c r="M26" s="9" t="str">
        <f>IF(LEN(Tabla410[[#This Row],[centros]])&gt;0,VLOOKUP(Tabla410[[#This Row],[centros]],Tabla2[[#All],[Centros]:[ID]],2,FALSE),"NULL")</f>
        <v>NULL</v>
      </c>
      <c r="N26" s="9">
        <f>VLOOKUP(Tabla410[[#This Row],[Entidad]],Tabla3[[#All],[name]:[ID_2]],2,FALSE)</f>
        <v>24</v>
      </c>
      <c r="O26" s="9">
        <f>IFERROR(VLOOKUP(Tabla410[[#This Row],[CLAVE PI]], Tabla10[], 10, FALSE), 0)</f>
        <v>0</v>
      </c>
      <c r="P26" s="42">
        <f>IFERROR(VLOOKUP(Tabla410[[#This Row],[CLAVE PS]], Tabla10[], 10, FALSE), 0)</f>
        <v>0</v>
      </c>
      <c r="Q26" s="48" t="str">
        <f t="shared" si="0"/>
        <v>INSERT INTO indicator_category_details (category_id, year_id, gender_id, center_id, state_id, PI, PS, status) VALUES (6, 16, 1, NULL, 24, 0, 0, 1);</v>
      </c>
    </row>
    <row r="27" spans="1:17" ht="15" customHeight="1" x14ac:dyDescent="0.3">
      <c r="A27" s="52">
        <v>2015</v>
      </c>
      <c r="B27" s="21" t="s">
        <v>1046</v>
      </c>
      <c r="C27" s="60" t="s">
        <v>1050</v>
      </c>
      <c r="D27" s="34" t="s">
        <v>20</v>
      </c>
      <c r="E27" s="34" t="s">
        <v>1042</v>
      </c>
      <c r="F27" s="3" t="s">
        <v>749</v>
      </c>
      <c r="G27" s="37"/>
      <c r="H27" s="41" t="str">
        <f>Tabla410[[#This Row],[P1]] &amp; "|" &amp;Tabla410[[#This Row],[Agrupación]] &amp; "|" &amp; Tabla410[[#This Row],[Sexo]] &amp; "|" &amp; Tabla410[[#This Row],[Entidad]]</f>
        <v>PI|Acoso sexual|Mujer|Sinaloa</v>
      </c>
      <c r="I27" s="22" t="str">
        <f>Tabla410[[#This Row],[P2]] &amp; "|" &amp;Tabla410[[#This Row],[Agrupación]] &amp; "|" &amp; Tabla410[[#This Row],[Sexo]] &amp; "|" &amp; Tabla410[[#This Row],[Entidad]]</f>
        <v>PS|Acoso sexual|Mujer|Sinaloa</v>
      </c>
      <c r="J27" s="9">
        <f>VLOOKUP(Tabla410[[#This Row],[Agrupación]],Tabla5[[#All],[name]:[id_1]],2,FALSE)</f>
        <v>6</v>
      </c>
      <c r="K27" s="9">
        <f>VLOOKUP(Tabla410[[#This Row],[Año]],Tabla6[[#All],[name]:[id_2]],2)</f>
        <v>16</v>
      </c>
      <c r="L27" s="9">
        <f>VLOOKUP(Tabla410[[#This Row],[Sexo]],Tabla8[[#All],[name]:[gender_id]],2,FALSE)</f>
        <v>1</v>
      </c>
      <c r="M27" s="9" t="str">
        <f>IF(LEN(Tabla410[[#This Row],[centros]])&gt;0,VLOOKUP(Tabla410[[#This Row],[centros]],Tabla2[[#All],[Centros]:[ID]],2,FALSE),"NULL")</f>
        <v>NULL</v>
      </c>
      <c r="N27" s="9">
        <f>VLOOKUP(Tabla410[[#This Row],[Entidad]],Tabla3[[#All],[name]:[ID_2]],2,FALSE)</f>
        <v>25</v>
      </c>
      <c r="O27" s="9">
        <f>IFERROR(VLOOKUP(Tabla410[[#This Row],[CLAVE PI]], Tabla10[], 10, FALSE), 0)</f>
        <v>0</v>
      </c>
      <c r="P27" s="42">
        <f>IFERROR(VLOOKUP(Tabla410[[#This Row],[CLAVE PS]], Tabla10[], 10, FALSE), 0)</f>
        <v>0</v>
      </c>
      <c r="Q27" s="48" t="str">
        <f t="shared" si="0"/>
        <v>INSERT INTO indicator_category_details (category_id, year_id, gender_id, center_id, state_id, PI, PS, status) VALUES (6, 16, 1, NULL, 25, 0, 0, 1);</v>
      </c>
    </row>
    <row r="28" spans="1:17" ht="15" customHeight="1" x14ac:dyDescent="0.3">
      <c r="A28" s="52">
        <v>2015</v>
      </c>
      <c r="B28" s="21" t="s">
        <v>1046</v>
      </c>
      <c r="C28" s="60" t="s">
        <v>1050</v>
      </c>
      <c r="D28" s="34" t="s">
        <v>20</v>
      </c>
      <c r="E28" s="34" t="s">
        <v>1042</v>
      </c>
      <c r="F28" s="3" t="s">
        <v>755</v>
      </c>
      <c r="G28" s="37"/>
      <c r="H28" s="41" t="str">
        <f>Tabla410[[#This Row],[P1]] &amp; "|" &amp;Tabla410[[#This Row],[Agrupación]] &amp; "|" &amp; Tabla410[[#This Row],[Sexo]] &amp; "|" &amp; Tabla410[[#This Row],[Entidad]]</f>
        <v>PI|Acoso sexual|Mujer|Sonora</v>
      </c>
      <c r="I28" s="22" t="str">
        <f>Tabla410[[#This Row],[P2]] &amp; "|" &amp;Tabla410[[#This Row],[Agrupación]] &amp; "|" &amp; Tabla410[[#This Row],[Sexo]] &amp; "|" &amp; Tabla410[[#This Row],[Entidad]]</f>
        <v>PS|Acoso sexual|Mujer|Sonora</v>
      </c>
      <c r="J28" s="9">
        <f>VLOOKUP(Tabla410[[#This Row],[Agrupación]],Tabla5[[#All],[name]:[id_1]],2,FALSE)</f>
        <v>6</v>
      </c>
      <c r="K28" s="9">
        <f>VLOOKUP(Tabla410[[#This Row],[Año]],Tabla6[[#All],[name]:[id_2]],2)</f>
        <v>16</v>
      </c>
      <c r="L28" s="9">
        <f>VLOOKUP(Tabla410[[#This Row],[Sexo]],Tabla8[[#All],[name]:[gender_id]],2,FALSE)</f>
        <v>1</v>
      </c>
      <c r="M28" s="9" t="str">
        <f>IF(LEN(Tabla410[[#This Row],[centros]])&gt;0,VLOOKUP(Tabla410[[#This Row],[centros]],Tabla2[[#All],[Centros]:[ID]],2,FALSE),"NULL")</f>
        <v>NULL</v>
      </c>
      <c r="N28" s="9">
        <f>VLOOKUP(Tabla410[[#This Row],[Entidad]],Tabla3[[#All],[name]:[ID_2]],2,FALSE)</f>
        <v>26</v>
      </c>
      <c r="O28" s="9">
        <f>IFERROR(VLOOKUP(Tabla410[[#This Row],[CLAVE PI]], Tabla10[], 10, FALSE), 0)</f>
        <v>0</v>
      </c>
      <c r="P28" s="42">
        <f>IFERROR(VLOOKUP(Tabla410[[#This Row],[CLAVE PS]], Tabla10[], 10, FALSE), 0)</f>
        <v>0</v>
      </c>
      <c r="Q28" s="48" t="str">
        <f t="shared" si="0"/>
        <v>INSERT INTO indicator_category_details (category_id, year_id, gender_id, center_id, state_id, PI, PS, status) VALUES (6, 16, 1, NULL, 26, 0, 0, 1);</v>
      </c>
    </row>
    <row r="29" spans="1:17" ht="15" customHeight="1" x14ac:dyDescent="0.3">
      <c r="A29" s="52">
        <v>2015</v>
      </c>
      <c r="B29" s="21" t="s">
        <v>1046</v>
      </c>
      <c r="C29" s="60" t="s">
        <v>1050</v>
      </c>
      <c r="D29" s="34" t="s">
        <v>20</v>
      </c>
      <c r="E29" s="34" t="s">
        <v>1042</v>
      </c>
      <c r="F29" s="3" t="s">
        <v>775</v>
      </c>
      <c r="G29" s="37"/>
      <c r="H29" s="41" t="str">
        <f>Tabla410[[#This Row],[P1]] &amp; "|" &amp;Tabla410[[#This Row],[Agrupación]] &amp; "|" &amp; Tabla410[[#This Row],[Sexo]] &amp; "|" &amp; Tabla410[[#This Row],[Entidad]]</f>
        <v>PI|Acoso sexual|Mujer|Tabasco</v>
      </c>
      <c r="I29" s="22" t="str">
        <f>Tabla410[[#This Row],[P2]] &amp; "|" &amp;Tabla410[[#This Row],[Agrupación]] &amp; "|" &amp; Tabla410[[#This Row],[Sexo]] &amp; "|" &amp; Tabla410[[#This Row],[Entidad]]</f>
        <v>PS|Acoso sexual|Mujer|Tabasco</v>
      </c>
      <c r="J29" s="9">
        <f>VLOOKUP(Tabla410[[#This Row],[Agrupación]],Tabla5[[#All],[name]:[id_1]],2,FALSE)</f>
        <v>6</v>
      </c>
      <c r="K29" s="9">
        <f>VLOOKUP(Tabla410[[#This Row],[Año]],Tabla6[[#All],[name]:[id_2]],2)</f>
        <v>16</v>
      </c>
      <c r="L29" s="9">
        <f>VLOOKUP(Tabla410[[#This Row],[Sexo]],Tabla8[[#All],[name]:[gender_id]],2,FALSE)</f>
        <v>1</v>
      </c>
      <c r="M29" s="9" t="str">
        <f>IF(LEN(Tabla410[[#This Row],[centros]])&gt;0,VLOOKUP(Tabla410[[#This Row],[centros]],Tabla2[[#All],[Centros]:[ID]],2,FALSE),"NULL")</f>
        <v>NULL</v>
      </c>
      <c r="N29" s="9">
        <f>VLOOKUP(Tabla410[[#This Row],[Entidad]],Tabla3[[#All],[name]:[ID_2]],2,FALSE)</f>
        <v>27</v>
      </c>
      <c r="O29" s="9">
        <f>IFERROR(VLOOKUP(Tabla410[[#This Row],[CLAVE PI]], Tabla10[], 10, FALSE), 0)</f>
        <v>0</v>
      </c>
      <c r="P29" s="42">
        <f>IFERROR(VLOOKUP(Tabla410[[#This Row],[CLAVE PS]], Tabla10[], 10, FALSE), 0)</f>
        <v>0</v>
      </c>
      <c r="Q29" s="48" t="str">
        <f t="shared" si="0"/>
        <v>INSERT INTO indicator_category_details (category_id, year_id, gender_id, center_id, state_id, PI, PS, status) VALUES (6, 16, 1, NULL, 27, 0, 0, 1);</v>
      </c>
    </row>
    <row r="30" spans="1:17" ht="15" customHeight="1" x14ac:dyDescent="0.3">
      <c r="A30" s="52">
        <v>2015</v>
      </c>
      <c r="B30" s="21" t="s">
        <v>1046</v>
      </c>
      <c r="C30" s="60" t="s">
        <v>1050</v>
      </c>
      <c r="D30" s="34" t="s">
        <v>20</v>
      </c>
      <c r="E30" s="34" t="s">
        <v>1042</v>
      </c>
      <c r="F30" s="3" t="s">
        <v>785</v>
      </c>
      <c r="G30" s="37"/>
      <c r="H30" s="41" t="str">
        <f>Tabla410[[#This Row],[P1]] &amp; "|" &amp;Tabla410[[#This Row],[Agrupación]] &amp; "|" &amp; Tabla410[[#This Row],[Sexo]] &amp; "|" &amp; Tabla410[[#This Row],[Entidad]]</f>
        <v>PI|Acoso sexual|Mujer|Tamaulipas</v>
      </c>
      <c r="I30" s="22" t="str">
        <f>Tabla410[[#This Row],[P2]] &amp; "|" &amp;Tabla410[[#This Row],[Agrupación]] &amp; "|" &amp; Tabla410[[#This Row],[Sexo]] &amp; "|" &amp; Tabla410[[#This Row],[Entidad]]</f>
        <v>PS|Acoso sexual|Mujer|Tamaulipas</v>
      </c>
      <c r="J30" s="9">
        <f>VLOOKUP(Tabla410[[#This Row],[Agrupación]],Tabla5[[#All],[name]:[id_1]],2,FALSE)</f>
        <v>6</v>
      </c>
      <c r="K30" s="9">
        <f>VLOOKUP(Tabla410[[#This Row],[Año]],Tabla6[[#All],[name]:[id_2]],2)</f>
        <v>16</v>
      </c>
      <c r="L30" s="9">
        <f>VLOOKUP(Tabla410[[#This Row],[Sexo]],Tabla8[[#All],[name]:[gender_id]],2,FALSE)</f>
        <v>1</v>
      </c>
      <c r="M30" s="9" t="str">
        <f>IF(LEN(Tabla410[[#This Row],[centros]])&gt;0,VLOOKUP(Tabla410[[#This Row],[centros]],Tabla2[[#All],[Centros]:[ID]],2,FALSE),"NULL")</f>
        <v>NULL</v>
      </c>
      <c r="N30" s="9">
        <f>VLOOKUP(Tabla410[[#This Row],[Entidad]],Tabla3[[#All],[name]:[ID_2]],2,FALSE)</f>
        <v>28</v>
      </c>
      <c r="O30" s="9">
        <f>IFERROR(VLOOKUP(Tabla410[[#This Row],[CLAVE PI]], Tabla10[], 10, FALSE), 0)</f>
        <v>0</v>
      </c>
      <c r="P30" s="42">
        <f>IFERROR(VLOOKUP(Tabla410[[#This Row],[CLAVE PS]], Tabla10[], 10, FALSE), 0)</f>
        <v>0</v>
      </c>
      <c r="Q30" s="48" t="str">
        <f t="shared" si="0"/>
        <v>INSERT INTO indicator_category_details (category_id, year_id, gender_id, center_id, state_id, PI, PS, status) VALUES (6, 16, 1, NULL, 28, 0, 0, 1);</v>
      </c>
    </row>
    <row r="31" spans="1:17" ht="15" customHeight="1" x14ac:dyDescent="0.3">
      <c r="A31" s="52">
        <v>2015</v>
      </c>
      <c r="B31" s="21" t="s">
        <v>1046</v>
      </c>
      <c r="C31" s="60" t="s">
        <v>1050</v>
      </c>
      <c r="D31" s="34" t="s">
        <v>20</v>
      </c>
      <c r="E31" s="34" t="s">
        <v>1042</v>
      </c>
      <c r="F31" s="3" t="s">
        <v>797</v>
      </c>
      <c r="G31" s="37"/>
      <c r="H31" s="41" t="str">
        <f>Tabla410[[#This Row],[P1]] &amp; "|" &amp;Tabla410[[#This Row],[Agrupación]] &amp; "|" &amp; Tabla410[[#This Row],[Sexo]] &amp; "|" &amp; Tabla410[[#This Row],[Entidad]]</f>
        <v>PI|Acoso sexual|Mujer|Tlaxcala</v>
      </c>
      <c r="I31" s="22" t="str">
        <f>Tabla410[[#This Row],[P2]] &amp; "|" &amp;Tabla410[[#This Row],[Agrupación]] &amp; "|" &amp; Tabla410[[#This Row],[Sexo]] &amp; "|" &amp; Tabla410[[#This Row],[Entidad]]</f>
        <v>PS|Acoso sexual|Mujer|Tlaxcala</v>
      </c>
      <c r="J31" s="9">
        <f>VLOOKUP(Tabla410[[#This Row],[Agrupación]],Tabla5[[#All],[name]:[id_1]],2,FALSE)</f>
        <v>6</v>
      </c>
      <c r="K31" s="9">
        <f>VLOOKUP(Tabla410[[#This Row],[Año]],Tabla6[[#All],[name]:[id_2]],2)</f>
        <v>16</v>
      </c>
      <c r="L31" s="9">
        <f>VLOOKUP(Tabla410[[#This Row],[Sexo]],Tabla8[[#All],[name]:[gender_id]],2,FALSE)</f>
        <v>1</v>
      </c>
      <c r="M31" s="9" t="str">
        <f>IF(LEN(Tabla410[[#This Row],[centros]])&gt;0,VLOOKUP(Tabla410[[#This Row],[centros]],Tabla2[[#All],[Centros]:[ID]],2,FALSE),"NULL")</f>
        <v>NULL</v>
      </c>
      <c r="N31" s="9">
        <f>VLOOKUP(Tabla410[[#This Row],[Entidad]],Tabla3[[#All],[name]:[ID_2]],2,FALSE)</f>
        <v>29</v>
      </c>
      <c r="O31" s="9">
        <f>IFERROR(VLOOKUP(Tabla410[[#This Row],[CLAVE PI]], Tabla10[], 10, FALSE), 0)</f>
        <v>0</v>
      </c>
      <c r="P31" s="42">
        <f>IFERROR(VLOOKUP(Tabla410[[#This Row],[CLAVE PS]], Tabla10[], 10, FALSE), 0)</f>
        <v>0</v>
      </c>
      <c r="Q31" s="48" t="str">
        <f t="shared" si="0"/>
        <v>INSERT INTO indicator_category_details (category_id, year_id, gender_id, center_id, state_id, PI, PS, status) VALUES (6, 16, 1, NULL, 29, 0, 0, 1);</v>
      </c>
    </row>
    <row r="32" spans="1:17" ht="15" customHeight="1" x14ac:dyDescent="0.3">
      <c r="A32" s="52">
        <v>2015</v>
      </c>
      <c r="B32" s="21" t="s">
        <v>1046</v>
      </c>
      <c r="C32" s="60" t="s">
        <v>1050</v>
      </c>
      <c r="D32" s="34" t="s">
        <v>20</v>
      </c>
      <c r="E32" s="34" t="s">
        <v>1042</v>
      </c>
      <c r="F32" s="3" t="s">
        <v>802</v>
      </c>
      <c r="G32" s="37"/>
      <c r="H32" s="41" t="str">
        <f>Tabla410[[#This Row],[P1]] &amp; "|" &amp;Tabla410[[#This Row],[Agrupación]] &amp; "|" &amp; Tabla410[[#This Row],[Sexo]] &amp; "|" &amp; Tabla410[[#This Row],[Entidad]]</f>
        <v>PI|Acoso sexual|Mujer|Veracruz de Ignacio de la Llave</v>
      </c>
      <c r="I32" s="22" t="str">
        <f>Tabla410[[#This Row],[P2]] &amp; "|" &amp;Tabla410[[#This Row],[Agrupación]] &amp; "|" &amp; Tabla410[[#This Row],[Sexo]] &amp; "|" &amp; Tabla410[[#This Row],[Entidad]]</f>
        <v>PS|Acoso sexual|Mujer|Veracruz de Ignacio de la Llave</v>
      </c>
      <c r="J32" s="9">
        <f>VLOOKUP(Tabla410[[#This Row],[Agrupación]],Tabla5[[#All],[name]:[id_1]],2,FALSE)</f>
        <v>6</v>
      </c>
      <c r="K32" s="9">
        <f>VLOOKUP(Tabla410[[#This Row],[Año]],Tabla6[[#All],[name]:[id_2]],2)</f>
        <v>16</v>
      </c>
      <c r="L32" s="9">
        <f>VLOOKUP(Tabla410[[#This Row],[Sexo]],Tabla8[[#All],[name]:[gender_id]],2,FALSE)</f>
        <v>1</v>
      </c>
      <c r="M32" s="9" t="str">
        <f>IF(LEN(Tabla410[[#This Row],[centros]])&gt;0,VLOOKUP(Tabla410[[#This Row],[centros]],Tabla2[[#All],[Centros]:[ID]],2,FALSE),"NULL")</f>
        <v>NULL</v>
      </c>
      <c r="N32" s="9">
        <f>VLOOKUP(Tabla410[[#This Row],[Entidad]],Tabla3[[#All],[name]:[ID_2]],2,FALSE)</f>
        <v>30</v>
      </c>
      <c r="O32" s="9">
        <f>IFERROR(VLOOKUP(Tabla410[[#This Row],[CLAVE PI]], Tabla10[], 10, FALSE), 0)</f>
        <v>0</v>
      </c>
      <c r="P32" s="42">
        <f>IFERROR(VLOOKUP(Tabla410[[#This Row],[CLAVE PS]], Tabla10[], 10, FALSE), 0)</f>
        <v>0</v>
      </c>
      <c r="Q32" s="48" t="str">
        <f t="shared" si="0"/>
        <v>INSERT INTO indicator_category_details (category_id, year_id, gender_id, center_id, state_id, PI, PS, status) VALUES (6, 16, 1, NULL, 30, 0, 0, 1);</v>
      </c>
    </row>
    <row r="33" spans="1:17" ht="15" customHeight="1" x14ac:dyDescent="0.3">
      <c r="A33" s="52">
        <v>2015</v>
      </c>
      <c r="B33" s="21" t="s">
        <v>1046</v>
      </c>
      <c r="C33" s="60" t="s">
        <v>1050</v>
      </c>
      <c r="D33" s="34" t="s">
        <v>20</v>
      </c>
      <c r="E33" s="34" t="s">
        <v>1042</v>
      </c>
      <c r="F33" s="3" t="s">
        <v>822</v>
      </c>
      <c r="G33" s="37"/>
      <c r="H33" s="41" t="str">
        <f>Tabla410[[#This Row],[P1]] &amp; "|" &amp;Tabla410[[#This Row],[Agrupación]] &amp; "|" &amp; Tabla410[[#This Row],[Sexo]] &amp; "|" &amp; Tabla410[[#This Row],[Entidad]]</f>
        <v>PI|Acoso sexual|Mujer|Yucatán</v>
      </c>
      <c r="I33" s="22" t="str">
        <f>Tabla410[[#This Row],[P2]] &amp; "|" &amp;Tabla410[[#This Row],[Agrupación]] &amp; "|" &amp; Tabla410[[#This Row],[Sexo]] &amp; "|" &amp; Tabla410[[#This Row],[Entidad]]</f>
        <v>PS|Acoso sexual|Mujer|Yucatán</v>
      </c>
      <c r="J33" s="9">
        <f>VLOOKUP(Tabla410[[#This Row],[Agrupación]],Tabla5[[#All],[name]:[id_1]],2,FALSE)</f>
        <v>6</v>
      </c>
      <c r="K33" s="9">
        <f>VLOOKUP(Tabla410[[#This Row],[Año]],Tabla6[[#All],[name]:[id_2]],2)</f>
        <v>16</v>
      </c>
      <c r="L33" s="9">
        <f>VLOOKUP(Tabla410[[#This Row],[Sexo]],Tabla8[[#All],[name]:[gender_id]],2,FALSE)</f>
        <v>1</v>
      </c>
      <c r="M33" s="9" t="str">
        <f>IF(LEN(Tabla410[[#This Row],[centros]])&gt;0,VLOOKUP(Tabla410[[#This Row],[centros]],Tabla2[[#All],[Centros]:[ID]],2,FALSE),"NULL")</f>
        <v>NULL</v>
      </c>
      <c r="N33" s="9">
        <f>VLOOKUP(Tabla410[[#This Row],[Entidad]],Tabla3[[#All],[name]:[ID_2]],2,FALSE)</f>
        <v>31</v>
      </c>
      <c r="O33" s="9">
        <f>IFERROR(VLOOKUP(Tabla410[[#This Row],[CLAVE PI]], Tabla10[], 10, FALSE), 0)</f>
        <v>0</v>
      </c>
      <c r="P33" s="42">
        <f>IFERROR(VLOOKUP(Tabla410[[#This Row],[CLAVE PS]], Tabla10[], 10, FALSE), 0)</f>
        <v>0</v>
      </c>
      <c r="Q33" s="48" t="str">
        <f t="shared" si="0"/>
        <v>INSERT INTO indicator_category_details (category_id, year_id, gender_id, center_id, state_id, PI, PS, status) VALUES (6, 16, 1, NULL, 31, 0, 0, 1);</v>
      </c>
    </row>
    <row r="34" spans="1:17" ht="15" customHeight="1" thickBot="1" x14ac:dyDescent="0.35">
      <c r="A34" s="52">
        <v>2015</v>
      </c>
      <c r="B34" s="61" t="s">
        <v>1046</v>
      </c>
      <c r="C34" s="62" t="s">
        <v>1050</v>
      </c>
      <c r="D34" s="34" t="s">
        <v>20</v>
      </c>
      <c r="E34" s="34" t="s">
        <v>1042</v>
      </c>
      <c r="F34" s="39" t="s">
        <v>827</v>
      </c>
      <c r="G34" s="40"/>
      <c r="H34" s="44" t="str">
        <f>Tabla410[[#This Row],[P1]] &amp; "|" &amp;Tabla410[[#This Row],[Agrupación]] &amp; "|" &amp; Tabla410[[#This Row],[Sexo]] &amp; "|" &amp; Tabla410[[#This Row],[Entidad]]</f>
        <v>PI|Acoso sexual|Mujer|Zacatecas</v>
      </c>
      <c r="I34" s="45" t="str">
        <f>Tabla410[[#This Row],[P2]] &amp; "|" &amp;Tabla410[[#This Row],[Agrupación]] &amp; "|" &amp; Tabla410[[#This Row],[Sexo]] &amp; "|" &amp; Tabla410[[#This Row],[Entidad]]</f>
        <v>PS|Acoso sexual|Mujer|Zacatecas</v>
      </c>
      <c r="J34" s="46">
        <f>VLOOKUP(Tabla410[[#This Row],[Agrupación]],Tabla5[[#All],[name]:[id_1]],2,FALSE)</f>
        <v>6</v>
      </c>
      <c r="K34" s="46">
        <f>VLOOKUP(Tabla410[[#This Row],[Año]],Tabla6[[#All],[name]:[id_2]],2)</f>
        <v>16</v>
      </c>
      <c r="L34" s="46">
        <f>VLOOKUP(Tabla410[[#This Row],[Sexo]],Tabla8[[#All],[name]:[gender_id]],2,FALSE)</f>
        <v>1</v>
      </c>
      <c r="M34" s="46" t="str">
        <f>IF(LEN(Tabla410[[#This Row],[centros]])&gt;0,VLOOKUP(Tabla410[[#This Row],[centros]],Tabla2[[#All],[Centros]:[ID]],2,FALSE),"NULL")</f>
        <v>NULL</v>
      </c>
      <c r="N34" s="46">
        <f>VLOOKUP(Tabla410[[#This Row],[Entidad]],Tabla3[[#All],[name]:[ID_2]],2,FALSE)</f>
        <v>32</v>
      </c>
      <c r="O34" s="46">
        <f>IFERROR(VLOOKUP(Tabla410[[#This Row],[CLAVE PI]], Tabla10[], 10, FALSE), 0)</f>
        <v>0</v>
      </c>
      <c r="P34" s="47">
        <f>IFERROR(VLOOKUP(Tabla410[[#This Row],[CLAVE PS]], Tabla10[], 10, FALSE), 0)</f>
        <v>0</v>
      </c>
      <c r="Q34" s="50" t="str">
        <f t="shared" si="0"/>
        <v>INSERT INTO indicator_category_details (category_id, year_id, gender_id, center_id, state_id, PI, PS, status) VALUES (6, 16, 1, NULL, 32, 0, 0, 1);</v>
      </c>
    </row>
    <row r="35" spans="1:17" ht="15.6" x14ac:dyDescent="0.3">
      <c r="A35" s="52">
        <v>2015</v>
      </c>
      <c r="B35" s="60" t="s">
        <v>1046</v>
      </c>
      <c r="C35" s="60" t="s">
        <v>1050</v>
      </c>
      <c r="D35" s="34" t="s">
        <v>20</v>
      </c>
      <c r="E35" s="3" t="s">
        <v>1043</v>
      </c>
      <c r="F35" s="3" t="s">
        <v>518</v>
      </c>
      <c r="G35" s="4"/>
      <c r="H35" s="41" t="str">
        <f>Tabla410[[#This Row],[P1]] &amp; "|" &amp;Tabla410[[#This Row],[Agrupación]] &amp; "|" &amp; Tabla410[[#This Row],[Sexo]] &amp; "|" &amp; Tabla410[[#This Row],[Entidad]]</f>
        <v>PI|Acoso sexual|Hombre|Aguascalientes</v>
      </c>
      <c r="I35" s="22" t="str">
        <f>Tabla410[[#This Row],[P2]] &amp; "|" &amp;Tabla410[[#This Row],[Agrupación]] &amp; "|" &amp; Tabla410[[#This Row],[Sexo]] &amp; "|" &amp; Tabla410[[#This Row],[Entidad]]</f>
        <v>PS|Acoso sexual|Hombre|Aguascalientes</v>
      </c>
      <c r="J35" s="9">
        <f>VLOOKUP(Tabla410[[#This Row],[Agrupación]],Tabla5[[#All],[name]:[id_1]],2,FALSE)</f>
        <v>6</v>
      </c>
      <c r="K35" s="9">
        <f>VLOOKUP(Tabla410[[#This Row],[Año]],Tabla6[[#All],[name]:[id_2]],2)</f>
        <v>16</v>
      </c>
      <c r="L35" s="9">
        <f>VLOOKUP(Tabla410[[#This Row],[Sexo]],Tabla8[[#All],[name]:[gender_id]],2,FALSE)</f>
        <v>2</v>
      </c>
      <c r="M35" s="9" t="str">
        <f>IF(LEN(Tabla410[[#This Row],[centros]])&gt;0,VLOOKUP(Tabla410[[#This Row],[centros]],Tabla2[[#All],[Centros]:[ID]],2,FALSE),"NULL")</f>
        <v>NULL</v>
      </c>
      <c r="N35" s="9">
        <f>VLOOKUP(Tabla410[[#This Row],[Entidad]],Tabla3[[#All],[name]:[ID_2]],2,FALSE)</f>
        <v>1</v>
      </c>
      <c r="O35" s="9">
        <f>IFERROR(VLOOKUP(Tabla410[[#This Row],[CLAVE PI]], Tabla10[], 10, FALSE), 0)</f>
        <v>0</v>
      </c>
      <c r="P35" s="42">
        <f>IFERROR(VLOOKUP(Tabla410[[#This Row],[CLAVE PS]], Tabla10[], 10, FALSE), 0)</f>
        <v>0</v>
      </c>
      <c r="Q35" s="48" t="str">
        <f t="shared" ref="Q35:Q66" si="1">"INSERT INTO indicator_category_details (category_id, year_id, gender_id, center_id, state_id, PI, PS, status) VALUES ("
&amp;J35&amp;", "&amp;K35&amp;", "&amp;L35&amp;", "&amp;M35&amp;", "&amp;N35&amp;", "&amp;O35&amp;", "&amp;P35&amp;", 1);"</f>
        <v>INSERT INTO indicator_category_details (category_id, year_id, gender_id, center_id, state_id, PI, PS, status) VALUES (6, 16, 2, NULL, 1, 0, 0, 1);</v>
      </c>
    </row>
    <row r="36" spans="1:17" ht="15.6" x14ac:dyDescent="0.3">
      <c r="A36" s="52">
        <v>2015</v>
      </c>
      <c r="B36" s="60" t="s">
        <v>1046</v>
      </c>
      <c r="C36" s="60" t="s">
        <v>1050</v>
      </c>
      <c r="D36" s="34" t="s">
        <v>20</v>
      </c>
      <c r="E36" s="3" t="s">
        <v>1043</v>
      </c>
      <c r="F36" s="3" t="s">
        <v>519</v>
      </c>
      <c r="G36" s="4"/>
      <c r="H36" s="41" t="str">
        <f>Tabla410[[#This Row],[P1]] &amp; "|" &amp;Tabla410[[#This Row],[Agrupación]] &amp; "|" &amp; Tabla410[[#This Row],[Sexo]] &amp; "|" &amp; Tabla410[[#This Row],[Entidad]]</f>
        <v>PI|Acoso sexual|Hombre|Baja California</v>
      </c>
      <c r="I36" s="22" t="str">
        <f>Tabla410[[#This Row],[P2]] &amp; "|" &amp;Tabla410[[#This Row],[Agrupación]] &amp; "|" &amp; Tabla410[[#This Row],[Sexo]] &amp; "|" &amp; Tabla410[[#This Row],[Entidad]]</f>
        <v>PS|Acoso sexual|Hombre|Baja California</v>
      </c>
      <c r="J36" s="9">
        <f>VLOOKUP(Tabla410[[#This Row],[Agrupación]],Tabla5[[#All],[name]:[id_1]],2,FALSE)</f>
        <v>6</v>
      </c>
      <c r="K36" s="9">
        <f>VLOOKUP(Tabla410[[#This Row],[Año]],Tabla6[[#All],[name]:[id_2]],2)</f>
        <v>16</v>
      </c>
      <c r="L36" s="9">
        <f>VLOOKUP(Tabla410[[#This Row],[Sexo]],Tabla8[[#All],[name]:[gender_id]],2,FALSE)</f>
        <v>2</v>
      </c>
      <c r="M36" s="9" t="str">
        <f>IF(LEN(Tabla410[[#This Row],[centros]])&gt;0,VLOOKUP(Tabla410[[#This Row],[centros]],Tabla2[[#All],[Centros]:[ID]],2,FALSE),"NULL")</f>
        <v>NULL</v>
      </c>
      <c r="N36" s="9">
        <f>VLOOKUP(Tabla410[[#This Row],[Entidad]],Tabla3[[#All],[name]:[ID_2]],2,FALSE)</f>
        <v>2</v>
      </c>
      <c r="O36" s="9">
        <f>IFERROR(VLOOKUP(Tabla410[[#This Row],[CLAVE PI]], Tabla10[], 10, FALSE), 0)</f>
        <v>0</v>
      </c>
      <c r="P36" s="42">
        <f>IFERROR(VLOOKUP(Tabla410[[#This Row],[CLAVE PS]], Tabla10[], 10, FALSE), 0)</f>
        <v>0</v>
      </c>
      <c r="Q36" s="48" t="str">
        <f t="shared" si="1"/>
        <v>INSERT INTO indicator_category_details (category_id, year_id, gender_id, center_id, state_id, PI, PS, status) VALUES (6, 16, 2, NULL, 2, 0, 0, 1);</v>
      </c>
    </row>
    <row r="37" spans="1:17" ht="15.6" x14ac:dyDescent="0.3">
      <c r="A37" s="52">
        <v>2015</v>
      </c>
      <c r="B37" s="60" t="s">
        <v>1046</v>
      </c>
      <c r="C37" s="60" t="s">
        <v>1050</v>
      </c>
      <c r="D37" s="34" t="s">
        <v>20</v>
      </c>
      <c r="E37" s="3" t="s">
        <v>1043</v>
      </c>
      <c r="F37" s="3" t="s">
        <v>528</v>
      </c>
      <c r="G37" s="4"/>
      <c r="H37" s="41" t="str">
        <f>Tabla410[[#This Row],[P1]] &amp; "|" &amp;Tabla410[[#This Row],[Agrupación]] &amp; "|" &amp; Tabla410[[#This Row],[Sexo]] &amp; "|" &amp; Tabla410[[#This Row],[Entidad]]</f>
        <v>PI|Acoso sexual|Hombre|Baja California Sur</v>
      </c>
      <c r="I37" s="22" t="str">
        <f>Tabla410[[#This Row],[P2]] &amp; "|" &amp;Tabla410[[#This Row],[Agrupación]] &amp; "|" &amp; Tabla410[[#This Row],[Sexo]] &amp; "|" &amp; Tabla410[[#This Row],[Entidad]]</f>
        <v>PS|Acoso sexual|Hombre|Baja California Sur</v>
      </c>
      <c r="J37" s="9">
        <f>VLOOKUP(Tabla410[[#This Row],[Agrupación]],Tabla5[[#All],[name]:[id_1]],2,FALSE)</f>
        <v>6</v>
      </c>
      <c r="K37" s="9">
        <f>VLOOKUP(Tabla410[[#This Row],[Año]],Tabla6[[#All],[name]:[id_2]],2)</f>
        <v>16</v>
      </c>
      <c r="L37" s="9">
        <f>VLOOKUP(Tabla410[[#This Row],[Sexo]],Tabla8[[#All],[name]:[gender_id]],2,FALSE)</f>
        <v>2</v>
      </c>
      <c r="M37" s="9" t="str">
        <f>IF(LEN(Tabla410[[#This Row],[centros]])&gt;0,VLOOKUP(Tabla410[[#This Row],[centros]],Tabla2[[#All],[Centros]:[ID]],2,FALSE),"NULL")</f>
        <v>NULL</v>
      </c>
      <c r="N37" s="9">
        <f>VLOOKUP(Tabla410[[#This Row],[Entidad]],Tabla3[[#All],[name]:[ID_2]],2,FALSE)</f>
        <v>3</v>
      </c>
      <c r="O37" s="9">
        <f>IFERROR(VLOOKUP(Tabla410[[#This Row],[CLAVE PI]], Tabla10[], 10, FALSE), 0)</f>
        <v>0</v>
      </c>
      <c r="P37" s="42">
        <f>IFERROR(VLOOKUP(Tabla410[[#This Row],[CLAVE PS]], Tabla10[], 10, FALSE), 0)</f>
        <v>0</v>
      </c>
      <c r="Q37" s="48" t="str">
        <f t="shared" si="1"/>
        <v>INSERT INTO indicator_category_details (category_id, year_id, gender_id, center_id, state_id, PI, PS, status) VALUES (6, 16, 2, NULL, 3, 0, 0, 1);</v>
      </c>
    </row>
    <row r="38" spans="1:17" ht="15.6" x14ac:dyDescent="0.3">
      <c r="A38" s="52">
        <v>2015</v>
      </c>
      <c r="B38" s="60" t="s">
        <v>1046</v>
      </c>
      <c r="C38" s="60" t="s">
        <v>1050</v>
      </c>
      <c r="D38" s="34" t="s">
        <v>20</v>
      </c>
      <c r="E38" s="3" t="s">
        <v>1043</v>
      </c>
      <c r="F38" s="3" t="s">
        <v>534</v>
      </c>
      <c r="G38" s="4"/>
      <c r="H38" s="41" t="str">
        <f>Tabla410[[#This Row],[P1]] &amp; "|" &amp;Tabla410[[#This Row],[Agrupación]] &amp; "|" &amp; Tabla410[[#This Row],[Sexo]] &amp; "|" &amp; Tabla410[[#This Row],[Entidad]]</f>
        <v>PI|Acoso sexual|Hombre|Campeche</v>
      </c>
      <c r="I38" s="22" t="str">
        <f>Tabla410[[#This Row],[P2]] &amp; "|" &amp;Tabla410[[#This Row],[Agrupación]] &amp; "|" &amp; Tabla410[[#This Row],[Sexo]] &amp; "|" &amp; Tabla410[[#This Row],[Entidad]]</f>
        <v>PS|Acoso sexual|Hombre|Campeche</v>
      </c>
      <c r="J38" s="9">
        <f>VLOOKUP(Tabla410[[#This Row],[Agrupación]],Tabla5[[#All],[name]:[id_1]],2,FALSE)</f>
        <v>6</v>
      </c>
      <c r="K38" s="9">
        <f>VLOOKUP(Tabla410[[#This Row],[Año]],Tabla6[[#All],[name]:[id_2]],2)</f>
        <v>16</v>
      </c>
      <c r="L38" s="9">
        <f>VLOOKUP(Tabla410[[#This Row],[Sexo]],Tabla8[[#All],[name]:[gender_id]],2,FALSE)</f>
        <v>2</v>
      </c>
      <c r="M38" s="9" t="str">
        <f>IF(LEN(Tabla410[[#This Row],[centros]])&gt;0,VLOOKUP(Tabla410[[#This Row],[centros]],Tabla2[[#All],[Centros]:[ID]],2,FALSE),"NULL")</f>
        <v>NULL</v>
      </c>
      <c r="N38" s="9">
        <f>VLOOKUP(Tabla410[[#This Row],[Entidad]],Tabla3[[#All],[name]:[ID_2]],2,FALSE)</f>
        <v>4</v>
      </c>
      <c r="O38" s="9">
        <f>IFERROR(VLOOKUP(Tabla410[[#This Row],[CLAVE PI]], Tabla10[], 10, FALSE), 0)</f>
        <v>0</v>
      </c>
      <c r="P38" s="42">
        <f>IFERROR(VLOOKUP(Tabla410[[#This Row],[CLAVE PS]], Tabla10[], 10, FALSE), 0)</f>
        <v>0</v>
      </c>
      <c r="Q38" s="48" t="str">
        <f t="shared" si="1"/>
        <v>INSERT INTO indicator_category_details (category_id, year_id, gender_id, center_id, state_id, PI, PS, status) VALUES (6, 16, 2, NULL, 4, 0, 0, 1);</v>
      </c>
    </row>
    <row r="39" spans="1:17" ht="15.6" x14ac:dyDescent="0.3">
      <c r="A39" s="52">
        <v>2015</v>
      </c>
      <c r="B39" s="60" t="s">
        <v>1046</v>
      </c>
      <c r="C39" s="60" t="s">
        <v>1050</v>
      </c>
      <c r="D39" s="34" t="s">
        <v>20</v>
      </c>
      <c r="E39" s="3" t="s">
        <v>1043</v>
      </c>
      <c r="F39" s="3" t="s">
        <v>553</v>
      </c>
      <c r="G39" s="4"/>
      <c r="H39" s="41" t="str">
        <f>Tabla410[[#This Row],[P1]] &amp; "|" &amp;Tabla410[[#This Row],[Agrupación]] &amp; "|" &amp; Tabla410[[#This Row],[Sexo]] &amp; "|" &amp; Tabla410[[#This Row],[Entidad]]</f>
        <v>PI|Acoso sexual|Hombre|Chiapas</v>
      </c>
      <c r="I39" s="22" t="str">
        <f>Tabla410[[#This Row],[P2]] &amp; "|" &amp;Tabla410[[#This Row],[Agrupación]] &amp; "|" &amp; Tabla410[[#This Row],[Sexo]] &amp; "|" &amp; Tabla410[[#This Row],[Entidad]]</f>
        <v>PS|Acoso sexual|Hombre|Chiapas</v>
      </c>
      <c r="J39" s="9">
        <f>VLOOKUP(Tabla410[[#This Row],[Agrupación]],Tabla5[[#All],[name]:[id_1]],2,FALSE)</f>
        <v>6</v>
      </c>
      <c r="K39" s="9">
        <f>VLOOKUP(Tabla410[[#This Row],[Año]],Tabla6[[#All],[name]:[id_2]],2)</f>
        <v>16</v>
      </c>
      <c r="L39" s="9">
        <f>VLOOKUP(Tabla410[[#This Row],[Sexo]],Tabla8[[#All],[name]:[gender_id]],2,FALSE)</f>
        <v>2</v>
      </c>
      <c r="M39" s="9" t="str">
        <f>IF(LEN(Tabla410[[#This Row],[centros]])&gt;0,VLOOKUP(Tabla410[[#This Row],[centros]],Tabla2[[#All],[Centros]:[ID]],2,FALSE),"NULL")</f>
        <v>NULL</v>
      </c>
      <c r="N39" s="9">
        <f>VLOOKUP(Tabla410[[#This Row],[Entidad]],Tabla3[[#All],[name]:[ID_2]],2,FALSE)</f>
        <v>5</v>
      </c>
      <c r="O39" s="9">
        <f>IFERROR(VLOOKUP(Tabla410[[#This Row],[CLAVE PI]], Tabla10[], 10, FALSE), 0)</f>
        <v>0</v>
      </c>
      <c r="P39" s="42">
        <f>IFERROR(VLOOKUP(Tabla410[[#This Row],[CLAVE PS]], Tabla10[], 10, FALSE), 0)</f>
        <v>0</v>
      </c>
      <c r="Q39" s="48" t="str">
        <f t="shared" si="1"/>
        <v>INSERT INTO indicator_category_details (category_id, year_id, gender_id, center_id, state_id, PI, PS, status) VALUES (6, 16, 2, NULL, 5, 0, 0, 1);</v>
      </c>
    </row>
    <row r="40" spans="1:17" ht="15.6" x14ac:dyDescent="0.3">
      <c r="A40" s="52">
        <v>2015</v>
      </c>
      <c r="B40" s="60" t="s">
        <v>1046</v>
      </c>
      <c r="C40" s="60" t="s">
        <v>1050</v>
      </c>
      <c r="D40" s="34" t="s">
        <v>20</v>
      </c>
      <c r="E40" s="3" t="s">
        <v>1043</v>
      </c>
      <c r="F40" s="3" t="s">
        <v>570</v>
      </c>
      <c r="G40" s="4"/>
      <c r="H40" s="41" t="str">
        <f>Tabla410[[#This Row],[P1]] &amp; "|" &amp;Tabla410[[#This Row],[Agrupación]] &amp; "|" &amp; Tabla410[[#This Row],[Sexo]] &amp; "|" &amp; Tabla410[[#This Row],[Entidad]]</f>
        <v>PI|Acoso sexual|Hombre|Chihuahua</v>
      </c>
      <c r="I40" s="22" t="str">
        <f>Tabla410[[#This Row],[P2]] &amp; "|" &amp;Tabla410[[#This Row],[Agrupación]] &amp; "|" &amp; Tabla410[[#This Row],[Sexo]] &amp; "|" &amp; Tabla410[[#This Row],[Entidad]]</f>
        <v>PS|Acoso sexual|Hombre|Chihuahua</v>
      </c>
      <c r="J40" s="9">
        <f>VLOOKUP(Tabla410[[#This Row],[Agrupación]],Tabla5[[#All],[name]:[id_1]],2,FALSE)</f>
        <v>6</v>
      </c>
      <c r="K40" s="9">
        <f>VLOOKUP(Tabla410[[#This Row],[Año]],Tabla6[[#All],[name]:[id_2]],2)</f>
        <v>16</v>
      </c>
      <c r="L40" s="9">
        <f>VLOOKUP(Tabla410[[#This Row],[Sexo]],Tabla8[[#All],[name]:[gender_id]],2,FALSE)</f>
        <v>2</v>
      </c>
      <c r="M40" s="9" t="str">
        <f>IF(LEN(Tabla410[[#This Row],[centros]])&gt;0,VLOOKUP(Tabla410[[#This Row],[centros]],Tabla2[[#All],[Centros]:[ID]],2,FALSE),"NULL")</f>
        <v>NULL</v>
      </c>
      <c r="N40" s="9">
        <f>VLOOKUP(Tabla410[[#This Row],[Entidad]],Tabla3[[#All],[name]:[ID_2]],2,FALSE)</f>
        <v>6</v>
      </c>
      <c r="O40" s="9">
        <f>IFERROR(VLOOKUP(Tabla410[[#This Row],[CLAVE PI]], Tabla10[], 10, FALSE), 0)</f>
        <v>0</v>
      </c>
      <c r="P40" s="42">
        <f>IFERROR(VLOOKUP(Tabla410[[#This Row],[CLAVE PS]], Tabla10[], 10, FALSE), 0)</f>
        <v>0</v>
      </c>
      <c r="Q40" s="48" t="str">
        <f t="shared" si="1"/>
        <v>INSERT INTO indicator_category_details (category_id, year_id, gender_id, center_id, state_id, PI, PS, status) VALUES (6, 16, 2, NULL, 6, 0, 0, 1);</v>
      </c>
    </row>
    <row r="41" spans="1:17" ht="15.6" x14ac:dyDescent="0.3">
      <c r="A41" s="52">
        <v>2015</v>
      </c>
      <c r="B41" s="60" t="s">
        <v>1046</v>
      </c>
      <c r="C41" s="60" t="s">
        <v>1050</v>
      </c>
      <c r="D41" s="34" t="s">
        <v>20</v>
      </c>
      <c r="E41" s="3" t="s">
        <v>1043</v>
      </c>
      <c r="F41" s="3" t="s">
        <v>582</v>
      </c>
      <c r="G41" s="4"/>
      <c r="H41" s="41" t="str">
        <f>Tabla410[[#This Row],[P1]] &amp; "|" &amp;Tabla410[[#This Row],[Agrupación]] &amp; "|" &amp; Tabla410[[#This Row],[Sexo]] &amp; "|" &amp; Tabla410[[#This Row],[Entidad]]</f>
        <v>PI|Acoso sexual|Hombre|Ciudad de México</v>
      </c>
      <c r="I41" s="22" t="str">
        <f>Tabla410[[#This Row],[P2]] &amp; "|" &amp;Tabla410[[#This Row],[Agrupación]] &amp; "|" &amp; Tabla410[[#This Row],[Sexo]] &amp; "|" &amp; Tabla410[[#This Row],[Entidad]]</f>
        <v>PS|Acoso sexual|Hombre|Ciudad de México</v>
      </c>
      <c r="J41" s="9">
        <f>VLOOKUP(Tabla410[[#This Row],[Agrupación]],Tabla5[[#All],[name]:[id_1]],2,FALSE)</f>
        <v>6</v>
      </c>
      <c r="K41" s="9">
        <f>VLOOKUP(Tabla410[[#This Row],[Año]],Tabla6[[#All],[name]:[id_2]],2)</f>
        <v>16</v>
      </c>
      <c r="L41" s="9">
        <f>VLOOKUP(Tabla410[[#This Row],[Sexo]],Tabla8[[#All],[name]:[gender_id]],2,FALSE)</f>
        <v>2</v>
      </c>
      <c r="M41" s="9" t="str">
        <f>IF(LEN(Tabla410[[#This Row],[centros]])&gt;0,VLOOKUP(Tabla410[[#This Row],[centros]],Tabla2[[#All],[Centros]:[ID]],2,FALSE),"NULL")</f>
        <v>NULL</v>
      </c>
      <c r="N41" s="9">
        <f>VLOOKUP(Tabla410[[#This Row],[Entidad]],Tabla3[[#All],[name]:[ID_2]],2,FALSE)</f>
        <v>7</v>
      </c>
      <c r="O41" s="9">
        <f>IFERROR(VLOOKUP(Tabla410[[#This Row],[CLAVE PI]], Tabla10[], 10, FALSE), 0)</f>
        <v>0</v>
      </c>
      <c r="P41" s="42">
        <f>IFERROR(VLOOKUP(Tabla410[[#This Row],[CLAVE PS]], Tabla10[], 10, FALSE), 0)</f>
        <v>0</v>
      </c>
      <c r="Q41" s="48" t="str">
        <f t="shared" si="1"/>
        <v>INSERT INTO indicator_category_details (category_id, year_id, gender_id, center_id, state_id, PI, PS, status) VALUES (6, 16, 2, NULL, 7, 0, 0, 1);</v>
      </c>
    </row>
    <row r="42" spans="1:17" ht="15.6" x14ac:dyDescent="0.3">
      <c r="A42" s="52">
        <v>2015</v>
      </c>
      <c r="B42" s="60" t="s">
        <v>1046</v>
      </c>
      <c r="C42" s="60" t="s">
        <v>1050</v>
      </c>
      <c r="D42" s="34" t="s">
        <v>20</v>
      </c>
      <c r="E42" s="3" t="s">
        <v>1043</v>
      </c>
      <c r="F42" s="3" t="s">
        <v>538</v>
      </c>
      <c r="G42" s="4"/>
      <c r="H42" s="41" t="str">
        <f>Tabla410[[#This Row],[P1]] &amp; "|" &amp;Tabla410[[#This Row],[Agrupación]] &amp; "|" &amp; Tabla410[[#This Row],[Sexo]] &amp; "|" &amp; Tabla410[[#This Row],[Entidad]]</f>
        <v>PI|Acoso sexual|Hombre|Coahuila de Zaragoza</v>
      </c>
      <c r="I42" s="22" t="str">
        <f>Tabla410[[#This Row],[P2]] &amp; "|" &amp;Tabla410[[#This Row],[Agrupación]] &amp; "|" &amp; Tabla410[[#This Row],[Sexo]] &amp; "|" &amp; Tabla410[[#This Row],[Entidad]]</f>
        <v>PS|Acoso sexual|Hombre|Coahuila de Zaragoza</v>
      </c>
      <c r="J42" s="9">
        <f>VLOOKUP(Tabla410[[#This Row],[Agrupación]],Tabla5[[#All],[name]:[id_1]],2,FALSE)</f>
        <v>6</v>
      </c>
      <c r="K42" s="9">
        <f>VLOOKUP(Tabla410[[#This Row],[Año]],Tabla6[[#All],[name]:[id_2]],2)</f>
        <v>16</v>
      </c>
      <c r="L42" s="9">
        <f>VLOOKUP(Tabla410[[#This Row],[Sexo]],Tabla8[[#All],[name]:[gender_id]],2,FALSE)</f>
        <v>2</v>
      </c>
      <c r="M42" s="9" t="str">
        <f>IF(LEN(Tabla410[[#This Row],[centros]])&gt;0,VLOOKUP(Tabla410[[#This Row],[centros]],Tabla2[[#All],[Centros]:[ID]],2,FALSE),"NULL")</f>
        <v>NULL</v>
      </c>
      <c r="N42" s="9">
        <f>VLOOKUP(Tabla410[[#This Row],[Entidad]],Tabla3[[#All],[name]:[ID_2]],2,FALSE)</f>
        <v>8</v>
      </c>
      <c r="O42" s="9">
        <f>IFERROR(VLOOKUP(Tabla410[[#This Row],[CLAVE PI]], Tabla10[], 10, FALSE), 0)</f>
        <v>0</v>
      </c>
      <c r="P42" s="42">
        <f>IFERROR(VLOOKUP(Tabla410[[#This Row],[CLAVE PS]], Tabla10[], 10, FALSE), 0)</f>
        <v>0</v>
      </c>
      <c r="Q42" s="48" t="str">
        <f t="shared" si="1"/>
        <v>INSERT INTO indicator_category_details (category_id, year_id, gender_id, center_id, state_id, PI, PS, status) VALUES (6, 16, 2, NULL, 8, 0, 0, 1);</v>
      </c>
    </row>
    <row r="43" spans="1:17" ht="15.6" x14ac:dyDescent="0.3">
      <c r="A43" s="52">
        <v>2015</v>
      </c>
      <c r="B43" s="60" t="s">
        <v>1046</v>
      </c>
      <c r="C43" s="60" t="s">
        <v>1050</v>
      </c>
      <c r="D43" s="34" t="s">
        <v>20</v>
      </c>
      <c r="E43" s="3" t="s">
        <v>1043</v>
      </c>
      <c r="F43" s="3" t="s">
        <v>547</v>
      </c>
      <c r="G43" s="4"/>
      <c r="H43" s="41" t="str">
        <f>Tabla410[[#This Row],[P1]] &amp; "|" &amp;Tabla410[[#This Row],[Agrupación]] &amp; "|" &amp; Tabla410[[#This Row],[Sexo]] &amp; "|" &amp; Tabla410[[#This Row],[Entidad]]</f>
        <v>PI|Acoso sexual|Hombre|Colima</v>
      </c>
      <c r="I43" s="22" t="str">
        <f>Tabla410[[#This Row],[P2]] &amp; "|" &amp;Tabla410[[#This Row],[Agrupación]] &amp; "|" &amp; Tabla410[[#This Row],[Sexo]] &amp; "|" &amp; Tabla410[[#This Row],[Entidad]]</f>
        <v>PS|Acoso sexual|Hombre|Colima</v>
      </c>
      <c r="J43" s="9">
        <f>VLOOKUP(Tabla410[[#This Row],[Agrupación]],Tabla5[[#All],[name]:[id_1]],2,FALSE)</f>
        <v>6</v>
      </c>
      <c r="K43" s="9">
        <f>VLOOKUP(Tabla410[[#This Row],[Año]],Tabla6[[#All],[name]:[id_2]],2)</f>
        <v>16</v>
      </c>
      <c r="L43" s="9">
        <f>VLOOKUP(Tabla410[[#This Row],[Sexo]],Tabla8[[#All],[name]:[gender_id]],2,FALSE)</f>
        <v>2</v>
      </c>
      <c r="M43" s="9" t="str">
        <f>IF(LEN(Tabla410[[#This Row],[centros]])&gt;0,VLOOKUP(Tabla410[[#This Row],[centros]],Tabla2[[#All],[Centros]:[ID]],2,FALSE),"NULL")</f>
        <v>NULL</v>
      </c>
      <c r="N43" s="9">
        <f>VLOOKUP(Tabla410[[#This Row],[Entidad]],Tabla3[[#All],[name]:[ID_2]],2,FALSE)</f>
        <v>9</v>
      </c>
      <c r="O43" s="9">
        <f>IFERROR(VLOOKUP(Tabla410[[#This Row],[CLAVE PI]], Tabla10[], 10, FALSE), 0)</f>
        <v>0</v>
      </c>
      <c r="P43" s="42">
        <f>IFERROR(VLOOKUP(Tabla410[[#This Row],[CLAVE PS]], Tabla10[], 10, FALSE), 0)</f>
        <v>0</v>
      </c>
      <c r="Q43" s="48" t="str">
        <f t="shared" si="1"/>
        <v>INSERT INTO indicator_category_details (category_id, year_id, gender_id, center_id, state_id, PI, PS, status) VALUES (6, 16, 2, NULL, 9, 0, 0, 1);</v>
      </c>
    </row>
    <row r="44" spans="1:17" ht="15.6" x14ac:dyDescent="0.3">
      <c r="A44" s="52">
        <v>2015</v>
      </c>
      <c r="B44" s="60" t="s">
        <v>1046</v>
      </c>
      <c r="C44" s="60" t="s">
        <v>1050</v>
      </c>
      <c r="D44" s="34" t="s">
        <v>20</v>
      </c>
      <c r="E44" s="3" t="s">
        <v>1043</v>
      </c>
      <c r="F44" s="3" t="s">
        <v>600</v>
      </c>
      <c r="G44" s="4"/>
      <c r="H44" s="41" t="str">
        <f>Tabla410[[#This Row],[P1]] &amp; "|" &amp;Tabla410[[#This Row],[Agrupación]] &amp; "|" &amp; Tabla410[[#This Row],[Sexo]] &amp; "|" &amp; Tabla410[[#This Row],[Entidad]]</f>
        <v>PI|Acoso sexual|Hombre|Durango</v>
      </c>
      <c r="I44" s="22" t="str">
        <f>Tabla410[[#This Row],[P2]] &amp; "|" &amp;Tabla410[[#This Row],[Agrupación]] &amp; "|" &amp; Tabla410[[#This Row],[Sexo]] &amp; "|" &amp; Tabla410[[#This Row],[Entidad]]</f>
        <v>PS|Acoso sexual|Hombre|Durango</v>
      </c>
      <c r="J44" s="9">
        <f>VLOOKUP(Tabla410[[#This Row],[Agrupación]],Tabla5[[#All],[name]:[id_1]],2,FALSE)</f>
        <v>6</v>
      </c>
      <c r="K44" s="9">
        <f>VLOOKUP(Tabla410[[#This Row],[Año]],Tabla6[[#All],[name]:[id_2]],2)</f>
        <v>16</v>
      </c>
      <c r="L44" s="9">
        <f>VLOOKUP(Tabla410[[#This Row],[Sexo]],Tabla8[[#All],[name]:[gender_id]],2,FALSE)</f>
        <v>2</v>
      </c>
      <c r="M44" s="9" t="str">
        <f>IF(LEN(Tabla410[[#This Row],[centros]])&gt;0,VLOOKUP(Tabla410[[#This Row],[centros]],Tabla2[[#All],[Centros]:[ID]],2,FALSE),"NULL")</f>
        <v>NULL</v>
      </c>
      <c r="N44" s="9">
        <f>VLOOKUP(Tabla410[[#This Row],[Entidad]],Tabla3[[#All],[name]:[ID_2]],2,FALSE)</f>
        <v>10</v>
      </c>
      <c r="O44" s="9">
        <f>IFERROR(VLOOKUP(Tabla410[[#This Row],[CLAVE PI]], Tabla10[], 10, FALSE), 0)</f>
        <v>0</v>
      </c>
      <c r="P44" s="42">
        <f>IFERROR(VLOOKUP(Tabla410[[#This Row],[CLAVE PS]], Tabla10[], 10, FALSE), 0)</f>
        <v>0</v>
      </c>
      <c r="Q44" s="48" t="str">
        <f t="shared" si="1"/>
        <v>INSERT INTO indicator_category_details (category_id, year_id, gender_id, center_id, state_id, PI, PS, status) VALUES (6, 16, 2, NULL, 10, 0, 0, 1);</v>
      </c>
    </row>
    <row r="45" spans="1:17" ht="15.6" x14ac:dyDescent="0.3">
      <c r="A45" s="52">
        <v>2015</v>
      </c>
      <c r="B45" s="60" t="s">
        <v>1046</v>
      </c>
      <c r="C45" s="60" t="s">
        <v>1050</v>
      </c>
      <c r="D45" s="34" t="s">
        <v>20</v>
      </c>
      <c r="E45" s="3" t="s">
        <v>1043</v>
      </c>
      <c r="F45" s="3" t="s">
        <v>606</v>
      </c>
      <c r="G45" s="4"/>
      <c r="H45" s="41" t="str">
        <f>Tabla410[[#This Row],[P1]] &amp; "|" &amp;Tabla410[[#This Row],[Agrupación]] &amp; "|" &amp; Tabla410[[#This Row],[Sexo]] &amp; "|" &amp; Tabla410[[#This Row],[Entidad]]</f>
        <v>PI|Acoso sexual|Hombre|Guanajuato</v>
      </c>
      <c r="I45" s="22" t="str">
        <f>Tabla410[[#This Row],[P2]] &amp; "|" &amp;Tabla410[[#This Row],[Agrupación]] &amp; "|" &amp; Tabla410[[#This Row],[Sexo]] &amp; "|" &amp; Tabla410[[#This Row],[Entidad]]</f>
        <v>PS|Acoso sexual|Hombre|Guanajuato</v>
      </c>
      <c r="J45" s="9">
        <f>VLOOKUP(Tabla410[[#This Row],[Agrupación]],Tabla5[[#All],[name]:[id_1]],2,FALSE)</f>
        <v>6</v>
      </c>
      <c r="K45" s="9">
        <f>VLOOKUP(Tabla410[[#This Row],[Año]],Tabla6[[#All],[name]:[id_2]],2)</f>
        <v>16</v>
      </c>
      <c r="L45" s="9">
        <f>VLOOKUP(Tabla410[[#This Row],[Sexo]],Tabla8[[#All],[name]:[gender_id]],2,FALSE)</f>
        <v>2</v>
      </c>
      <c r="M45" s="9" t="str">
        <f>IF(LEN(Tabla410[[#This Row],[centros]])&gt;0,VLOOKUP(Tabla410[[#This Row],[centros]],Tabla2[[#All],[Centros]:[ID]],2,FALSE),"NULL")</f>
        <v>NULL</v>
      </c>
      <c r="N45" s="9">
        <f>VLOOKUP(Tabla410[[#This Row],[Entidad]],Tabla3[[#All],[name]:[ID_2]],2,FALSE)</f>
        <v>11</v>
      </c>
      <c r="O45" s="9">
        <f>IFERROR(VLOOKUP(Tabla410[[#This Row],[CLAVE PI]], Tabla10[], 10, FALSE), 0)</f>
        <v>0</v>
      </c>
      <c r="P45" s="42">
        <f>IFERROR(VLOOKUP(Tabla410[[#This Row],[CLAVE PS]], Tabla10[], 10, FALSE), 0)</f>
        <v>0</v>
      </c>
      <c r="Q45" s="48" t="str">
        <f t="shared" si="1"/>
        <v>INSERT INTO indicator_category_details (category_id, year_id, gender_id, center_id, state_id, PI, PS, status) VALUES (6, 16, 2, NULL, 11, 0, 0, 1);</v>
      </c>
    </row>
    <row r="46" spans="1:17" ht="15.6" x14ac:dyDescent="0.3">
      <c r="A46" s="52">
        <v>2015</v>
      </c>
      <c r="B46" s="60" t="s">
        <v>1046</v>
      </c>
      <c r="C46" s="60" t="s">
        <v>1050</v>
      </c>
      <c r="D46" s="34" t="s">
        <v>20</v>
      </c>
      <c r="E46" s="3" t="s">
        <v>1043</v>
      </c>
      <c r="F46" s="3" t="s">
        <v>619</v>
      </c>
      <c r="G46" s="4"/>
      <c r="H46" s="41" t="str">
        <f>Tabla410[[#This Row],[P1]] &amp; "|" &amp;Tabla410[[#This Row],[Agrupación]] &amp; "|" &amp; Tabla410[[#This Row],[Sexo]] &amp; "|" &amp; Tabla410[[#This Row],[Entidad]]</f>
        <v>PI|Acoso sexual|Hombre|Guerrero</v>
      </c>
      <c r="I46" s="22" t="str">
        <f>Tabla410[[#This Row],[P2]] &amp; "|" &amp;Tabla410[[#This Row],[Agrupación]] &amp; "|" &amp; Tabla410[[#This Row],[Sexo]] &amp; "|" &amp; Tabla410[[#This Row],[Entidad]]</f>
        <v>PS|Acoso sexual|Hombre|Guerrero</v>
      </c>
      <c r="J46" s="9">
        <f>VLOOKUP(Tabla410[[#This Row],[Agrupación]],Tabla5[[#All],[name]:[id_1]],2,FALSE)</f>
        <v>6</v>
      </c>
      <c r="K46" s="9">
        <f>VLOOKUP(Tabla410[[#This Row],[Año]],Tabla6[[#All],[name]:[id_2]],2)</f>
        <v>16</v>
      </c>
      <c r="L46" s="9">
        <f>VLOOKUP(Tabla410[[#This Row],[Sexo]],Tabla8[[#All],[name]:[gender_id]],2,FALSE)</f>
        <v>2</v>
      </c>
      <c r="M46" s="9" t="str">
        <f>IF(LEN(Tabla410[[#This Row],[centros]])&gt;0,VLOOKUP(Tabla410[[#This Row],[centros]],Tabla2[[#All],[Centros]:[ID]],2,FALSE),"NULL")</f>
        <v>NULL</v>
      </c>
      <c r="N46" s="9">
        <f>VLOOKUP(Tabla410[[#This Row],[Entidad]],Tabla3[[#All],[name]:[ID_2]],2,FALSE)</f>
        <v>12</v>
      </c>
      <c r="O46" s="9">
        <f>IFERROR(VLOOKUP(Tabla410[[#This Row],[CLAVE PI]], Tabla10[], 10, FALSE), 0)</f>
        <v>0</v>
      </c>
      <c r="P46" s="42">
        <f>IFERROR(VLOOKUP(Tabla410[[#This Row],[CLAVE PS]], Tabla10[], 10, FALSE), 0)</f>
        <v>0</v>
      </c>
      <c r="Q46" s="48" t="str">
        <f t="shared" si="1"/>
        <v>INSERT INTO indicator_category_details (category_id, year_id, gender_id, center_id, state_id, PI, PS, status) VALUES (6, 16, 2, NULL, 12, 0, 0, 1);</v>
      </c>
    </row>
    <row r="47" spans="1:17" ht="15.6" x14ac:dyDescent="0.3">
      <c r="A47" s="52">
        <v>2015</v>
      </c>
      <c r="B47" s="60" t="s">
        <v>1046</v>
      </c>
      <c r="C47" s="60" t="s">
        <v>1050</v>
      </c>
      <c r="D47" s="34" t="s">
        <v>20</v>
      </c>
      <c r="E47" s="3" t="s">
        <v>1043</v>
      </c>
      <c r="F47" s="3" t="s">
        <v>633</v>
      </c>
      <c r="G47" s="4"/>
      <c r="H47" s="41" t="str">
        <f>Tabla410[[#This Row],[P1]] &amp; "|" &amp;Tabla410[[#This Row],[Agrupación]] &amp; "|" &amp; Tabla410[[#This Row],[Sexo]] &amp; "|" &amp; Tabla410[[#This Row],[Entidad]]</f>
        <v>PI|Acoso sexual|Hombre|Hidalgo</v>
      </c>
      <c r="I47" s="22" t="str">
        <f>Tabla410[[#This Row],[P2]] &amp; "|" &amp;Tabla410[[#This Row],[Agrupación]] &amp; "|" &amp; Tabla410[[#This Row],[Sexo]] &amp; "|" &amp; Tabla410[[#This Row],[Entidad]]</f>
        <v>PS|Acoso sexual|Hombre|Hidalgo</v>
      </c>
      <c r="J47" s="9">
        <f>VLOOKUP(Tabla410[[#This Row],[Agrupación]],Tabla5[[#All],[name]:[id_1]],2,FALSE)</f>
        <v>6</v>
      </c>
      <c r="K47" s="9">
        <f>VLOOKUP(Tabla410[[#This Row],[Año]],Tabla6[[#All],[name]:[id_2]],2)</f>
        <v>16</v>
      </c>
      <c r="L47" s="9">
        <f>VLOOKUP(Tabla410[[#This Row],[Sexo]],Tabla8[[#All],[name]:[gender_id]],2,FALSE)</f>
        <v>2</v>
      </c>
      <c r="M47" s="9" t="str">
        <f>IF(LEN(Tabla410[[#This Row],[centros]])&gt;0,VLOOKUP(Tabla410[[#This Row],[centros]],Tabla2[[#All],[Centros]:[ID]],2,FALSE),"NULL")</f>
        <v>NULL</v>
      </c>
      <c r="N47" s="9">
        <f>VLOOKUP(Tabla410[[#This Row],[Entidad]],Tabla3[[#All],[name]:[ID_2]],2,FALSE)</f>
        <v>13</v>
      </c>
      <c r="O47" s="9">
        <f>IFERROR(VLOOKUP(Tabla410[[#This Row],[CLAVE PI]], Tabla10[], 10, FALSE), 0)</f>
        <v>0</v>
      </c>
      <c r="P47" s="42">
        <f>IFERROR(VLOOKUP(Tabla410[[#This Row],[CLAVE PS]], Tabla10[], 10, FALSE), 0)</f>
        <v>0</v>
      </c>
      <c r="Q47" s="48" t="str">
        <f t="shared" si="1"/>
        <v>INSERT INTO indicator_category_details (category_id, year_id, gender_id, center_id, state_id, PI, PS, status) VALUES (6, 16, 2, NULL, 13, 0, 0, 1);</v>
      </c>
    </row>
    <row r="48" spans="1:17" ht="15.6" x14ac:dyDescent="0.3">
      <c r="A48" s="52">
        <v>2015</v>
      </c>
      <c r="B48" s="60" t="s">
        <v>1046</v>
      </c>
      <c r="C48" s="60" t="s">
        <v>1050</v>
      </c>
      <c r="D48" s="34" t="s">
        <v>20</v>
      </c>
      <c r="E48" s="3" t="s">
        <v>1043</v>
      </c>
      <c r="F48" s="3" t="s">
        <v>647</v>
      </c>
      <c r="G48" s="4"/>
      <c r="H48" s="41" t="str">
        <f>Tabla410[[#This Row],[P1]] &amp; "|" &amp;Tabla410[[#This Row],[Agrupación]] &amp; "|" &amp; Tabla410[[#This Row],[Sexo]] &amp; "|" &amp; Tabla410[[#This Row],[Entidad]]</f>
        <v>PI|Acoso sexual|Hombre|Jalisco</v>
      </c>
      <c r="I48" s="22" t="str">
        <f>Tabla410[[#This Row],[P2]] &amp; "|" &amp;Tabla410[[#This Row],[Agrupación]] &amp; "|" &amp; Tabla410[[#This Row],[Sexo]] &amp; "|" &amp; Tabla410[[#This Row],[Entidad]]</f>
        <v>PS|Acoso sexual|Hombre|Jalisco</v>
      </c>
      <c r="J48" s="9">
        <f>VLOOKUP(Tabla410[[#This Row],[Agrupación]],Tabla5[[#All],[name]:[id_1]],2,FALSE)</f>
        <v>6</v>
      </c>
      <c r="K48" s="9">
        <f>VLOOKUP(Tabla410[[#This Row],[Año]],Tabla6[[#All],[name]:[id_2]],2)</f>
        <v>16</v>
      </c>
      <c r="L48" s="9">
        <f>VLOOKUP(Tabla410[[#This Row],[Sexo]],Tabla8[[#All],[name]:[gender_id]],2,FALSE)</f>
        <v>2</v>
      </c>
      <c r="M48" s="9" t="str">
        <f>IF(LEN(Tabla410[[#This Row],[centros]])&gt;0,VLOOKUP(Tabla410[[#This Row],[centros]],Tabla2[[#All],[Centros]:[ID]],2,FALSE),"NULL")</f>
        <v>NULL</v>
      </c>
      <c r="N48" s="9">
        <f>VLOOKUP(Tabla410[[#This Row],[Entidad]],Tabla3[[#All],[name]:[ID_2]],2,FALSE)</f>
        <v>14</v>
      </c>
      <c r="O48" s="9">
        <f>IFERROR(VLOOKUP(Tabla410[[#This Row],[CLAVE PI]], Tabla10[], 10, FALSE), 0)</f>
        <v>0</v>
      </c>
      <c r="P48" s="42">
        <f>IFERROR(VLOOKUP(Tabla410[[#This Row],[CLAVE PS]], Tabla10[], 10, FALSE), 0)</f>
        <v>0</v>
      </c>
      <c r="Q48" s="48" t="str">
        <f t="shared" si="1"/>
        <v>INSERT INTO indicator_category_details (category_id, year_id, gender_id, center_id, state_id, PI, PS, status) VALUES (6, 16, 2, NULL, 14, 0, 0, 1);</v>
      </c>
    </row>
    <row r="49" spans="1:17" ht="15.6" x14ac:dyDescent="0.3">
      <c r="A49" s="52">
        <v>2015</v>
      </c>
      <c r="B49" s="60" t="s">
        <v>1046</v>
      </c>
      <c r="C49" s="60" t="s">
        <v>1050</v>
      </c>
      <c r="D49" s="34" t="s">
        <v>20</v>
      </c>
      <c r="E49" s="3" t="s">
        <v>1043</v>
      </c>
      <c r="F49" s="3" t="s">
        <v>662</v>
      </c>
      <c r="G49" s="4"/>
      <c r="H49" s="41" t="str">
        <f>Tabla410[[#This Row],[P1]] &amp; "|" &amp;Tabla410[[#This Row],[Agrupación]] &amp; "|" &amp; Tabla410[[#This Row],[Sexo]] &amp; "|" &amp; Tabla410[[#This Row],[Entidad]]</f>
        <v>PI|Acoso sexual|Hombre|México</v>
      </c>
      <c r="I49" s="22" t="str">
        <f>Tabla410[[#This Row],[P2]] &amp; "|" &amp;Tabla410[[#This Row],[Agrupación]] &amp; "|" &amp; Tabla410[[#This Row],[Sexo]] &amp; "|" &amp; Tabla410[[#This Row],[Entidad]]</f>
        <v>PS|Acoso sexual|Hombre|México</v>
      </c>
      <c r="J49" s="9">
        <f>VLOOKUP(Tabla410[[#This Row],[Agrupación]],Tabla5[[#All],[name]:[id_1]],2,FALSE)</f>
        <v>6</v>
      </c>
      <c r="K49" s="9">
        <f>VLOOKUP(Tabla410[[#This Row],[Año]],Tabla6[[#All],[name]:[id_2]],2)</f>
        <v>16</v>
      </c>
      <c r="L49" s="9">
        <f>VLOOKUP(Tabla410[[#This Row],[Sexo]],Tabla8[[#All],[name]:[gender_id]],2,FALSE)</f>
        <v>2</v>
      </c>
      <c r="M49" s="9" t="str">
        <f>IF(LEN(Tabla410[[#This Row],[centros]])&gt;0,VLOOKUP(Tabla410[[#This Row],[centros]],Tabla2[[#All],[Centros]:[ID]],2,FALSE),"NULL")</f>
        <v>NULL</v>
      </c>
      <c r="N49" s="9">
        <f>VLOOKUP(Tabla410[[#This Row],[Entidad]],Tabla3[[#All],[name]:[ID_2]],2,FALSE)</f>
        <v>15</v>
      </c>
      <c r="O49" s="9">
        <f>IFERROR(VLOOKUP(Tabla410[[#This Row],[CLAVE PI]], Tabla10[], 10, FALSE), 0)</f>
        <v>0</v>
      </c>
      <c r="P49" s="42">
        <f>IFERROR(VLOOKUP(Tabla410[[#This Row],[CLAVE PS]], Tabla10[], 10, FALSE), 0)</f>
        <v>0</v>
      </c>
      <c r="Q49" s="48" t="str">
        <f t="shared" si="1"/>
        <v>INSERT INTO indicator_category_details (category_id, year_id, gender_id, center_id, state_id, PI, PS, status) VALUES (6, 16, 2, NULL, 15, 0, 0, 1);</v>
      </c>
    </row>
    <row r="50" spans="1:17" ht="15.6" x14ac:dyDescent="0.3">
      <c r="A50" s="52">
        <v>2015</v>
      </c>
      <c r="B50" s="60" t="s">
        <v>1046</v>
      </c>
      <c r="C50" s="60" t="s">
        <v>1050</v>
      </c>
      <c r="D50" s="34" t="s">
        <v>20</v>
      </c>
      <c r="E50" s="3" t="s">
        <v>1043</v>
      </c>
      <c r="F50" s="3" t="s">
        <v>685</v>
      </c>
      <c r="G50" s="4"/>
      <c r="H50" s="41" t="str">
        <f>Tabla410[[#This Row],[P1]] &amp; "|" &amp;Tabla410[[#This Row],[Agrupación]] &amp; "|" &amp; Tabla410[[#This Row],[Sexo]] &amp; "|" &amp; Tabla410[[#This Row],[Entidad]]</f>
        <v>PI|Acoso sexual|Hombre|Michoacán de Ocampo</v>
      </c>
      <c r="I50" s="22" t="str">
        <f>Tabla410[[#This Row],[P2]] &amp; "|" &amp;Tabla410[[#This Row],[Agrupación]] &amp; "|" &amp; Tabla410[[#This Row],[Sexo]] &amp; "|" &amp; Tabla410[[#This Row],[Entidad]]</f>
        <v>PS|Acoso sexual|Hombre|Michoacán de Ocampo</v>
      </c>
      <c r="J50" s="9">
        <f>VLOOKUP(Tabla410[[#This Row],[Agrupación]],Tabla5[[#All],[name]:[id_1]],2,FALSE)</f>
        <v>6</v>
      </c>
      <c r="K50" s="9">
        <f>VLOOKUP(Tabla410[[#This Row],[Año]],Tabla6[[#All],[name]:[id_2]],2)</f>
        <v>16</v>
      </c>
      <c r="L50" s="9">
        <f>VLOOKUP(Tabla410[[#This Row],[Sexo]],Tabla8[[#All],[name]:[gender_id]],2,FALSE)</f>
        <v>2</v>
      </c>
      <c r="M50" s="9" t="str">
        <f>IF(LEN(Tabla410[[#This Row],[centros]])&gt;0,VLOOKUP(Tabla410[[#This Row],[centros]],Tabla2[[#All],[Centros]:[ID]],2,FALSE),"NULL")</f>
        <v>NULL</v>
      </c>
      <c r="N50" s="9">
        <f>VLOOKUP(Tabla410[[#This Row],[Entidad]],Tabla3[[#All],[name]:[ID_2]],2,FALSE)</f>
        <v>16</v>
      </c>
      <c r="O50" s="9">
        <f>IFERROR(VLOOKUP(Tabla410[[#This Row],[CLAVE PI]], Tabla10[], 10, FALSE), 0)</f>
        <v>0</v>
      </c>
      <c r="P50" s="42">
        <f>IFERROR(VLOOKUP(Tabla410[[#This Row],[CLAVE PS]], Tabla10[], 10, FALSE), 0)</f>
        <v>0</v>
      </c>
      <c r="Q50" s="48" t="str">
        <f t="shared" si="1"/>
        <v>INSERT INTO indicator_category_details (category_id, year_id, gender_id, center_id, state_id, PI, PS, status) VALUES (6, 16, 2, NULL, 16, 0, 0, 1);</v>
      </c>
    </row>
    <row r="51" spans="1:17" ht="15.6" x14ac:dyDescent="0.3">
      <c r="A51" s="52">
        <v>2015</v>
      </c>
      <c r="B51" s="60" t="s">
        <v>1046</v>
      </c>
      <c r="C51" s="60" t="s">
        <v>1050</v>
      </c>
      <c r="D51" s="34" t="s">
        <v>20</v>
      </c>
      <c r="E51" s="3" t="s">
        <v>1043</v>
      </c>
      <c r="F51" s="3" t="s">
        <v>698</v>
      </c>
      <c r="G51" s="4"/>
      <c r="H51" s="41" t="str">
        <f>Tabla410[[#This Row],[P1]] &amp; "|" &amp;Tabla410[[#This Row],[Agrupación]] &amp; "|" &amp; Tabla410[[#This Row],[Sexo]] &amp; "|" &amp; Tabla410[[#This Row],[Entidad]]</f>
        <v>PI|Acoso sexual|Hombre|Morelos</v>
      </c>
      <c r="I51" s="22" t="str">
        <f>Tabla410[[#This Row],[P2]] &amp; "|" &amp;Tabla410[[#This Row],[Agrupación]] &amp; "|" &amp; Tabla410[[#This Row],[Sexo]] &amp; "|" &amp; Tabla410[[#This Row],[Entidad]]</f>
        <v>PS|Acoso sexual|Hombre|Morelos</v>
      </c>
      <c r="J51" s="9">
        <f>VLOOKUP(Tabla410[[#This Row],[Agrupación]],Tabla5[[#All],[name]:[id_1]],2,FALSE)</f>
        <v>6</v>
      </c>
      <c r="K51" s="9">
        <f>VLOOKUP(Tabla410[[#This Row],[Año]],Tabla6[[#All],[name]:[id_2]],2)</f>
        <v>16</v>
      </c>
      <c r="L51" s="9">
        <f>VLOOKUP(Tabla410[[#This Row],[Sexo]],Tabla8[[#All],[name]:[gender_id]],2,FALSE)</f>
        <v>2</v>
      </c>
      <c r="M51" s="9" t="str">
        <f>IF(LEN(Tabla410[[#This Row],[centros]])&gt;0,VLOOKUP(Tabla410[[#This Row],[centros]],Tabla2[[#All],[Centros]:[ID]],2,FALSE),"NULL")</f>
        <v>NULL</v>
      </c>
      <c r="N51" s="9">
        <f>VLOOKUP(Tabla410[[#This Row],[Entidad]],Tabla3[[#All],[name]:[ID_2]],2,FALSE)</f>
        <v>17</v>
      </c>
      <c r="O51" s="9">
        <f>IFERROR(VLOOKUP(Tabla410[[#This Row],[CLAVE PI]], Tabla10[], 10, FALSE), 0)</f>
        <v>0</v>
      </c>
      <c r="P51" s="42">
        <f>IFERROR(VLOOKUP(Tabla410[[#This Row],[CLAVE PS]], Tabla10[], 10, FALSE), 0)</f>
        <v>0</v>
      </c>
      <c r="Q51" s="48" t="str">
        <f t="shared" si="1"/>
        <v>INSERT INTO indicator_category_details (category_id, year_id, gender_id, center_id, state_id, PI, PS, status) VALUES (6, 16, 2, NULL, 17, 0, 0, 1);</v>
      </c>
    </row>
    <row r="52" spans="1:17" ht="15.6" x14ac:dyDescent="0.3">
      <c r="A52" s="52">
        <v>2015</v>
      </c>
      <c r="B52" s="60" t="s">
        <v>1046</v>
      </c>
      <c r="C52" s="60" t="s">
        <v>1050</v>
      </c>
      <c r="D52" s="34" t="s">
        <v>20</v>
      </c>
      <c r="E52" s="3" t="s">
        <v>1043</v>
      </c>
      <c r="F52" s="3" t="s">
        <v>705</v>
      </c>
      <c r="G52" s="4"/>
      <c r="H52" s="41" t="str">
        <f>Tabla410[[#This Row],[P1]] &amp; "|" &amp;Tabla410[[#This Row],[Agrupación]] &amp; "|" &amp; Tabla410[[#This Row],[Sexo]] &amp; "|" &amp; Tabla410[[#This Row],[Entidad]]</f>
        <v>PI|Acoso sexual|Hombre|Nayarit</v>
      </c>
      <c r="I52" s="22" t="str">
        <f>Tabla410[[#This Row],[P2]] &amp; "|" &amp;Tabla410[[#This Row],[Agrupación]] &amp; "|" &amp; Tabla410[[#This Row],[Sexo]] &amp; "|" &amp; Tabla410[[#This Row],[Entidad]]</f>
        <v>PS|Acoso sexual|Hombre|Nayarit</v>
      </c>
      <c r="J52" s="9">
        <f>VLOOKUP(Tabla410[[#This Row],[Agrupación]],Tabla5[[#All],[name]:[id_1]],2,FALSE)</f>
        <v>6</v>
      </c>
      <c r="K52" s="9">
        <f>VLOOKUP(Tabla410[[#This Row],[Año]],Tabla6[[#All],[name]:[id_2]],2)</f>
        <v>16</v>
      </c>
      <c r="L52" s="9">
        <f>VLOOKUP(Tabla410[[#This Row],[Sexo]],Tabla8[[#All],[name]:[gender_id]],2,FALSE)</f>
        <v>2</v>
      </c>
      <c r="M52" s="9" t="str">
        <f>IF(LEN(Tabla410[[#This Row],[centros]])&gt;0,VLOOKUP(Tabla410[[#This Row],[centros]],Tabla2[[#All],[Centros]:[ID]],2,FALSE),"NULL")</f>
        <v>NULL</v>
      </c>
      <c r="N52" s="9">
        <f>VLOOKUP(Tabla410[[#This Row],[Entidad]],Tabla3[[#All],[name]:[ID_2]],2,FALSE)</f>
        <v>18</v>
      </c>
      <c r="O52" s="9">
        <f>IFERROR(VLOOKUP(Tabla410[[#This Row],[CLAVE PI]], Tabla10[], 10, FALSE), 0)</f>
        <v>0</v>
      </c>
      <c r="P52" s="42">
        <f>IFERROR(VLOOKUP(Tabla410[[#This Row],[CLAVE PS]], Tabla10[], 10, FALSE), 0)</f>
        <v>0</v>
      </c>
      <c r="Q52" s="48" t="str">
        <f t="shared" si="1"/>
        <v>INSERT INTO indicator_category_details (category_id, year_id, gender_id, center_id, state_id, PI, PS, status) VALUES (6, 16, 2, NULL, 18, 0, 0, 1);</v>
      </c>
    </row>
    <row r="53" spans="1:17" ht="15.6" x14ac:dyDescent="0.3">
      <c r="A53" s="52">
        <v>2015</v>
      </c>
      <c r="B53" s="60" t="s">
        <v>1046</v>
      </c>
      <c r="C53" s="60" t="s">
        <v>1050</v>
      </c>
      <c r="D53" s="34" t="s">
        <v>20</v>
      </c>
      <c r="E53" s="3" t="s">
        <v>1043</v>
      </c>
      <c r="F53" s="3" t="s">
        <v>710</v>
      </c>
      <c r="G53" s="4"/>
      <c r="H53" s="41" t="str">
        <f>Tabla410[[#This Row],[P1]] &amp; "|" &amp;Tabla410[[#This Row],[Agrupación]] &amp; "|" &amp; Tabla410[[#This Row],[Sexo]] &amp; "|" &amp; Tabla410[[#This Row],[Entidad]]</f>
        <v>PI|Acoso sexual|Hombre|Nuevo León</v>
      </c>
      <c r="I53" s="22" t="str">
        <f>Tabla410[[#This Row],[P2]] &amp; "|" &amp;Tabla410[[#This Row],[Agrupación]] &amp; "|" &amp; Tabla410[[#This Row],[Sexo]] &amp; "|" &amp; Tabla410[[#This Row],[Entidad]]</f>
        <v>PS|Acoso sexual|Hombre|Nuevo León</v>
      </c>
      <c r="J53" s="9">
        <f>VLOOKUP(Tabla410[[#This Row],[Agrupación]],Tabla5[[#All],[name]:[id_1]],2,FALSE)</f>
        <v>6</v>
      </c>
      <c r="K53" s="9">
        <f>VLOOKUP(Tabla410[[#This Row],[Año]],Tabla6[[#All],[name]:[id_2]],2)</f>
        <v>16</v>
      </c>
      <c r="L53" s="9">
        <f>VLOOKUP(Tabla410[[#This Row],[Sexo]],Tabla8[[#All],[name]:[gender_id]],2,FALSE)</f>
        <v>2</v>
      </c>
      <c r="M53" s="9" t="str">
        <f>IF(LEN(Tabla410[[#This Row],[centros]])&gt;0,VLOOKUP(Tabla410[[#This Row],[centros]],Tabla2[[#All],[Centros]:[ID]],2,FALSE),"NULL")</f>
        <v>NULL</v>
      </c>
      <c r="N53" s="9">
        <f>VLOOKUP(Tabla410[[#This Row],[Entidad]],Tabla3[[#All],[name]:[ID_2]],2,FALSE)</f>
        <v>19</v>
      </c>
      <c r="O53" s="9">
        <f>IFERROR(VLOOKUP(Tabla410[[#This Row],[CLAVE PI]], Tabla10[], 10, FALSE), 0)</f>
        <v>0</v>
      </c>
      <c r="P53" s="42">
        <f>IFERROR(VLOOKUP(Tabla410[[#This Row],[CLAVE PS]], Tabla10[], 10, FALSE), 0)</f>
        <v>0</v>
      </c>
      <c r="Q53" s="48" t="str">
        <f t="shared" si="1"/>
        <v>INSERT INTO indicator_category_details (category_id, year_id, gender_id, center_id, state_id, PI, PS, status) VALUES (6, 16, 2, NULL, 19, 0, 0, 1);</v>
      </c>
    </row>
    <row r="54" spans="1:17" ht="15.6" x14ac:dyDescent="0.3">
      <c r="A54" s="52">
        <v>2015</v>
      </c>
      <c r="B54" s="60" t="s">
        <v>1046</v>
      </c>
      <c r="C54" s="60" t="s">
        <v>1050</v>
      </c>
      <c r="D54" s="34" t="s">
        <v>20</v>
      </c>
      <c r="E54" s="3" t="s">
        <v>1043</v>
      </c>
      <c r="F54" s="3" t="s">
        <v>716</v>
      </c>
      <c r="G54" s="4"/>
      <c r="H54" s="41" t="str">
        <f>Tabla410[[#This Row],[P1]] &amp; "|" &amp;Tabla410[[#This Row],[Agrupación]] &amp; "|" &amp; Tabla410[[#This Row],[Sexo]] &amp; "|" &amp; Tabla410[[#This Row],[Entidad]]</f>
        <v>PI|Acoso sexual|Hombre|Oaxaca</v>
      </c>
      <c r="I54" s="22" t="str">
        <f>Tabla410[[#This Row],[P2]] &amp; "|" &amp;Tabla410[[#This Row],[Agrupación]] &amp; "|" &amp; Tabla410[[#This Row],[Sexo]] &amp; "|" &amp; Tabla410[[#This Row],[Entidad]]</f>
        <v>PS|Acoso sexual|Hombre|Oaxaca</v>
      </c>
      <c r="J54" s="9">
        <f>VLOOKUP(Tabla410[[#This Row],[Agrupación]],Tabla5[[#All],[name]:[id_1]],2,FALSE)</f>
        <v>6</v>
      </c>
      <c r="K54" s="9">
        <f>VLOOKUP(Tabla410[[#This Row],[Año]],Tabla6[[#All],[name]:[id_2]],2)</f>
        <v>16</v>
      </c>
      <c r="L54" s="9">
        <f>VLOOKUP(Tabla410[[#This Row],[Sexo]],Tabla8[[#All],[name]:[gender_id]],2,FALSE)</f>
        <v>2</v>
      </c>
      <c r="M54" s="9" t="str">
        <f>IF(LEN(Tabla410[[#This Row],[centros]])&gt;0,VLOOKUP(Tabla410[[#This Row],[centros]],Tabla2[[#All],[Centros]:[ID]],2,FALSE),"NULL")</f>
        <v>NULL</v>
      </c>
      <c r="N54" s="9">
        <f>VLOOKUP(Tabla410[[#This Row],[Entidad]],Tabla3[[#All],[name]:[ID_2]],2,FALSE)</f>
        <v>20</v>
      </c>
      <c r="O54" s="9">
        <f>IFERROR(VLOOKUP(Tabla410[[#This Row],[CLAVE PI]], Tabla10[], 10, FALSE), 0)</f>
        <v>0</v>
      </c>
      <c r="P54" s="42">
        <f>IFERROR(VLOOKUP(Tabla410[[#This Row],[CLAVE PS]], Tabla10[], 10, FALSE), 0)</f>
        <v>0</v>
      </c>
      <c r="Q54" s="48" t="str">
        <f t="shared" si="1"/>
        <v>INSERT INTO indicator_category_details (category_id, year_id, gender_id, center_id, state_id, PI, PS, status) VALUES (6, 16, 2, NULL, 20, 0, 0, 1);</v>
      </c>
    </row>
    <row r="55" spans="1:17" ht="15.6" x14ac:dyDescent="0.3">
      <c r="A55" s="52">
        <v>2015</v>
      </c>
      <c r="B55" s="60" t="s">
        <v>1046</v>
      </c>
      <c r="C55" s="60" t="s">
        <v>1050</v>
      </c>
      <c r="D55" s="34" t="s">
        <v>20</v>
      </c>
      <c r="E55" s="3" t="s">
        <v>1043</v>
      </c>
      <c r="F55" s="3" t="s">
        <v>727</v>
      </c>
      <c r="G55" s="4"/>
      <c r="H55" s="41" t="str">
        <f>Tabla410[[#This Row],[P1]] &amp; "|" &amp;Tabla410[[#This Row],[Agrupación]] &amp; "|" &amp; Tabla410[[#This Row],[Sexo]] &amp; "|" &amp; Tabla410[[#This Row],[Entidad]]</f>
        <v>PI|Acoso sexual|Hombre|Puebla</v>
      </c>
      <c r="I55" s="22" t="str">
        <f>Tabla410[[#This Row],[P2]] &amp; "|" &amp;Tabla410[[#This Row],[Agrupación]] &amp; "|" &amp; Tabla410[[#This Row],[Sexo]] &amp; "|" &amp; Tabla410[[#This Row],[Entidad]]</f>
        <v>PS|Acoso sexual|Hombre|Puebla</v>
      </c>
      <c r="J55" s="9">
        <f>VLOOKUP(Tabla410[[#This Row],[Agrupación]],Tabla5[[#All],[name]:[id_1]],2,FALSE)</f>
        <v>6</v>
      </c>
      <c r="K55" s="9">
        <f>VLOOKUP(Tabla410[[#This Row],[Año]],Tabla6[[#All],[name]:[id_2]],2)</f>
        <v>16</v>
      </c>
      <c r="L55" s="9">
        <f>VLOOKUP(Tabla410[[#This Row],[Sexo]],Tabla8[[#All],[name]:[gender_id]],2,FALSE)</f>
        <v>2</v>
      </c>
      <c r="M55" s="9" t="str">
        <f>IF(LEN(Tabla410[[#This Row],[centros]])&gt;0,VLOOKUP(Tabla410[[#This Row],[centros]],Tabla2[[#All],[Centros]:[ID]],2,FALSE),"NULL")</f>
        <v>NULL</v>
      </c>
      <c r="N55" s="9">
        <f>VLOOKUP(Tabla410[[#This Row],[Entidad]],Tabla3[[#All],[name]:[ID_2]],2,FALSE)</f>
        <v>21</v>
      </c>
      <c r="O55" s="9">
        <f>IFERROR(VLOOKUP(Tabla410[[#This Row],[CLAVE PI]], Tabla10[], 10, FALSE), 0)</f>
        <v>0</v>
      </c>
      <c r="P55" s="42">
        <f>IFERROR(VLOOKUP(Tabla410[[#This Row],[CLAVE PS]], Tabla10[], 10, FALSE), 0)</f>
        <v>0</v>
      </c>
      <c r="Q55" s="48" t="str">
        <f t="shared" si="1"/>
        <v>INSERT INTO indicator_category_details (category_id, year_id, gender_id, center_id, state_id, PI, PS, status) VALUES (6, 16, 2, NULL, 21, 0, 0, 1);</v>
      </c>
    </row>
    <row r="56" spans="1:17" ht="15.6" x14ac:dyDescent="0.3">
      <c r="A56" s="52">
        <v>2015</v>
      </c>
      <c r="B56" s="60" t="s">
        <v>1046</v>
      </c>
      <c r="C56" s="60" t="s">
        <v>1050</v>
      </c>
      <c r="D56" s="34" t="s">
        <v>20</v>
      </c>
      <c r="E56" s="3" t="s">
        <v>1043</v>
      </c>
      <c r="F56" s="3" t="s">
        <v>731</v>
      </c>
      <c r="G56" s="4"/>
      <c r="H56" s="41" t="str">
        <f>Tabla410[[#This Row],[P1]] &amp; "|" &amp;Tabla410[[#This Row],[Agrupación]] &amp; "|" &amp; Tabla410[[#This Row],[Sexo]] &amp; "|" &amp; Tabla410[[#This Row],[Entidad]]</f>
        <v>PI|Acoso sexual|Hombre|Querétaro</v>
      </c>
      <c r="I56" s="22" t="str">
        <f>Tabla410[[#This Row],[P2]] &amp; "|" &amp;Tabla410[[#This Row],[Agrupación]] &amp; "|" &amp; Tabla410[[#This Row],[Sexo]] &amp; "|" &amp; Tabla410[[#This Row],[Entidad]]</f>
        <v>PS|Acoso sexual|Hombre|Querétaro</v>
      </c>
      <c r="J56" s="9">
        <f>VLOOKUP(Tabla410[[#This Row],[Agrupación]],Tabla5[[#All],[name]:[id_1]],2,FALSE)</f>
        <v>6</v>
      </c>
      <c r="K56" s="9">
        <f>VLOOKUP(Tabla410[[#This Row],[Año]],Tabla6[[#All],[name]:[id_2]],2)</f>
        <v>16</v>
      </c>
      <c r="L56" s="9">
        <f>VLOOKUP(Tabla410[[#This Row],[Sexo]],Tabla8[[#All],[name]:[gender_id]],2,FALSE)</f>
        <v>2</v>
      </c>
      <c r="M56" s="9" t="str">
        <f>IF(LEN(Tabla410[[#This Row],[centros]])&gt;0,VLOOKUP(Tabla410[[#This Row],[centros]],Tabla2[[#All],[Centros]:[ID]],2,FALSE),"NULL")</f>
        <v>NULL</v>
      </c>
      <c r="N56" s="9">
        <f>VLOOKUP(Tabla410[[#This Row],[Entidad]],Tabla3[[#All],[name]:[ID_2]],2,FALSE)</f>
        <v>22</v>
      </c>
      <c r="O56" s="9">
        <f>IFERROR(VLOOKUP(Tabla410[[#This Row],[CLAVE PI]], Tabla10[], 10, FALSE), 0)</f>
        <v>0</v>
      </c>
      <c r="P56" s="42">
        <f>IFERROR(VLOOKUP(Tabla410[[#This Row],[CLAVE PS]], Tabla10[], 10, FALSE), 0)</f>
        <v>0</v>
      </c>
      <c r="Q56" s="48" t="str">
        <f t="shared" si="1"/>
        <v>INSERT INTO indicator_category_details (category_id, year_id, gender_id, center_id, state_id, PI, PS, status) VALUES (6, 16, 2, NULL, 22, 0, 0, 1);</v>
      </c>
    </row>
    <row r="57" spans="1:17" ht="15.6" x14ac:dyDescent="0.3">
      <c r="A57" s="52">
        <v>2015</v>
      </c>
      <c r="B57" s="60" t="s">
        <v>1046</v>
      </c>
      <c r="C57" s="60" t="s">
        <v>1050</v>
      </c>
      <c r="D57" s="34" t="s">
        <v>20</v>
      </c>
      <c r="E57" s="3" t="s">
        <v>1043</v>
      </c>
      <c r="F57" s="3" t="s">
        <v>737</v>
      </c>
      <c r="G57" s="4"/>
      <c r="H57" s="41" t="str">
        <f>Tabla410[[#This Row],[P1]] &amp; "|" &amp;Tabla410[[#This Row],[Agrupación]] &amp; "|" &amp; Tabla410[[#This Row],[Sexo]] &amp; "|" &amp; Tabla410[[#This Row],[Entidad]]</f>
        <v>PI|Acoso sexual|Hombre|Quintana Roo</v>
      </c>
      <c r="I57" s="22" t="str">
        <f>Tabla410[[#This Row],[P2]] &amp; "|" &amp;Tabla410[[#This Row],[Agrupación]] &amp; "|" &amp; Tabla410[[#This Row],[Sexo]] &amp; "|" &amp; Tabla410[[#This Row],[Entidad]]</f>
        <v>PS|Acoso sexual|Hombre|Quintana Roo</v>
      </c>
      <c r="J57" s="9">
        <f>VLOOKUP(Tabla410[[#This Row],[Agrupación]],Tabla5[[#All],[name]:[id_1]],2,FALSE)</f>
        <v>6</v>
      </c>
      <c r="K57" s="9">
        <f>VLOOKUP(Tabla410[[#This Row],[Año]],Tabla6[[#All],[name]:[id_2]],2)</f>
        <v>16</v>
      </c>
      <c r="L57" s="9">
        <f>VLOOKUP(Tabla410[[#This Row],[Sexo]],Tabla8[[#All],[name]:[gender_id]],2,FALSE)</f>
        <v>2</v>
      </c>
      <c r="M57" s="9" t="str">
        <f>IF(LEN(Tabla410[[#This Row],[centros]])&gt;0,VLOOKUP(Tabla410[[#This Row],[centros]],Tabla2[[#All],[Centros]:[ID]],2,FALSE),"NULL")</f>
        <v>NULL</v>
      </c>
      <c r="N57" s="9">
        <f>VLOOKUP(Tabla410[[#This Row],[Entidad]],Tabla3[[#All],[name]:[ID_2]],2,FALSE)</f>
        <v>23</v>
      </c>
      <c r="O57" s="9">
        <f>IFERROR(VLOOKUP(Tabla410[[#This Row],[CLAVE PI]], Tabla10[], 10, FALSE), 0)</f>
        <v>0</v>
      </c>
      <c r="P57" s="42">
        <f>IFERROR(VLOOKUP(Tabla410[[#This Row],[CLAVE PS]], Tabla10[], 10, FALSE), 0)</f>
        <v>0</v>
      </c>
      <c r="Q57" s="48" t="str">
        <f t="shared" si="1"/>
        <v>INSERT INTO indicator_category_details (category_id, year_id, gender_id, center_id, state_id, PI, PS, status) VALUES (6, 16, 2, NULL, 23, 0, 0, 1);</v>
      </c>
    </row>
    <row r="58" spans="1:17" ht="15.6" x14ac:dyDescent="0.3">
      <c r="A58" s="52">
        <v>2015</v>
      </c>
      <c r="B58" s="60" t="s">
        <v>1046</v>
      </c>
      <c r="C58" s="60" t="s">
        <v>1050</v>
      </c>
      <c r="D58" s="34" t="s">
        <v>20</v>
      </c>
      <c r="E58" s="3" t="s">
        <v>1043</v>
      </c>
      <c r="F58" s="3" t="s">
        <v>741</v>
      </c>
      <c r="G58" s="4"/>
      <c r="H58" s="41" t="str">
        <f>Tabla410[[#This Row],[P1]] &amp; "|" &amp;Tabla410[[#This Row],[Agrupación]] &amp; "|" &amp; Tabla410[[#This Row],[Sexo]] &amp; "|" &amp; Tabla410[[#This Row],[Entidad]]</f>
        <v>PI|Acoso sexual|Hombre|San Luis Potosí</v>
      </c>
      <c r="I58" s="22" t="str">
        <f>Tabla410[[#This Row],[P2]] &amp; "|" &amp;Tabla410[[#This Row],[Agrupación]] &amp; "|" &amp; Tabla410[[#This Row],[Sexo]] &amp; "|" &amp; Tabla410[[#This Row],[Entidad]]</f>
        <v>PS|Acoso sexual|Hombre|San Luis Potosí</v>
      </c>
      <c r="J58" s="9">
        <f>VLOOKUP(Tabla410[[#This Row],[Agrupación]],Tabla5[[#All],[name]:[id_1]],2,FALSE)</f>
        <v>6</v>
      </c>
      <c r="K58" s="9">
        <f>VLOOKUP(Tabla410[[#This Row],[Año]],Tabla6[[#All],[name]:[id_2]],2)</f>
        <v>16</v>
      </c>
      <c r="L58" s="9">
        <f>VLOOKUP(Tabla410[[#This Row],[Sexo]],Tabla8[[#All],[name]:[gender_id]],2,FALSE)</f>
        <v>2</v>
      </c>
      <c r="M58" s="9" t="str">
        <f>IF(LEN(Tabla410[[#This Row],[centros]])&gt;0,VLOOKUP(Tabla410[[#This Row],[centros]],Tabla2[[#All],[Centros]:[ID]],2,FALSE),"NULL")</f>
        <v>NULL</v>
      </c>
      <c r="N58" s="9">
        <f>VLOOKUP(Tabla410[[#This Row],[Entidad]],Tabla3[[#All],[name]:[ID_2]],2,FALSE)</f>
        <v>24</v>
      </c>
      <c r="O58" s="9">
        <f>IFERROR(VLOOKUP(Tabla410[[#This Row],[CLAVE PI]], Tabla10[], 10, FALSE), 0)</f>
        <v>0</v>
      </c>
      <c r="P58" s="42">
        <f>IFERROR(VLOOKUP(Tabla410[[#This Row],[CLAVE PS]], Tabla10[], 10, FALSE), 0)</f>
        <v>0</v>
      </c>
      <c r="Q58" s="48" t="str">
        <f t="shared" si="1"/>
        <v>INSERT INTO indicator_category_details (category_id, year_id, gender_id, center_id, state_id, PI, PS, status) VALUES (6, 16, 2, NULL, 24, 0, 0, 1);</v>
      </c>
    </row>
    <row r="59" spans="1:17" ht="15.6" x14ac:dyDescent="0.3">
      <c r="A59" s="52">
        <v>2015</v>
      </c>
      <c r="B59" s="60" t="s">
        <v>1046</v>
      </c>
      <c r="C59" s="60" t="s">
        <v>1050</v>
      </c>
      <c r="D59" s="34" t="s">
        <v>20</v>
      </c>
      <c r="E59" s="3" t="s">
        <v>1043</v>
      </c>
      <c r="F59" s="3" t="s">
        <v>749</v>
      </c>
      <c r="G59" s="4"/>
      <c r="H59" s="41" t="str">
        <f>Tabla410[[#This Row],[P1]] &amp; "|" &amp;Tabla410[[#This Row],[Agrupación]] &amp; "|" &amp; Tabla410[[#This Row],[Sexo]] &amp; "|" &amp; Tabla410[[#This Row],[Entidad]]</f>
        <v>PI|Acoso sexual|Hombre|Sinaloa</v>
      </c>
      <c r="I59" s="22" t="str">
        <f>Tabla410[[#This Row],[P2]] &amp; "|" &amp;Tabla410[[#This Row],[Agrupación]] &amp; "|" &amp; Tabla410[[#This Row],[Sexo]] &amp; "|" &amp; Tabla410[[#This Row],[Entidad]]</f>
        <v>PS|Acoso sexual|Hombre|Sinaloa</v>
      </c>
      <c r="J59" s="9">
        <f>VLOOKUP(Tabla410[[#This Row],[Agrupación]],Tabla5[[#All],[name]:[id_1]],2,FALSE)</f>
        <v>6</v>
      </c>
      <c r="K59" s="9">
        <f>VLOOKUP(Tabla410[[#This Row],[Año]],Tabla6[[#All],[name]:[id_2]],2)</f>
        <v>16</v>
      </c>
      <c r="L59" s="9">
        <f>VLOOKUP(Tabla410[[#This Row],[Sexo]],Tabla8[[#All],[name]:[gender_id]],2,FALSE)</f>
        <v>2</v>
      </c>
      <c r="M59" s="9" t="str">
        <f>IF(LEN(Tabla410[[#This Row],[centros]])&gt;0,VLOOKUP(Tabla410[[#This Row],[centros]],Tabla2[[#All],[Centros]:[ID]],2,FALSE),"NULL")</f>
        <v>NULL</v>
      </c>
      <c r="N59" s="9">
        <f>VLOOKUP(Tabla410[[#This Row],[Entidad]],Tabla3[[#All],[name]:[ID_2]],2,FALSE)</f>
        <v>25</v>
      </c>
      <c r="O59" s="9">
        <f>IFERROR(VLOOKUP(Tabla410[[#This Row],[CLAVE PI]], Tabla10[], 10, FALSE), 0)</f>
        <v>0</v>
      </c>
      <c r="P59" s="42">
        <f>IFERROR(VLOOKUP(Tabla410[[#This Row],[CLAVE PS]], Tabla10[], 10, FALSE), 0)</f>
        <v>0</v>
      </c>
      <c r="Q59" s="48" t="str">
        <f t="shared" si="1"/>
        <v>INSERT INTO indicator_category_details (category_id, year_id, gender_id, center_id, state_id, PI, PS, status) VALUES (6, 16, 2, NULL, 25, 0, 0, 1);</v>
      </c>
    </row>
    <row r="60" spans="1:17" ht="15.6" x14ac:dyDescent="0.3">
      <c r="A60" s="52">
        <v>2015</v>
      </c>
      <c r="B60" s="60" t="s">
        <v>1046</v>
      </c>
      <c r="C60" s="60" t="s">
        <v>1050</v>
      </c>
      <c r="D60" s="34" t="s">
        <v>20</v>
      </c>
      <c r="E60" s="3" t="s">
        <v>1043</v>
      </c>
      <c r="F60" s="3" t="s">
        <v>755</v>
      </c>
      <c r="G60" s="4"/>
      <c r="H60" s="41" t="str">
        <f>Tabla410[[#This Row],[P1]] &amp; "|" &amp;Tabla410[[#This Row],[Agrupación]] &amp; "|" &amp; Tabla410[[#This Row],[Sexo]] &amp; "|" &amp; Tabla410[[#This Row],[Entidad]]</f>
        <v>PI|Acoso sexual|Hombre|Sonora</v>
      </c>
      <c r="I60" s="22" t="str">
        <f>Tabla410[[#This Row],[P2]] &amp; "|" &amp;Tabla410[[#This Row],[Agrupación]] &amp; "|" &amp; Tabla410[[#This Row],[Sexo]] &amp; "|" &amp; Tabla410[[#This Row],[Entidad]]</f>
        <v>PS|Acoso sexual|Hombre|Sonora</v>
      </c>
      <c r="J60" s="9">
        <f>VLOOKUP(Tabla410[[#This Row],[Agrupación]],Tabla5[[#All],[name]:[id_1]],2,FALSE)</f>
        <v>6</v>
      </c>
      <c r="K60" s="9">
        <f>VLOOKUP(Tabla410[[#This Row],[Año]],Tabla6[[#All],[name]:[id_2]],2)</f>
        <v>16</v>
      </c>
      <c r="L60" s="9">
        <f>VLOOKUP(Tabla410[[#This Row],[Sexo]],Tabla8[[#All],[name]:[gender_id]],2,FALSE)</f>
        <v>2</v>
      </c>
      <c r="M60" s="9" t="str">
        <f>IF(LEN(Tabla410[[#This Row],[centros]])&gt;0,VLOOKUP(Tabla410[[#This Row],[centros]],Tabla2[[#All],[Centros]:[ID]],2,FALSE),"NULL")</f>
        <v>NULL</v>
      </c>
      <c r="N60" s="9">
        <f>VLOOKUP(Tabla410[[#This Row],[Entidad]],Tabla3[[#All],[name]:[ID_2]],2,FALSE)</f>
        <v>26</v>
      </c>
      <c r="O60" s="9">
        <f>IFERROR(VLOOKUP(Tabla410[[#This Row],[CLAVE PI]], Tabla10[], 10, FALSE), 0)</f>
        <v>0</v>
      </c>
      <c r="P60" s="42">
        <f>IFERROR(VLOOKUP(Tabla410[[#This Row],[CLAVE PS]], Tabla10[], 10, FALSE), 0)</f>
        <v>0</v>
      </c>
      <c r="Q60" s="48" t="str">
        <f t="shared" si="1"/>
        <v>INSERT INTO indicator_category_details (category_id, year_id, gender_id, center_id, state_id, PI, PS, status) VALUES (6, 16, 2, NULL, 26, 0, 0, 1);</v>
      </c>
    </row>
    <row r="61" spans="1:17" ht="15.6" x14ac:dyDescent="0.3">
      <c r="A61" s="52">
        <v>2015</v>
      </c>
      <c r="B61" s="60" t="s">
        <v>1046</v>
      </c>
      <c r="C61" s="60" t="s">
        <v>1050</v>
      </c>
      <c r="D61" s="34" t="s">
        <v>20</v>
      </c>
      <c r="E61" s="3" t="s">
        <v>1043</v>
      </c>
      <c r="F61" s="3" t="s">
        <v>775</v>
      </c>
      <c r="G61" s="4"/>
      <c r="H61" s="41" t="str">
        <f>Tabla410[[#This Row],[P1]] &amp; "|" &amp;Tabla410[[#This Row],[Agrupación]] &amp; "|" &amp; Tabla410[[#This Row],[Sexo]] &amp; "|" &amp; Tabla410[[#This Row],[Entidad]]</f>
        <v>PI|Acoso sexual|Hombre|Tabasco</v>
      </c>
      <c r="I61" s="22" t="str">
        <f>Tabla410[[#This Row],[P2]] &amp; "|" &amp;Tabla410[[#This Row],[Agrupación]] &amp; "|" &amp; Tabla410[[#This Row],[Sexo]] &amp; "|" &amp; Tabla410[[#This Row],[Entidad]]</f>
        <v>PS|Acoso sexual|Hombre|Tabasco</v>
      </c>
      <c r="J61" s="9">
        <f>VLOOKUP(Tabla410[[#This Row],[Agrupación]],Tabla5[[#All],[name]:[id_1]],2,FALSE)</f>
        <v>6</v>
      </c>
      <c r="K61" s="9">
        <f>VLOOKUP(Tabla410[[#This Row],[Año]],Tabla6[[#All],[name]:[id_2]],2)</f>
        <v>16</v>
      </c>
      <c r="L61" s="9">
        <f>VLOOKUP(Tabla410[[#This Row],[Sexo]],Tabla8[[#All],[name]:[gender_id]],2,FALSE)</f>
        <v>2</v>
      </c>
      <c r="M61" s="9" t="str">
        <f>IF(LEN(Tabla410[[#This Row],[centros]])&gt;0,VLOOKUP(Tabla410[[#This Row],[centros]],Tabla2[[#All],[Centros]:[ID]],2,FALSE),"NULL")</f>
        <v>NULL</v>
      </c>
      <c r="N61" s="9">
        <f>VLOOKUP(Tabla410[[#This Row],[Entidad]],Tabla3[[#All],[name]:[ID_2]],2,FALSE)</f>
        <v>27</v>
      </c>
      <c r="O61" s="9">
        <f>IFERROR(VLOOKUP(Tabla410[[#This Row],[CLAVE PI]], Tabla10[], 10, FALSE), 0)</f>
        <v>0</v>
      </c>
      <c r="P61" s="42">
        <f>IFERROR(VLOOKUP(Tabla410[[#This Row],[CLAVE PS]], Tabla10[], 10, FALSE), 0)</f>
        <v>0</v>
      </c>
      <c r="Q61" s="48" t="str">
        <f t="shared" si="1"/>
        <v>INSERT INTO indicator_category_details (category_id, year_id, gender_id, center_id, state_id, PI, PS, status) VALUES (6, 16, 2, NULL, 27, 0, 0, 1);</v>
      </c>
    </row>
    <row r="62" spans="1:17" ht="15.6" x14ac:dyDescent="0.3">
      <c r="A62" s="52">
        <v>2015</v>
      </c>
      <c r="B62" s="60" t="s">
        <v>1046</v>
      </c>
      <c r="C62" s="60" t="s">
        <v>1050</v>
      </c>
      <c r="D62" s="34" t="s">
        <v>20</v>
      </c>
      <c r="E62" s="3" t="s">
        <v>1043</v>
      </c>
      <c r="F62" s="3" t="s">
        <v>785</v>
      </c>
      <c r="G62" s="4"/>
      <c r="H62" s="41" t="str">
        <f>Tabla410[[#This Row],[P1]] &amp; "|" &amp;Tabla410[[#This Row],[Agrupación]] &amp; "|" &amp; Tabla410[[#This Row],[Sexo]] &amp; "|" &amp; Tabla410[[#This Row],[Entidad]]</f>
        <v>PI|Acoso sexual|Hombre|Tamaulipas</v>
      </c>
      <c r="I62" s="22" t="str">
        <f>Tabla410[[#This Row],[P2]] &amp; "|" &amp;Tabla410[[#This Row],[Agrupación]] &amp; "|" &amp; Tabla410[[#This Row],[Sexo]] &amp; "|" &amp; Tabla410[[#This Row],[Entidad]]</f>
        <v>PS|Acoso sexual|Hombre|Tamaulipas</v>
      </c>
      <c r="J62" s="9">
        <f>VLOOKUP(Tabla410[[#This Row],[Agrupación]],Tabla5[[#All],[name]:[id_1]],2,FALSE)</f>
        <v>6</v>
      </c>
      <c r="K62" s="9">
        <f>VLOOKUP(Tabla410[[#This Row],[Año]],Tabla6[[#All],[name]:[id_2]],2)</f>
        <v>16</v>
      </c>
      <c r="L62" s="9">
        <f>VLOOKUP(Tabla410[[#This Row],[Sexo]],Tabla8[[#All],[name]:[gender_id]],2,FALSE)</f>
        <v>2</v>
      </c>
      <c r="M62" s="9" t="str">
        <f>IF(LEN(Tabla410[[#This Row],[centros]])&gt;0,VLOOKUP(Tabla410[[#This Row],[centros]],Tabla2[[#All],[Centros]:[ID]],2,FALSE),"NULL")</f>
        <v>NULL</v>
      </c>
      <c r="N62" s="9">
        <f>VLOOKUP(Tabla410[[#This Row],[Entidad]],Tabla3[[#All],[name]:[ID_2]],2,FALSE)</f>
        <v>28</v>
      </c>
      <c r="O62" s="9">
        <f>IFERROR(VLOOKUP(Tabla410[[#This Row],[CLAVE PI]], Tabla10[], 10, FALSE), 0)</f>
        <v>0</v>
      </c>
      <c r="P62" s="42">
        <f>IFERROR(VLOOKUP(Tabla410[[#This Row],[CLAVE PS]], Tabla10[], 10, FALSE), 0)</f>
        <v>0</v>
      </c>
      <c r="Q62" s="48" t="str">
        <f t="shared" si="1"/>
        <v>INSERT INTO indicator_category_details (category_id, year_id, gender_id, center_id, state_id, PI, PS, status) VALUES (6, 16, 2, NULL, 28, 0, 0, 1);</v>
      </c>
    </row>
    <row r="63" spans="1:17" ht="15.6" x14ac:dyDescent="0.3">
      <c r="A63" s="52">
        <v>2015</v>
      </c>
      <c r="B63" s="60" t="s">
        <v>1046</v>
      </c>
      <c r="C63" s="60" t="s">
        <v>1050</v>
      </c>
      <c r="D63" s="34" t="s">
        <v>20</v>
      </c>
      <c r="E63" s="3" t="s">
        <v>1043</v>
      </c>
      <c r="F63" s="3" t="s">
        <v>797</v>
      </c>
      <c r="G63" s="4"/>
      <c r="H63" s="41" t="str">
        <f>Tabla410[[#This Row],[P1]] &amp; "|" &amp;Tabla410[[#This Row],[Agrupación]] &amp; "|" &amp; Tabla410[[#This Row],[Sexo]] &amp; "|" &amp; Tabla410[[#This Row],[Entidad]]</f>
        <v>PI|Acoso sexual|Hombre|Tlaxcala</v>
      </c>
      <c r="I63" s="22" t="str">
        <f>Tabla410[[#This Row],[P2]] &amp; "|" &amp;Tabla410[[#This Row],[Agrupación]] &amp; "|" &amp; Tabla410[[#This Row],[Sexo]] &amp; "|" &amp; Tabla410[[#This Row],[Entidad]]</f>
        <v>PS|Acoso sexual|Hombre|Tlaxcala</v>
      </c>
      <c r="J63" s="9">
        <f>VLOOKUP(Tabla410[[#This Row],[Agrupación]],Tabla5[[#All],[name]:[id_1]],2,FALSE)</f>
        <v>6</v>
      </c>
      <c r="K63" s="9">
        <f>VLOOKUP(Tabla410[[#This Row],[Año]],Tabla6[[#All],[name]:[id_2]],2)</f>
        <v>16</v>
      </c>
      <c r="L63" s="9">
        <f>VLOOKUP(Tabla410[[#This Row],[Sexo]],Tabla8[[#All],[name]:[gender_id]],2,FALSE)</f>
        <v>2</v>
      </c>
      <c r="M63" s="9" t="str">
        <f>IF(LEN(Tabla410[[#This Row],[centros]])&gt;0,VLOOKUP(Tabla410[[#This Row],[centros]],Tabla2[[#All],[Centros]:[ID]],2,FALSE),"NULL")</f>
        <v>NULL</v>
      </c>
      <c r="N63" s="9">
        <f>VLOOKUP(Tabla410[[#This Row],[Entidad]],Tabla3[[#All],[name]:[ID_2]],2,FALSE)</f>
        <v>29</v>
      </c>
      <c r="O63" s="9">
        <f>IFERROR(VLOOKUP(Tabla410[[#This Row],[CLAVE PI]], Tabla10[], 10, FALSE), 0)</f>
        <v>0</v>
      </c>
      <c r="P63" s="42">
        <f>IFERROR(VLOOKUP(Tabla410[[#This Row],[CLAVE PS]], Tabla10[], 10, FALSE), 0)</f>
        <v>0</v>
      </c>
      <c r="Q63" s="48" t="str">
        <f t="shared" si="1"/>
        <v>INSERT INTO indicator_category_details (category_id, year_id, gender_id, center_id, state_id, PI, PS, status) VALUES (6, 16, 2, NULL, 29, 0, 0, 1);</v>
      </c>
    </row>
    <row r="64" spans="1:17" ht="15.6" x14ac:dyDescent="0.3">
      <c r="A64" s="52">
        <v>2015</v>
      </c>
      <c r="B64" s="60" t="s">
        <v>1046</v>
      </c>
      <c r="C64" s="60" t="s">
        <v>1050</v>
      </c>
      <c r="D64" s="34" t="s">
        <v>20</v>
      </c>
      <c r="E64" s="3" t="s">
        <v>1043</v>
      </c>
      <c r="F64" s="3" t="s">
        <v>802</v>
      </c>
      <c r="G64" s="4"/>
      <c r="H64" s="41" t="str">
        <f>Tabla410[[#This Row],[P1]] &amp; "|" &amp;Tabla410[[#This Row],[Agrupación]] &amp; "|" &amp; Tabla410[[#This Row],[Sexo]] &amp; "|" &amp; Tabla410[[#This Row],[Entidad]]</f>
        <v>PI|Acoso sexual|Hombre|Veracruz de Ignacio de la Llave</v>
      </c>
      <c r="I64" s="22" t="str">
        <f>Tabla410[[#This Row],[P2]] &amp; "|" &amp;Tabla410[[#This Row],[Agrupación]] &amp; "|" &amp; Tabla410[[#This Row],[Sexo]] &amp; "|" &amp; Tabla410[[#This Row],[Entidad]]</f>
        <v>PS|Acoso sexual|Hombre|Veracruz de Ignacio de la Llave</v>
      </c>
      <c r="J64" s="9">
        <f>VLOOKUP(Tabla410[[#This Row],[Agrupación]],Tabla5[[#All],[name]:[id_1]],2,FALSE)</f>
        <v>6</v>
      </c>
      <c r="K64" s="9">
        <f>VLOOKUP(Tabla410[[#This Row],[Año]],Tabla6[[#All],[name]:[id_2]],2)</f>
        <v>16</v>
      </c>
      <c r="L64" s="9">
        <f>VLOOKUP(Tabla410[[#This Row],[Sexo]],Tabla8[[#All],[name]:[gender_id]],2,FALSE)</f>
        <v>2</v>
      </c>
      <c r="M64" s="9" t="str">
        <f>IF(LEN(Tabla410[[#This Row],[centros]])&gt;0,VLOOKUP(Tabla410[[#This Row],[centros]],Tabla2[[#All],[Centros]:[ID]],2,FALSE),"NULL")</f>
        <v>NULL</v>
      </c>
      <c r="N64" s="9">
        <f>VLOOKUP(Tabla410[[#This Row],[Entidad]],Tabla3[[#All],[name]:[ID_2]],2,FALSE)</f>
        <v>30</v>
      </c>
      <c r="O64" s="9">
        <f>IFERROR(VLOOKUP(Tabla410[[#This Row],[CLAVE PI]], Tabla10[], 10, FALSE), 0)</f>
        <v>0</v>
      </c>
      <c r="P64" s="42">
        <f>IFERROR(VLOOKUP(Tabla410[[#This Row],[CLAVE PS]], Tabla10[], 10, FALSE), 0)</f>
        <v>0</v>
      </c>
      <c r="Q64" s="48" t="str">
        <f t="shared" si="1"/>
        <v>INSERT INTO indicator_category_details (category_id, year_id, gender_id, center_id, state_id, PI, PS, status) VALUES (6, 16, 2, NULL, 30, 0, 0, 1);</v>
      </c>
    </row>
    <row r="65" spans="1:17" ht="15.6" x14ac:dyDescent="0.3">
      <c r="A65" s="52">
        <v>2015</v>
      </c>
      <c r="B65" s="60" t="s">
        <v>1046</v>
      </c>
      <c r="C65" s="60" t="s">
        <v>1050</v>
      </c>
      <c r="D65" s="34" t="s">
        <v>20</v>
      </c>
      <c r="E65" s="3" t="s">
        <v>1043</v>
      </c>
      <c r="F65" s="3" t="s">
        <v>822</v>
      </c>
      <c r="G65" s="4"/>
      <c r="H65" s="41" t="str">
        <f>Tabla410[[#This Row],[P1]] &amp; "|" &amp;Tabla410[[#This Row],[Agrupación]] &amp; "|" &amp; Tabla410[[#This Row],[Sexo]] &amp; "|" &amp; Tabla410[[#This Row],[Entidad]]</f>
        <v>PI|Acoso sexual|Hombre|Yucatán</v>
      </c>
      <c r="I65" s="22" t="str">
        <f>Tabla410[[#This Row],[P2]] &amp; "|" &amp;Tabla410[[#This Row],[Agrupación]] &amp; "|" &amp; Tabla410[[#This Row],[Sexo]] &amp; "|" &amp; Tabla410[[#This Row],[Entidad]]</f>
        <v>PS|Acoso sexual|Hombre|Yucatán</v>
      </c>
      <c r="J65" s="9">
        <f>VLOOKUP(Tabla410[[#This Row],[Agrupación]],Tabla5[[#All],[name]:[id_1]],2,FALSE)</f>
        <v>6</v>
      </c>
      <c r="K65" s="9">
        <f>VLOOKUP(Tabla410[[#This Row],[Año]],Tabla6[[#All],[name]:[id_2]],2)</f>
        <v>16</v>
      </c>
      <c r="L65" s="9">
        <f>VLOOKUP(Tabla410[[#This Row],[Sexo]],Tabla8[[#All],[name]:[gender_id]],2,FALSE)</f>
        <v>2</v>
      </c>
      <c r="M65" s="9" t="str">
        <f>IF(LEN(Tabla410[[#This Row],[centros]])&gt;0,VLOOKUP(Tabla410[[#This Row],[centros]],Tabla2[[#All],[Centros]:[ID]],2,FALSE),"NULL")</f>
        <v>NULL</v>
      </c>
      <c r="N65" s="9">
        <f>VLOOKUP(Tabla410[[#This Row],[Entidad]],Tabla3[[#All],[name]:[ID_2]],2,FALSE)</f>
        <v>31</v>
      </c>
      <c r="O65" s="9">
        <f>IFERROR(VLOOKUP(Tabla410[[#This Row],[CLAVE PI]], Tabla10[], 10, FALSE), 0)</f>
        <v>0</v>
      </c>
      <c r="P65" s="42">
        <f>IFERROR(VLOOKUP(Tabla410[[#This Row],[CLAVE PS]], Tabla10[], 10, FALSE), 0)</f>
        <v>0</v>
      </c>
      <c r="Q65" s="48" t="str">
        <f t="shared" si="1"/>
        <v>INSERT INTO indicator_category_details (category_id, year_id, gender_id, center_id, state_id, PI, PS, status) VALUES (6, 16, 2, NULL, 31, 0, 0, 1);</v>
      </c>
    </row>
    <row r="66" spans="1:17" ht="15.6" x14ac:dyDescent="0.3">
      <c r="A66" s="52">
        <v>2015</v>
      </c>
      <c r="B66" s="63" t="s">
        <v>1046</v>
      </c>
      <c r="C66" s="63" t="s">
        <v>1050</v>
      </c>
      <c r="D66" s="34" t="s">
        <v>20</v>
      </c>
      <c r="E66" s="3" t="s">
        <v>1043</v>
      </c>
      <c r="F66" s="11" t="s">
        <v>827</v>
      </c>
      <c r="G66" s="12"/>
      <c r="H66" s="43" t="str">
        <f>Tabla410[[#This Row],[P1]] &amp; "|" &amp;Tabla410[[#This Row],[Agrupación]] &amp; "|" &amp; Tabla410[[#This Row],[Sexo]] &amp; "|" &amp; Tabla410[[#This Row],[Entidad]]</f>
        <v>PI|Acoso sexual|Hombre|Zacatecas</v>
      </c>
      <c r="I66" s="23" t="str">
        <f>Tabla410[[#This Row],[P2]] &amp; "|" &amp;Tabla410[[#This Row],[Agrupación]] &amp; "|" &amp; Tabla410[[#This Row],[Sexo]] &amp; "|" &amp; Tabla410[[#This Row],[Entidad]]</f>
        <v>PS|Acoso sexual|Hombre|Zacatecas</v>
      </c>
      <c r="J66" s="13">
        <f>VLOOKUP(Tabla410[[#This Row],[Agrupación]],Tabla5[[#All],[name]:[id_1]],2,FALSE)</f>
        <v>6</v>
      </c>
      <c r="K66" s="13">
        <f>VLOOKUP(Tabla410[[#This Row],[Año]],Tabla6[[#All],[name]:[id_2]],2)</f>
        <v>16</v>
      </c>
      <c r="L66" s="13">
        <f>VLOOKUP(Tabla410[[#This Row],[Sexo]],Tabla8[[#All],[name]:[gender_id]],2,FALSE)</f>
        <v>2</v>
      </c>
      <c r="M66" s="13" t="str">
        <f>IF(LEN(Tabla410[[#This Row],[centros]])&gt;0,VLOOKUP(Tabla410[[#This Row],[centros]],Tabla2[[#All],[Centros]:[ID]],2,FALSE),"NULL")</f>
        <v>NULL</v>
      </c>
      <c r="N66" s="13">
        <f>VLOOKUP(Tabla410[[#This Row],[Entidad]],Tabla3[[#All],[name]:[ID_2]],2,FALSE)</f>
        <v>32</v>
      </c>
      <c r="O66" s="13">
        <f>IFERROR(VLOOKUP(Tabla410[[#This Row],[CLAVE PI]], Tabla10[], 10, FALSE), 0)</f>
        <v>0</v>
      </c>
      <c r="P66" s="64">
        <f>IFERROR(VLOOKUP(Tabla410[[#This Row],[CLAVE PS]], Tabla10[], 10, FALSE), 0)</f>
        <v>0</v>
      </c>
      <c r="Q66" s="49" t="str">
        <f t="shared" si="1"/>
        <v>INSERT INTO indicator_category_details (category_id, year_id, gender_id, center_id, state_id, PI, PS, status) VALUES (6, 16, 2, NULL, 32, 0, 0, 1);</v>
      </c>
    </row>
  </sheetData>
  <mergeCells count="1">
    <mergeCell ref="O1:P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110D-30C4-4F03-9F3D-4AF17804E427}">
  <dimension ref="A1:G31"/>
  <sheetViews>
    <sheetView workbookViewId="0">
      <selection activeCell="G4" sqref="G4"/>
    </sheetView>
  </sheetViews>
  <sheetFormatPr baseColWidth="10" defaultRowHeight="14.4" x14ac:dyDescent="0.3"/>
  <sheetData>
    <row r="1" spans="1:7" x14ac:dyDescent="0.3">
      <c r="F1" t="s">
        <v>1061</v>
      </c>
      <c r="G1" t="s">
        <v>1062</v>
      </c>
    </row>
    <row r="2" spans="1:7" x14ac:dyDescent="0.3">
      <c r="A2" t="s">
        <v>1055</v>
      </c>
      <c r="B2" t="s">
        <v>1056</v>
      </c>
      <c r="C2" t="s">
        <v>1057</v>
      </c>
      <c r="D2" t="s">
        <v>1058</v>
      </c>
      <c r="E2" t="s">
        <v>1059</v>
      </c>
      <c r="F2" t="s">
        <v>1046</v>
      </c>
      <c r="G2" t="s">
        <v>1050</v>
      </c>
    </row>
    <row r="3" spans="1:7" x14ac:dyDescent="0.3">
      <c r="A3" t="s">
        <v>14</v>
      </c>
      <c r="B3">
        <v>2026</v>
      </c>
      <c r="C3" t="s">
        <v>1042</v>
      </c>
      <c r="D3" t="s">
        <v>1060</v>
      </c>
      <c r="E3" t="s">
        <v>727</v>
      </c>
      <c r="F3">
        <v>8</v>
      </c>
      <c r="G3">
        <v>0</v>
      </c>
    </row>
    <row r="4" spans="1:7" x14ac:dyDescent="0.3">
      <c r="C4" t="s">
        <v>1042</v>
      </c>
      <c r="E4" t="s">
        <v>727</v>
      </c>
      <c r="F4">
        <v>0</v>
      </c>
      <c r="G4">
        <v>2</v>
      </c>
    </row>
    <row r="5" spans="1:7" x14ac:dyDescent="0.3">
      <c r="E5" t="s">
        <v>727</v>
      </c>
      <c r="F5">
        <v>8</v>
      </c>
    </row>
    <row r="6" spans="1:7" x14ac:dyDescent="0.3">
      <c r="E6" t="s">
        <v>727</v>
      </c>
      <c r="F6">
        <v>8</v>
      </c>
    </row>
    <row r="7" spans="1:7" x14ac:dyDescent="0.3">
      <c r="E7" t="s">
        <v>727</v>
      </c>
      <c r="F7">
        <v>8</v>
      </c>
    </row>
    <row r="8" spans="1:7" x14ac:dyDescent="0.3">
      <c r="E8" t="s">
        <v>727</v>
      </c>
      <c r="F8">
        <v>8</v>
      </c>
    </row>
    <row r="9" spans="1:7" x14ac:dyDescent="0.3">
      <c r="E9" t="s">
        <v>727</v>
      </c>
      <c r="F9">
        <v>8</v>
      </c>
    </row>
    <row r="10" spans="1:7" x14ac:dyDescent="0.3">
      <c r="E10" t="s">
        <v>727</v>
      </c>
      <c r="F10">
        <v>8</v>
      </c>
    </row>
    <row r="11" spans="1:7" x14ac:dyDescent="0.3">
      <c r="E11" t="s">
        <v>727</v>
      </c>
      <c r="F11">
        <v>8</v>
      </c>
    </row>
    <row r="12" spans="1:7" x14ac:dyDescent="0.3">
      <c r="E12" t="s">
        <v>727</v>
      </c>
      <c r="F12">
        <v>8</v>
      </c>
    </row>
    <row r="13" spans="1:7" x14ac:dyDescent="0.3">
      <c r="E13" t="s">
        <v>727</v>
      </c>
      <c r="F13">
        <v>8</v>
      </c>
    </row>
    <row r="14" spans="1:7" x14ac:dyDescent="0.3">
      <c r="E14" t="s">
        <v>727</v>
      </c>
      <c r="F14">
        <v>8</v>
      </c>
    </row>
    <row r="15" spans="1:7" x14ac:dyDescent="0.3">
      <c r="E15" t="s">
        <v>727</v>
      </c>
      <c r="F15">
        <v>8</v>
      </c>
    </row>
    <row r="16" spans="1:7" x14ac:dyDescent="0.3">
      <c r="E16" t="s">
        <v>727</v>
      </c>
      <c r="F16">
        <v>8</v>
      </c>
    </row>
    <row r="17" spans="5:6" x14ac:dyDescent="0.3">
      <c r="E17" t="s">
        <v>727</v>
      </c>
      <c r="F17">
        <v>8</v>
      </c>
    </row>
    <row r="18" spans="5:6" x14ac:dyDescent="0.3">
      <c r="E18" t="s">
        <v>727</v>
      </c>
      <c r="F18">
        <v>8</v>
      </c>
    </row>
    <row r="19" spans="5:6" x14ac:dyDescent="0.3">
      <c r="E19" t="s">
        <v>727</v>
      </c>
      <c r="F19">
        <v>8</v>
      </c>
    </row>
    <row r="20" spans="5:6" x14ac:dyDescent="0.3">
      <c r="E20" t="s">
        <v>727</v>
      </c>
    </row>
    <row r="21" spans="5:6" x14ac:dyDescent="0.3">
      <c r="E21" t="s">
        <v>727</v>
      </c>
    </row>
    <row r="22" spans="5:6" x14ac:dyDescent="0.3">
      <c r="E22" t="s">
        <v>727</v>
      </c>
    </row>
    <row r="23" spans="5:6" x14ac:dyDescent="0.3">
      <c r="E23" t="s">
        <v>727</v>
      </c>
    </row>
    <row r="24" spans="5:6" x14ac:dyDescent="0.3">
      <c r="E24" t="s">
        <v>727</v>
      </c>
    </row>
    <row r="25" spans="5:6" x14ac:dyDescent="0.3">
      <c r="E25" t="s">
        <v>727</v>
      </c>
    </row>
    <row r="26" spans="5:6" x14ac:dyDescent="0.3">
      <c r="E26" t="s">
        <v>727</v>
      </c>
    </row>
    <row r="27" spans="5:6" x14ac:dyDescent="0.3">
      <c r="E27" t="s">
        <v>727</v>
      </c>
    </row>
    <row r="28" spans="5:6" x14ac:dyDescent="0.3">
      <c r="E28" t="s">
        <v>727</v>
      </c>
    </row>
    <row r="29" spans="5:6" x14ac:dyDescent="0.3">
      <c r="E29" t="s">
        <v>727</v>
      </c>
    </row>
    <row r="30" spans="5:6" x14ac:dyDescent="0.3">
      <c r="E30" t="s">
        <v>727</v>
      </c>
    </row>
    <row r="31" spans="5:6" x14ac:dyDescent="0.3">
      <c r="E31" t="s">
        <v>727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40EF5-9FE5-4436-BC93-5BEC902AD1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YEARS</vt:lpstr>
      <vt:lpstr>ESTADOS</vt:lpstr>
      <vt:lpstr>GENDERS</vt:lpstr>
      <vt:lpstr>CATEGORIES</vt:lpstr>
      <vt:lpstr>Centros</vt:lpstr>
      <vt:lpstr>SQL V1</vt:lpstr>
      <vt:lpstr>Categorias</vt:lpstr>
      <vt:lpstr>NODOS</vt:lpstr>
      <vt:lpstr>DATA</vt:lpstr>
      <vt:lpstr>SQL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LENOVO</cp:lastModifiedBy>
  <dcterms:created xsi:type="dcterms:W3CDTF">2015-06-05T18:19:34Z</dcterms:created>
  <dcterms:modified xsi:type="dcterms:W3CDTF">2026-02-23T04:33:49Z</dcterms:modified>
</cp:coreProperties>
</file>
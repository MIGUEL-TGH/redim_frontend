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IPPI 11\Documents\GitHub\REDIM_1\data\"/>
    </mc:Choice>
  </mc:AlternateContent>
  <xr:revisionPtr revIDLastSave="0" documentId="13_ncr:1_{4390A433-DD10-4C7A-A771-079B50D05E1B}" xr6:coauthVersionLast="47" xr6:coauthVersionMax="47" xr10:uidLastSave="{00000000-0000-0000-0000-000000000000}"/>
  <bookViews>
    <workbookView xWindow="28680" yWindow="-120" windowWidth="29040" windowHeight="16440" activeTab="1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16" l="1"/>
  <c r="J1" i="17"/>
  <c r="K15" i="16"/>
  <c r="I3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K3" i="16"/>
  <c r="K4" i="16"/>
  <c r="K5" i="16"/>
  <c r="K6" i="16"/>
  <c r="K7" i="16"/>
  <c r="K8" i="16"/>
  <c r="K9" i="16"/>
  <c r="K10" i="16"/>
  <c r="K11" i="16"/>
  <c r="K12" i="16"/>
  <c r="K13" i="16"/>
  <c r="K14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1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130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A4" i="17"/>
  <c r="A3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N34" i="16"/>
  <c r="L34" i="16"/>
  <c r="N33" i="16"/>
  <c r="L33" i="16"/>
  <c r="N32" i="16"/>
  <c r="L32" i="16"/>
  <c r="N31" i="16"/>
  <c r="L31" i="16"/>
  <c r="N30" i="16"/>
  <c r="L30" i="16"/>
  <c r="N29" i="16"/>
  <c r="L29" i="16"/>
  <c r="N28" i="16"/>
  <c r="L28" i="16"/>
  <c r="N27" i="16"/>
  <c r="L27" i="16"/>
  <c r="N26" i="16"/>
  <c r="L26" i="16"/>
  <c r="N25" i="16"/>
  <c r="L25" i="16"/>
  <c r="N24" i="16"/>
  <c r="L24" i="16"/>
  <c r="N23" i="16"/>
  <c r="L23" i="16"/>
  <c r="N22" i="16"/>
  <c r="L22" i="16"/>
  <c r="N21" i="16"/>
  <c r="L21" i="16"/>
  <c r="N20" i="16"/>
  <c r="L20" i="16"/>
  <c r="N19" i="16"/>
  <c r="L19" i="16"/>
  <c r="N18" i="16"/>
  <c r="L18" i="16"/>
  <c r="N17" i="16"/>
  <c r="L17" i="16"/>
  <c r="N16" i="16"/>
  <c r="L16" i="16"/>
  <c r="N15" i="16"/>
  <c r="L15" i="16"/>
  <c r="N14" i="16"/>
  <c r="N13" i="16"/>
  <c r="L13" i="16"/>
  <c r="N12" i="16"/>
  <c r="L12" i="16"/>
  <c r="N9" i="16"/>
  <c r="L9" i="16"/>
  <c r="N8" i="16"/>
  <c r="L8" i="16"/>
  <c r="N7" i="16"/>
  <c r="L7" i="16"/>
  <c r="N11" i="16"/>
  <c r="L11" i="16"/>
  <c r="N10" i="16"/>
  <c r="L10" i="16"/>
  <c r="N6" i="16"/>
  <c r="L6" i="16"/>
  <c r="N5" i="16"/>
  <c r="L5" i="16"/>
  <c r="N4" i="16"/>
  <c r="L4" i="16"/>
  <c r="N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O3" i="16" l="1"/>
  <c r="P3" i="16"/>
  <c r="P23" i="7"/>
  <c r="P31" i="7"/>
  <c r="P27" i="7"/>
  <c r="P40" i="16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O36" i="16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O59" i="16"/>
  <c r="O55" i="16"/>
  <c r="O51" i="16"/>
  <c r="O47" i="16"/>
  <c r="O43" i="16"/>
  <c r="O39" i="16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O62" i="16"/>
  <c r="O58" i="16"/>
  <c r="O54" i="16"/>
  <c r="O50" i="16"/>
  <c r="O46" i="16"/>
  <c r="O42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O1" i="16" l="1"/>
  <c r="Q3" i="16"/>
  <c r="Q40" i="16"/>
  <c r="Q50" i="16"/>
  <c r="Q59" i="16"/>
  <c r="Q55" i="16"/>
  <c r="Q62" i="16"/>
  <c r="Q39" i="16"/>
  <c r="Q43" i="16"/>
  <c r="Q47" i="16"/>
  <c r="Q63" i="16"/>
  <c r="Q66" i="16"/>
  <c r="Q36" i="16"/>
  <c r="Q38" i="16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</calcChain>
</file>

<file path=xl/sharedStrings.xml><?xml version="1.0" encoding="utf-8"?>
<sst xmlns="http://schemas.openxmlformats.org/spreadsheetml/2006/main" count="4917" uniqueCount="1057">
  <si>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</si>
  <si>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</si>
  <si>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</si>
  <si>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</si>
  <si>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</si>
  <si>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</si>
  <si>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</si>
  <si>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</si>
  <si>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</si>
  <si>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</si>
  <si>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</si>
  <si>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</si>
  <si>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</si>
  <si>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</si>
  <si>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</si>
  <si>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</si>
  <si>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</si>
  <si>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</si>
  <si>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</si>
  <si>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</si>
  <si>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</si>
  <si>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</si>
  <si>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</si>
  <si>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</si>
  <si>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</si>
  <si>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</si>
  <si>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</si>
  <si>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</si>
  <si>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</si>
  <si>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</si>
  <si>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</si>
  <si>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</si>
  <si>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</si>
  <si>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</si>
  <si>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</si>
  <si>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</si>
  <si>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</si>
  <si>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</si>
  <si>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</si>
  <si>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</si>
  <si>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</si>
  <si>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</si>
  <si>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</si>
  <si>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</si>
  <si>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</si>
  <si>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</si>
  <si>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</si>
  <si>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</si>
  <si>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</si>
  <si>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</si>
  <si>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</si>
  <si>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</si>
  <si>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</si>
  <si>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</si>
  <si>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</si>
  <si>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</si>
  <si>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</si>
  <si>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</si>
  <si>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</si>
  <si>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</si>
  <si>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</si>
  <si>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</si>
  <si>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</si>
  <si>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</si>
  <si>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</si>
  <si>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</si>
  <si>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</si>
  <si>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</si>
  <si>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</si>
  <si>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</si>
  <si>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</si>
  <si>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</si>
  <si>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</si>
  <si>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</si>
  <si>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</si>
  <si>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</si>
  <si>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</si>
  <si>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</si>
  <si>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</si>
  <si>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</si>
  <si>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</si>
  <si>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</si>
  <si>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</si>
  <si>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</si>
  <si>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</si>
  <si>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</si>
  <si>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</si>
  <si>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</si>
  <si>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</si>
  <si>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</si>
  <si>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</si>
  <si>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</si>
  <si>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</si>
  <si>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</si>
  <si>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</si>
  <si>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</si>
  <si>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</si>
  <si>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</si>
  <si>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</si>
  <si>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</si>
  <si>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</si>
  <si>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</si>
  <si>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</si>
  <si>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</si>
  <si>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</si>
  <si>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</si>
  <si>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</si>
  <si>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</si>
  <si>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</si>
  <si>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</si>
  <si>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</si>
  <si>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</si>
  <si>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</si>
  <si>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</si>
  <si>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</si>
  <si>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</si>
  <si>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</si>
  <si>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</si>
  <si>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</si>
  <si>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</si>
  <si>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</si>
  <si>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</si>
  <si>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</si>
  <si>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</si>
  <si>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</si>
  <si>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</si>
  <si>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</si>
  <si>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</si>
  <si>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</si>
  <si>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</si>
  <si>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</si>
  <si>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</si>
  <si>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</si>
  <si>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</si>
  <si>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</si>
  <si>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</si>
  <si>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</si>
  <si>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</si>
  <si>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</si>
  <si>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</si>
  <si>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</si>
  <si>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</si>
  <si>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</si>
  <si>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</si>
  <si>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</si>
  <si>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</si>
  <si>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</si>
  <si>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</si>
  <si>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</si>
  <si>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</si>
  <si>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</si>
  <si>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</si>
  <si>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</si>
  <si>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</si>
  <si>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</si>
  <si>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</si>
  <si>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</si>
  <si>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</si>
  <si>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</si>
  <si>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</si>
  <si>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</si>
  <si>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</si>
  <si>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</si>
  <si>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</si>
  <si>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</si>
  <si>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</si>
  <si>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</si>
  <si>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</si>
  <si>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</si>
  <si>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</si>
  <si>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</si>
  <si>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</si>
  <si>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</si>
  <si>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</si>
  <si>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</si>
  <si>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</si>
  <si>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</si>
  <si>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</si>
  <si>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</si>
  <si>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</si>
  <si>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</si>
  <si>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</si>
  <si>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</si>
  <si>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</si>
  <si>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</si>
  <si>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</si>
  <si>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</si>
  <si>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</si>
  <si>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</si>
  <si>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</si>
  <si>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</si>
  <si>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</si>
  <si>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</si>
  <si>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</si>
  <si>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</si>
  <si>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</si>
  <si>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</si>
  <si>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</si>
  <si>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</si>
  <si>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</si>
  <si>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</si>
  <si>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</si>
  <si>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</si>
  <si>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</si>
  <si>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</si>
  <si>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</si>
  <si>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</si>
  <si>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</si>
  <si>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</si>
  <si>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</si>
  <si>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</si>
  <si>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</si>
  <si>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</si>
  <si>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</si>
  <si>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</si>
  <si>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</si>
  <si>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</si>
  <si>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</si>
  <si>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</si>
  <si>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</si>
  <si>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</si>
  <si>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</si>
  <si>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</si>
  <si>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</si>
  <si>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</si>
  <si>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</si>
  <si>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</si>
  <si>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</si>
  <si>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</si>
  <si>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</si>
  <si>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</si>
  <si>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</si>
  <si>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</si>
  <si>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</si>
  <si>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</si>
  <si>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</si>
  <si>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</si>
  <si>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</si>
  <si>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</si>
  <si>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</si>
  <si>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</si>
  <si>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</si>
  <si>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</si>
  <si>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</si>
  <si>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</si>
  <si>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</si>
  <si>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</si>
  <si>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</si>
  <si>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</si>
  <si>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</si>
  <si>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</si>
  <si>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</si>
  <si>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</si>
  <si>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</si>
  <si>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</si>
  <si>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</si>
  <si>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</si>
  <si>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</si>
  <si>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</si>
  <si>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</si>
  <si>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</si>
  <si>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</si>
  <si>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</si>
  <si>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</si>
  <si>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</si>
  <si>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</si>
  <si>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</si>
  <si>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</si>
  <si>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</si>
  <si>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</si>
  <si>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</si>
  <si>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</si>
  <si>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</si>
  <si>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</si>
  <si>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</si>
  <si>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</si>
  <si>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</si>
  <si>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</si>
  <si>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</si>
  <si>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</si>
  <si>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</si>
  <si>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</si>
  <si>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</si>
  <si>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</si>
  <si>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</si>
  <si>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</si>
  <si>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</si>
  <si>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</si>
  <si>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</si>
  <si>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</si>
  <si>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</si>
  <si>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</si>
  <si>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</si>
  <si>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</si>
  <si>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</si>
  <si>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</si>
  <si>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</si>
  <si>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</si>
  <si>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</si>
  <si>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</si>
  <si>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</si>
  <si>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</si>
  <si>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</si>
  <si>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</si>
  <si>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</si>
  <si>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</si>
  <si>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</si>
  <si>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</si>
  <si>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</si>
  <si>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</si>
  <si>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</si>
  <si>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</si>
  <si>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</si>
  <si>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</si>
  <si>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</si>
  <si>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</si>
  <si>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</si>
  <si>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</si>
  <si>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</si>
  <si>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</si>
  <si>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</si>
  <si>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</si>
  <si>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</si>
  <si>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</si>
  <si>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</si>
  <si>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</si>
  <si>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</si>
  <si>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</si>
  <si>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</si>
  <si>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</si>
  <si>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</si>
  <si>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</si>
  <si>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</si>
  <si>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</si>
  <si>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</si>
  <si>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</si>
  <si>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</si>
  <si>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</si>
  <si>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</si>
  <si>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</si>
  <si>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</si>
  <si>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</si>
  <si>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</si>
  <si>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</si>
  <si>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</si>
  <si>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</si>
  <si>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</si>
  <si>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</si>
  <si>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</si>
  <si>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</si>
  <si>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</si>
  <si>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</si>
  <si>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</si>
  <si>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</si>
  <si>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</si>
  <si>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</si>
  <si>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</si>
  <si>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</si>
  <si>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</si>
  <si>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</si>
  <si>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</si>
  <si>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</si>
  <si>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</si>
  <si>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</si>
  <si>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</si>
  <si>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</si>
  <si>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</si>
  <si>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</si>
  <si>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</si>
  <si>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</si>
  <si>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</si>
  <si>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</si>
  <si>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</si>
  <si>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</si>
  <si>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</si>
  <si>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</si>
  <si>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</si>
  <si>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</si>
  <si>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</si>
  <si>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</si>
  <si>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</si>
  <si>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</si>
  <si>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</si>
  <si>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</si>
  <si>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</si>
  <si>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</si>
  <si>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</si>
  <si>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</si>
  <si>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</si>
  <si>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</si>
  <si>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</si>
  <si>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</si>
  <si>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</si>
  <si>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</si>
  <si>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</si>
  <si>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</si>
  <si>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</si>
  <si>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</si>
  <si>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</si>
  <si>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</si>
  <si>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</si>
  <si>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</si>
  <si>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</si>
  <si>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</si>
  <si>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</si>
  <si>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</si>
  <si>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</si>
  <si>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</si>
  <si>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</si>
  <si>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</si>
  <si>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</si>
  <si>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</si>
  <si>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</si>
  <si>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</si>
  <si>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</si>
  <si>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</si>
  <si>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</si>
  <si>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</si>
  <si>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</si>
  <si>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</si>
  <si>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</si>
  <si>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</si>
  <si>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</si>
  <si>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</si>
  <si>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</si>
  <si>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</si>
  <si>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</si>
  <si>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</si>
  <si>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</si>
  <si>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</si>
  <si>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</si>
  <si>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</si>
  <si>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</si>
  <si>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</si>
  <si>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</si>
  <si>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</si>
  <si>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</si>
  <si>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</si>
  <si>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</si>
  <si>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</si>
  <si>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</si>
  <si>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</si>
  <si>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</si>
  <si>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</si>
  <si>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</si>
  <si>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</si>
  <si>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</si>
  <si>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</si>
  <si>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</si>
  <si>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</si>
  <si>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</si>
  <si>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</si>
  <si>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</si>
  <si>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</si>
  <si>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</si>
  <si>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</si>
  <si>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</si>
  <si>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</si>
  <si>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</si>
  <si>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</si>
  <si>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</si>
  <si>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</si>
  <si>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</si>
  <si>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</si>
  <si>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</si>
  <si>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</si>
  <si>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</si>
  <si>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</si>
  <si>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</si>
  <si>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</si>
  <si>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</si>
  <si>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</si>
  <si>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</si>
  <si>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</si>
  <si>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</si>
  <si>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</si>
  <si>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</si>
  <si>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</si>
  <si>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</si>
  <si>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</si>
  <si>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</si>
  <si>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</si>
  <si>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</si>
  <si>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</si>
  <si>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</si>
  <si>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</si>
  <si>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</si>
  <si>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</si>
  <si>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</si>
  <si>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</si>
  <si>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</si>
  <si>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</si>
  <si>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</si>
  <si>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</si>
  <si>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</si>
  <si>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</si>
  <si>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</si>
  <si>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</si>
  <si>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</si>
  <si>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</si>
  <si>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</si>
  <si>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</si>
  <si>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</si>
  <si>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</si>
  <si>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</si>
  <si>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</si>
  <si>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</si>
  <si>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</si>
  <si>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</si>
  <si>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</si>
  <si>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</si>
  <si>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</si>
  <si>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</si>
  <si>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</si>
  <si>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</si>
  <si>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</si>
  <si>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</si>
  <si>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</si>
  <si>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</si>
  <si>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</si>
  <si>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</si>
  <si>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</si>
  <si>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</si>
  <si>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</si>
  <si>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</si>
  <si>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</si>
  <si>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</si>
  <si>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</si>
  <si>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</si>
  <si>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</si>
  <si>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</si>
  <si>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</si>
  <si>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</si>
  <si>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</si>
  <si>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</si>
  <si>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</si>
  <si>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</si>
  <si>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</si>
  <si>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</si>
  <si>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</si>
  <si>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</si>
  <si>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</si>
  <si>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</si>
  <si>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</si>
  <si>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</si>
  <si>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</si>
  <si>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</si>
  <si>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</si>
  <si>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</si>
  <si>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</si>
  <si>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</si>
  <si>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</si>
  <si>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</si>
  <si>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</si>
  <si>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</si>
  <si>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</si>
  <si>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</si>
  <si>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</si>
  <si>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</si>
  <si>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</si>
  <si>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</si>
  <si>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</si>
  <si>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</si>
  <si>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</si>
  <si>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</si>
  <si>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</si>
  <si>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</si>
  <si>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</si>
  <si>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</si>
  <si>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</si>
  <si>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</si>
  <si>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</si>
  <si>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</si>
  <si>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</si>
  <si>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</si>
  <si>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</si>
  <si>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</si>
  <si>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</si>
  <si>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</si>
  <si>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</si>
  <si>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</si>
  <si>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</si>
  <si>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</si>
  <si>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</si>
  <si>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</si>
  <si>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</si>
  <si>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</si>
  <si>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</si>
  <si>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</si>
  <si>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</si>
  <si>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</si>
  <si>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</si>
  <si>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</si>
  <si>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</si>
  <si>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</si>
  <si>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</si>
  <si>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</si>
  <si>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</si>
  <si>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</si>
  <si>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</si>
  <si>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</si>
  <si>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</si>
  <si>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</si>
  <si>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</si>
  <si>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</si>
  <si>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</si>
  <si>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</si>
  <si>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</si>
  <si>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</si>
  <si>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</si>
  <si>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</si>
  <si>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</si>
  <si>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</si>
  <si>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</si>
  <si>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</si>
  <si>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</si>
  <si>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</si>
  <si>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</si>
  <si>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</si>
  <si>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</si>
  <si>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</si>
  <si>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</si>
  <si>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</si>
  <si>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</si>
  <si>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</si>
  <si>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</si>
  <si>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</si>
  <si>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</si>
  <si>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</si>
  <si>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</si>
  <si>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</si>
  <si>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</si>
  <si>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</si>
  <si>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</si>
  <si>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</si>
  <si>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</si>
  <si>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</si>
  <si>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</si>
  <si>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</si>
  <si>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</si>
  <si>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</si>
  <si>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</si>
  <si>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</si>
  <si>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</si>
  <si>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</si>
  <si>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</si>
  <si>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</si>
  <si>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</si>
  <si>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</si>
  <si>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</si>
  <si>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</si>
  <si>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</si>
  <si>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</si>
  <si>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</si>
  <si>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</si>
  <si>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</si>
  <si>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</si>
  <si>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</si>
  <si>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</si>
  <si>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</si>
  <si>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</si>
  <si>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</si>
  <si>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</si>
  <si>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</si>
  <si>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</si>
  <si>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</si>
  <si>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</si>
  <si>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</si>
  <si>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</si>
  <si>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</si>
  <si>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</si>
  <si>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</si>
  <si>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</si>
  <si>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</si>
  <si>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</si>
  <si>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</si>
  <si>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</si>
  <si>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</si>
  <si>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</si>
  <si>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</si>
  <si>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</si>
  <si>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</si>
  <si>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</si>
  <si>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</si>
  <si>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</si>
  <si>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</si>
  <si>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</si>
  <si>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</si>
  <si>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</si>
  <si>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</si>
  <si>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</si>
  <si>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</si>
  <si>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</si>
  <si>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</si>
  <si>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</si>
  <si>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</si>
  <si>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</si>
  <si>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</si>
  <si>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</si>
  <si>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</si>
  <si>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</si>
  <si>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</si>
  <si>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</si>
  <si>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</si>
  <si>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</si>
  <si>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</si>
  <si>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</si>
  <si>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</si>
  <si>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</si>
  <si>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</si>
  <si>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</si>
  <si>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</si>
  <si>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</si>
  <si>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</si>
  <si>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</si>
  <si>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</si>
  <si>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</si>
  <si>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</si>
  <si>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</si>
  <si>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</si>
  <si>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</si>
  <si>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</si>
  <si>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</si>
  <si>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</si>
  <si>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</si>
  <si>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</si>
  <si>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</si>
  <si>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</si>
  <si>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</si>
  <si>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</si>
  <si>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</si>
  <si>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</si>
  <si>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</si>
  <si>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</si>
  <si>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</si>
  <si>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</si>
  <si>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</si>
  <si>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</si>
  <si>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</si>
  <si>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</si>
  <si>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</si>
  <si>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</si>
  <si>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</si>
  <si>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</si>
  <si>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</si>
  <si>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</si>
  <si>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</si>
  <si>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</si>
  <si>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</si>
  <si>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</si>
  <si>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</si>
  <si>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</si>
  <si>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</si>
  <si>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</si>
  <si>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</si>
  <si>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</si>
  <si>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</si>
  <si>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</si>
  <si>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</si>
  <si>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</si>
  <si>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</si>
  <si>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</si>
  <si>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</si>
  <si>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</si>
  <si>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</si>
  <si>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</si>
  <si>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</si>
  <si>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</si>
  <si>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</si>
  <si>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</si>
  <si>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</si>
  <si>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</si>
  <si>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</si>
  <si>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</si>
  <si>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</si>
  <si>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</si>
  <si>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</si>
  <si>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</si>
  <si>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</si>
  <si>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</si>
  <si>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</si>
  <si>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</si>
  <si>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</si>
  <si>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</si>
  <si>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</si>
  <si>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</si>
  <si>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</si>
  <si>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</si>
  <si>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</si>
  <si>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</si>
  <si>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</si>
  <si>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</si>
  <si>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</si>
  <si>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</si>
  <si>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</si>
  <si>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</si>
  <si>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</si>
  <si>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</si>
  <si>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</si>
  <si>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</si>
  <si>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</si>
  <si>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</si>
  <si>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</si>
  <si>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</si>
  <si>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</si>
  <si>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</si>
  <si>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</si>
  <si>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</si>
  <si>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</si>
  <si>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</si>
  <si>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</si>
  <si>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</si>
  <si>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</si>
  <si>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</si>
  <si>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</si>
  <si>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</si>
  <si>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</si>
  <si>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</si>
  <si>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</si>
  <si>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</si>
  <si>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</si>
  <si>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</si>
  <si>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</si>
  <si>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</si>
  <si>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</si>
  <si>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</si>
  <si>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</si>
  <si>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</si>
  <si>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</si>
  <si>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</si>
  <si>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</si>
  <si>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</si>
  <si>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</si>
  <si>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</si>
  <si>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</si>
  <si>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</si>
  <si>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</si>
  <si>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</si>
  <si>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</si>
  <si>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</si>
  <si>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</si>
  <si>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</si>
  <si>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</si>
  <si>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</si>
  <si>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</si>
  <si>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</si>
  <si>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</si>
  <si>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</si>
  <si>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</si>
  <si>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</si>
  <si>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</si>
  <si>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</si>
  <si>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</si>
  <si>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</si>
  <si>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</si>
  <si>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</si>
  <si>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</si>
  <si>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</si>
  <si>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</si>
  <si>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</si>
  <si>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</si>
  <si>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</si>
  <si>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</si>
  <si>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</si>
  <si>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</si>
  <si>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</si>
  <si>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</si>
  <si>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</si>
  <si>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</si>
  <si>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</si>
  <si>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</si>
  <si>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</si>
  <si>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</si>
  <si>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</si>
  <si>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</si>
  <si>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</si>
  <si>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</si>
  <si>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</si>
  <si>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</si>
  <si>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</si>
  <si>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</si>
  <si>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</si>
  <si>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</si>
  <si>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</si>
  <si>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</si>
  <si>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</si>
  <si>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</si>
  <si>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</si>
  <si>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</si>
  <si>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</si>
  <si>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</si>
  <si>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</si>
  <si>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</si>
  <si>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</si>
  <si>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</si>
  <si>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</si>
  <si>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</si>
  <si>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</si>
  <si>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</si>
  <si>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</si>
  <si>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</si>
  <si>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</si>
  <si>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</si>
  <si>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</si>
  <si>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</si>
  <si>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</si>
  <si>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</si>
  <si>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</si>
  <si>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</si>
  <si>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</si>
  <si>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</si>
  <si>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</si>
  <si>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</si>
  <si>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</si>
  <si>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</si>
  <si>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</si>
  <si>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</si>
  <si>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</si>
  <si>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</si>
  <si>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</si>
  <si>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</si>
  <si>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</si>
  <si>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</si>
  <si>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</si>
  <si>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</si>
  <si>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</si>
  <si>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</si>
  <si>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</si>
  <si>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</si>
  <si>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</si>
  <si>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</si>
  <si>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</si>
  <si>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</si>
  <si>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</si>
  <si>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</si>
  <si>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</si>
  <si>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</si>
  <si>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</si>
  <si>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</si>
  <si>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</si>
  <si>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</si>
  <si>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</si>
  <si>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</si>
  <si>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</si>
  <si>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</si>
  <si>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</si>
  <si>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</si>
  <si>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</si>
  <si>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</si>
  <si>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</si>
  <si>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</si>
  <si>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</si>
  <si>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</si>
  <si>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</si>
  <si>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</si>
  <si>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</si>
  <si>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</si>
  <si>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</si>
  <si>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</si>
  <si>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</si>
  <si>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</si>
  <si>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</si>
  <si>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</si>
  <si>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</si>
  <si>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</si>
  <si>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</si>
  <si>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</si>
  <si>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</si>
  <si>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</si>
  <si>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</si>
  <si>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</si>
  <si>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</si>
  <si>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</si>
  <si>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</si>
  <si>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</si>
  <si>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</si>
  <si>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</si>
  <si>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</si>
  <si>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</si>
  <si>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</si>
  <si>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</si>
  <si>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</si>
  <si>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</si>
  <si>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</si>
  <si>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</si>
  <si>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</si>
  <si>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</si>
  <si>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</si>
  <si>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</si>
  <si>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</si>
  <si>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</si>
  <si>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</si>
  <si>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</si>
  <si>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</si>
  <si>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</si>
  <si>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</si>
  <si>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</si>
  <si>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</si>
  <si>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</si>
  <si>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</si>
  <si>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</si>
  <si>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</si>
  <si>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</si>
  <si>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</si>
  <si>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</si>
  <si>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</si>
  <si>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</si>
  <si>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</si>
  <si>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</si>
  <si>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</si>
  <si>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</si>
  <si>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</si>
  <si>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</si>
  <si>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</si>
  <si>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</si>
  <si>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</si>
  <si>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</si>
  <si>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</si>
  <si>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</si>
  <si>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</si>
  <si>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</si>
  <si>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</si>
  <si>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</si>
  <si>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</si>
  <si>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</si>
  <si>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</si>
  <si>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</si>
  <si>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</si>
  <si>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</si>
  <si>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</si>
  <si>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</si>
  <si>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</si>
  <si>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</si>
  <si>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</si>
  <si>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</si>
  <si>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</si>
  <si>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</si>
  <si>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</si>
  <si>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</si>
  <si>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</si>
  <si>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</si>
  <si>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</si>
  <si>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</si>
  <si>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</si>
  <si>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</si>
  <si>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</si>
  <si>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</si>
  <si>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</si>
  <si>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</si>
  <si>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</si>
  <si>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</si>
  <si>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</si>
  <si>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</si>
  <si>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</si>
  <si>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</si>
  <si>
    <t>PI: Población Iternada</t>
  </si>
  <si>
    <t>PS: Poblacion Señalada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</si>
</sst>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Roboto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1" fillId="0" borderId="3" xfId="0" applyFont="1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1" fillId="0" borderId="0" xfId="0" applyFont="1"/>
    <xf numFmtId="0" fontId="3" fillId="0" borderId="31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35" xfId="0" applyFont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8" xfId="0" applyBorder="1" applyAlignment="1">
      <alignment horizontal="center" vertical="top"/>
    </xf>
    <xf numFmtId="0" fontId="3" fillId="0" borderId="40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3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7" fillId="0" borderId="0" xfId="0" applyFont="1"/>
    <xf numFmtId="0" fontId="0" fillId="0" borderId="19" xfId="0" applyBorder="1" applyAlignment="1">
      <alignment horizontal="center" vertical="center"/>
    </xf>
    <xf numFmtId="0" fontId="4" fillId="4" borderId="31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4" fillId="4" borderId="2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4" fillId="4" borderId="27" xfId="0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0" fillId="4" borderId="8" xfId="0" applyFill="1" applyBorder="1" applyAlignment="1">
      <alignment horizontal="center" vertical="center"/>
    </xf>
    <xf numFmtId="0" fontId="4" fillId="4" borderId="24" xfId="0" applyFont="1" applyFill="1" applyBorder="1" applyAlignment="1">
      <alignment vertical="center"/>
    </xf>
    <xf numFmtId="0" fontId="4" fillId="4" borderId="25" xfId="0" applyFont="1" applyFill="1" applyBorder="1" applyAlignment="1">
      <alignment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4" xfId="0" applyFont="1" applyBorder="1" applyAlignment="1">
      <alignment horizontal="center" vertical="center"/>
    </xf>
    <xf numFmtId="0" fontId="6" fillId="0" borderId="34" xfId="0" applyFont="1" applyBorder="1" applyAlignment="1">
      <alignment horizontal="left" vertic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4" tint="0.39997558519241921"/>
        </patternFill>
      </fill>
      <alignment horizontal="general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26" totalsRowShown="0">
  <autoFilter ref="A1:E26" xr:uid="{2D779FAC-E2C1-4E1E-A93F-554CB1A16E27}"/>
  <sortState xmlns:xlrd2="http://schemas.microsoft.com/office/spreadsheetml/2017/richdata2" ref="A2:E26">
    <sortCondition ref="A1:A26"/>
  </sortState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2:L130" totalsRowShown="0" headerRowBorderDxfId="24">
  <autoFilter ref="A2:L130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 $E$1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 $E$1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VLOOKUP($E$1,Tabla5[[#All],[name]:[id_1]],2,FALSE)</calculatedColumnFormula>
    </tableColumn>
    <tableColumn id="17" xr3:uid="{4E0CDD5E-747E-42EB-82D7-D375E8508F69}" name="year_id" dataDxfId="6">
      <calculatedColumnFormula>VLOOKUP($B$1,Tabla6[[#All],[name]:[id_2]],2)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H33" sqref="H33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tabSelected="1" zoomScale="130" zoomScaleNormal="130" workbookViewId="0">
      <selection activeCell="E2" sqref="E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A7" sqref="A7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26"/>
  <sheetViews>
    <sheetView workbookViewId="0">
      <selection activeCell="C7" sqref="C7"/>
    </sheetView>
  </sheetViews>
  <sheetFormatPr baseColWidth="10" defaultRowHeight="15" x14ac:dyDescent="0.25"/>
  <cols>
    <col min="2" max="2" width="13.7109375" customWidth="1"/>
    <col min="3" max="3" width="56.855468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33">
        <v>1</v>
      </c>
      <c r="C2" s="33" t="s">
        <v>14</v>
      </c>
      <c r="D2">
        <v>1</v>
      </c>
      <c r="G2">
        <v>384</v>
      </c>
    </row>
    <row r="3" spans="1:7" x14ac:dyDescent="0.25">
      <c r="A3" s="33">
        <v>2</v>
      </c>
      <c r="C3" s="33" t="s">
        <v>16</v>
      </c>
      <c r="D3">
        <v>2</v>
      </c>
      <c r="G3">
        <v>378</v>
      </c>
    </row>
    <row r="4" spans="1:7" x14ac:dyDescent="0.25">
      <c r="A4" s="33">
        <v>3</v>
      </c>
      <c r="C4" s="33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 s="33">
        <v>5</v>
      </c>
      <c r="C6" s="33" t="s">
        <v>17</v>
      </c>
      <c r="D6">
        <v>5</v>
      </c>
      <c r="G6">
        <v>320</v>
      </c>
    </row>
    <row r="7" spans="1:7" x14ac:dyDescent="0.25">
      <c r="A7">
        <v>6</v>
      </c>
      <c r="C7" s="33" t="s">
        <v>20</v>
      </c>
      <c r="D7">
        <v>6</v>
      </c>
    </row>
    <row r="8" spans="1:7" x14ac:dyDescent="0.25">
      <c r="A8">
        <v>10</v>
      </c>
      <c r="C8" s="33" t="s">
        <v>123</v>
      </c>
      <c r="D8">
        <v>10</v>
      </c>
    </row>
    <row r="9" spans="1:7" x14ac:dyDescent="0.25">
      <c r="A9">
        <v>27</v>
      </c>
      <c r="C9" s="33" t="s">
        <v>264</v>
      </c>
      <c r="D9">
        <v>27</v>
      </c>
    </row>
    <row r="10" spans="1:7" x14ac:dyDescent="0.25">
      <c r="A10">
        <v>28</v>
      </c>
      <c r="C10" s="33" t="s">
        <v>143</v>
      </c>
      <c r="D10">
        <v>28</v>
      </c>
    </row>
    <row r="11" spans="1:7" x14ac:dyDescent="0.25">
      <c r="A11">
        <v>29</v>
      </c>
      <c r="C11" s="33" t="s">
        <v>142</v>
      </c>
      <c r="D11">
        <v>29</v>
      </c>
    </row>
    <row r="12" spans="1:7" x14ac:dyDescent="0.25">
      <c r="A12">
        <v>30</v>
      </c>
      <c r="C12" s="33" t="s">
        <v>263</v>
      </c>
      <c r="D12">
        <v>30</v>
      </c>
    </row>
    <row r="13" spans="1:7" x14ac:dyDescent="0.25">
      <c r="A13">
        <v>43</v>
      </c>
      <c r="C13" t="s">
        <v>23</v>
      </c>
      <c r="D13">
        <v>43</v>
      </c>
    </row>
    <row r="14" spans="1:7" x14ac:dyDescent="0.25">
      <c r="A14">
        <v>44</v>
      </c>
      <c r="C14" t="s">
        <v>313</v>
      </c>
      <c r="D14">
        <v>44</v>
      </c>
    </row>
    <row r="15" spans="1:7" x14ac:dyDescent="0.25">
      <c r="A15">
        <v>46</v>
      </c>
      <c r="C15" t="s">
        <v>69</v>
      </c>
      <c r="D15">
        <v>46</v>
      </c>
    </row>
    <row r="16" spans="1:7" x14ac:dyDescent="0.25">
      <c r="A16">
        <v>47</v>
      </c>
      <c r="C16" t="s">
        <v>204</v>
      </c>
      <c r="D16">
        <v>47</v>
      </c>
    </row>
    <row r="17" spans="1:4" x14ac:dyDescent="0.25">
      <c r="A17">
        <v>48</v>
      </c>
      <c r="C17" t="s">
        <v>72</v>
      </c>
      <c r="D17">
        <v>48</v>
      </c>
    </row>
    <row r="18" spans="1:4" x14ac:dyDescent="0.25">
      <c r="A18">
        <v>49</v>
      </c>
      <c r="C18" t="s">
        <v>71</v>
      </c>
      <c r="D18">
        <v>49</v>
      </c>
    </row>
    <row r="19" spans="1:4" x14ac:dyDescent="0.25">
      <c r="A19">
        <v>50</v>
      </c>
      <c r="C19" t="s">
        <v>68</v>
      </c>
      <c r="D19">
        <v>50</v>
      </c>
    </row>
    <row r="20" spans="1:4" x14ac:dyDescent="0.25">
      <c r="A20">
        <v>51</v>
      </c>
      <c r="C20" t="s">
        <v>234</v>
      </c>
      <c r="D20">
        <v>51</v>
      </c>
    </row>
    <row r="21" spans="1:4" x14ac:dyDescent="0.25">
      <c r="A21">
        <v>52</v>
      </c>
      <c r="C21" t="s">
        <v>381</v>
      </c>
      <c r="D21">
        <v>52</v>
      </c>
    </row>
    <row r="22" spans="1:4" x14ac:dyDescent="0.25">
      <c r="A22">
        <v>53</v>
      </c>
      <c r="C22" t="s">
        <v>232</v>
      </c>
      <c r="D22">
        <v>53</v>
      </c>
    </row>
    <row r="23" spans="1:4" x14ac:dyDescent="0.25">
      <c r="A23">
        <v>63</v>
      </c>
      <c r="C23" s="33" t="s">
        <v>178</v>
      </c>
      <c r="D23">
        <v>63</v>
      </c>
    </row>
    <row r="24" spans="1:4" x14ac:dyDescent="0.25">
      <c r="A24">
        <v>75</v>
      </c>
      <c r="C24" s="33" t="s">
        <v>26</v>
      </c>
      <c r="D24">
        <v>75</v>
      </c>
    </row>
    <row r="25" spans="1:4" x14ac:dyDescent="0.25">
      <c r="A25">
        <v>77</v>
      </c>
      <c r="C25" s="70" t="s">
        <v>25</v>
      </c>
      <c r="D25">
        <v>77</v>
      </c>
    </row>
    <row r="26" spans="1:4" x14ac:dyDescent="0.25">
      <c r="A26">
        <v>221</v>
      </c>
      <c r="C26" s="33" t="s">
        <v>73</v>
      </c>
      <c r="D26">
        <v>221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30"/>
  <sheetViews>
    <sheetView workbookViewId="0">
      <pane ySplit="2" topLeftCell="A66" activePane="bottomLeft" state="frozen"/>
      <selection pane="bottomLeft" activeCell="D74" sqref="D74"/>
    </sheetView>
  </sheetViews>
  <sheetFormatPr baseColWidth="10" defaultRowHeight="15" x14ac:dyDescent="0.25"/>
  <cols>
    <col min="1" max="1" width="26.5703125" customWidth="1"/>
    <col min="2" max="3" width="9.85546875" customWidth="1"/>
    <col min="4" max="5" width="50.7109375" customWidth="1"/>
    <col min="6" max="6" width="12.140625" customWidth="1"/>
    <col min="7" max="7" width="29.85546875" customWidth="1"/>
    <col min="8" max="12" width="11.7109375" customWidth="1"/>
  </cols>
  <sheetData>
    <row r="1" spans="1:12" ht="16.5" thickBot="1" x14ac:dyDescent="0.3">
      <c r="C1" s="33" t="s">
        <v>1056</v>
      </c>
      <c r="D1" s="33"/>
      <c r="E1" s="33" t="s">
        <v>1055</v>
      </c>
      <c r="J1" s="51">
        <f>SUM(Tabla10[Cantidad])</f>
        <v>252</v>
      </c>
    </row>
    <row r="2" spans="1:12" ht="15.75" thickBot="1" x14ac:dyDescent="0.3">
      <c r="A2" s="21" t="s">
        <v>1047</v>
      </c>
      <c r="B2" s="22" t="s">
        <v>1051</v>
      </c>
      <c r="C2" s="23" t="s">
        <v>1019</v>
      </c>
      <c r="D2" s="24" t="s">
        <v>1020</v>
      </c>
      <c r="E2" s="24" t="s">
        <v>1045</v>
      </c>
      <c r="F2" s="24" t="s">
        <v>1022</v>
      </c>
      <c r="G2" s="24" t="s">
        <v>1023</v>
      </c>
      <c r="H2" s="24" t="s">
        <v>1044</v>
      </c>
      <c r="I2" s="24" t="s">
        <v>24</v>
      </c>
      <c r="J2" s="24" t="s">
        <v>1024</v>
      </c>
      <c r="K2" s="24" t="s">
        <v>1025</v>
      </c>
      <c r="L2" s="22" t="s">
        <v>1026</v>
      </c>
    </row>
    <row r="3" spans="1:12" x14ac:dyDescent="0.25">
      <c r="A3" s="42" t="str">
        <f>Tabla10[[#This Row],[TIPO_P]] &amp; "|" &amp;Tabla10[[#This Row],[Agrupación]] &amp; "|" &amp; Tabla10[[#This Row],[Sexo]] &amp; "|" &amp; Tabla10[[#This Row],[Entidad]]</f>
        <v>PS|Acoso sexual|Mujer|Aguascalientes</v>
      </c>
      <c r="B3" s="43" t="s">
        <v>1050</v>
      </c>
      <c r="C3" s="71">
        <v>2024</v>
      </c>
      <c r="D3" s="25" t="s">
        <v>13</v>
      </c>
      <c r="E3" s="25" t="s">
        <v>20</v>
      </c>
      <c r="F3" s="25" t="s">
        <v>1042</v>
      </c>
      <c r="G3" s="25" t="s">
        <v>518</v>
      </c>
      <c r="H3" s="25"/>
      <c r="I3" s="25"/>
      <c r="J3" s="25">
        <v>0</v>
      </c>
      <c r="K3" s="25"/>
      <c r="L3" s="20"/>
    </row>
    <row r="4" spans="1:12" x14ac:dyDescent="0.25">
      <c r="A4" s="44" t="str">
        <f>Tabla10[[#This Row],[TIPO_P]] &amp; "|" &amp;Tabla10[[#This Row],[Agrupación]] &amp; "|" &amp; Tabla10[[#This Row],[Sexo]] &amp; "|" &amp; Tabla10[[#This Row],[Entidad]]</f>
        <v>PS|Acoso sexual|Mujer|Baja California</v>
      </c>
      <c r="B4" s="45" t="s">
        <v>1050</v>
      </c>
      <c r="C4" s="16">
        <v>2024</v>
      </c>
      <c r="D4" t="s">
        <v>13</v>
      </c>
      <c r="E4" t="s">
        <v>20</v>
      </c>
      <c r="F4" t="s">
        <v>1042</v>
      </c>
      <c r="G4" t="s">
        <v>519</v>
      </c>
      <c r="J4">
        <v>0</v>
      </c>
      <c r="L4" s="26"/>
    </row>
    <row r="5" spans="1:12" x14ac:dyDescent="0.25">
      <c r="A5" s="44" t="str">
        <f>Tabla10[[#This Row],[TIPO_P]] &amp; "|" &amp;Tabla10[[#This Row],[Agrupación]] &amp; "|" &amp; Tabla10[[#This Row],[Sexo]] &amp; "|" &amp; Tabla10[[#This Row],[Entidad]]</f>
        <v>PS|Acoso sexual|Mujer|Baja California Sur</v>
      </c>
      <c r="B5" s="45" t="s">
        <v>1050</v>
      </c>
      <c r="C5" s="16">
        <v>2024</v>
      </c>
      <c r="D5" t="s">
        <v>13</v>
      </c>
      <c r="E5" t="s">
        <v>20</v>
      </c>
      <c r="F5" t="s">
        <v>1042</v>
      </c>
      <c r="G5" t="s">
        <v>528</v>
      </c>
      <c r="J5">
        <v>0</v>
      </c>
      <c r="L5" s="26"/>
    </row>
    <row r="6" spans="1:12" x14ac:dyDescent="0.25">
      <c r="A6" s="44" t="str">
        <f>Tabla10[[#This Row],[TIPO_P]] &amp; "|" &amp;Tabla10[[#This Row],[Agrupación]] &amp; "|" &amp; Tabla10[[#This Row],[Sexo]] &amp; "|" &amp; Tabla10[[#This Row],[Entidad]]</f>
        <v>PS|Acoso sexual|Mujer|Campeche</v>
      </c>
      <c r="B6" s="45" t="s">
        <v>1050</v>
      </c>
      <c r="C6" s="16">
        <v>2024</v>
      </c>
      <c r="D6" t="s">
        <v>13</v>
      </c>
      <c r="E6" t="s">
        <v>20</v>
      </c>
      <c r="F6" t="s">
        <v>1042</v>
      </c>
      <c r="G6" t="s">
        <v>534</v>
      </c>
      <c r="J6">
        <v>0</v>
      </c>
      <c r="L6" s="26"/>
    </row>
    <row r="7" spans="1:12" x14ac:dyDescent="0.25">
      <c r="A7" s="44" t="str">
        <f>Tabla10[[#This Row],[TIPO_P]] &amp; "|" &amp;Tabla10[[#This Row],[Agrupación]] &amp; "|" &amp; Tabla10[[#This Row],[Sexo]] &amp; "|" &amp; Tabla10[[#This Row],[Entidad]]</f>
        <v>PS|Acoso sexual|Mujer|Coahuila de Zaragoza</v>
      </c>
      <c r="B7" s="45" t="s">
        <v>1050</v>
      </c>
      <c r="C7" s="16">
        <v>2024</v>
      </c>
      <c r="D7" t="s">
        <v>13</v>
      </c>
      <c r="E7" t="s">
        <v>20</v>
      </c>
      <c r="F7" t="s">
        <v>1042</v>
      </c>
      <c r="G7" t="s">
        <v>538</v>
      </c>
      <c r="J7">
        <v>0</v>
      </c>
      <c r="L7" s="26"/>
    </row>
    <row r="8" spans="1:12" x14ac:dyDescent="0.25">
      <c r="A8" s="44" t="str">
        <f>Tabla10[[#This Row],[TIPO_P]] &amp; "|" &amp;Tabla10[[#This Row],[Agrupación]] &amp; "|" &amp; Tabla10[[#This Row],[Sexo]] &amp; "|" &amp; Tabla10[[#This Row],[Entidad]]</f>
        <v>PS|Acoso sexual|Mujer|Colima</v>
      </c>
      <c r="B8" s="45" t="s">
        <v>1050</v>
      </c>
      <c r="C8" s="16">
        <v>2024</v>
      </c>
      <c r="D8" t="s">
        <v>13</v>
      </c>
      <c r="E8" t="s">
        <v>20</v>
      </c>
      <c r="F8" t="s">
        <v>1042</v>
      </c>
      <c r="G8" t="s">
        <v>547</v>
      </c>
      <c r="J8">
        <v>0</v>
      </c>
      <c r="L8" s="26"/>
    </row>
    <row r="9" spans="1:12" x14ac:dyDescent="0.25">
      <c r="A9" s="44" t="str">
        <f>Tabla10[[#This Row],[TIPO_P]] &amp; "|" &amp;Tabla10[[#This Row],[Agrupación]] &amp; "|" &amp; Tabla10[[#This Row],[Sexo]] &amp; "|" &amp; Tabla10[[#This Row],[Entidad]]</f>
        <v>PS|Acoso sexual|Mujer|Chiapas</v>
      </c>
      <c r="B9" s="45" t="s">
        <v>1050</v>
      </c>
      <c r="C9" s="16">
        <v>2024</v>
      </c>
      <c r="D9" t="s">
        <v>13</v>
      </c>
      <c r="E9" t="s">
        <v>20</v>
      </c>
      <c r="F9" t="s">
        <v>1042</v>
      </c>
      <c r="G9" t="s">
        <v>553</v>
      </c>
      <c r="J9">
        <v>0</v>
      </c>
      <c r="L9" s="26"/>
    </row>
    <row r="10" spans="1:12" x14ac:dyDescent="0.25">
      <c r="A10" s="44" t="str">
        <f>Tabla10[[#This Row],[TIPO_P]] &amp; "|" &amp;Tabla10[[#This Row],[Agrupación]] &amp; "|" &amp; Tabla10[[#This Row],[Sexo]] &amp; "|" &amp; Tabla10[[#This Row],[Entidad]]</f>
        <v>PS|Acoso sexual|Mujer|Chihuahua</v>
      </c>
      <c r="B10" s="45" t="s">
        <v>1050</v>
      </c>
      <c r="C10" s="16">
        <v>2024</v>
      </c>
      <c r="D10" t="s">
        <v>13</v>
      </c>
      <c r="E10" t="s">
        <v>20</v>
      </c>
      <c r="F10" t="s">
        <v>1042</v>
      </c>
      <c r="G10" t="s">
        <v>570</v>
      </c>
      <c r="J10">
        <v>0</v>
      </c>
      <c r="L10" s="26"/>
    </row>
    <row r="11" spans="1:12" x14ac:dyDescent="0.25">
      <c r="A11" s="44" t="str">
        <f>Tabla10[[#This Row],[TIPO_P]] &amp; "|" &amp;Tabla10[[#This Row],[Agrupación]] &amp; "|" &amp; Tabla10[[#This Row],[Sexo]] &amp; "|" &amp; Tabla10[[#This Row],[Entidad]]</f>
        <v>PS|Acoso sexual|Mujer|Ciudad de México</v>
      </c>
      <c r="B11" s="45" t="s">
        <v>1050</v>
      </c>
      <c r="C11" s="16">
        <v>2024</v>
      </c>
      <c r="D11" t="s">
        <v>13</v>
      </c>
      <c r="E11" t="s">
        <v>20</v>
      </c>
      <c r="F11" t="s">
        <v>1042</v>
      </c>
      <c r="G11" t="s">
        <v>582</v>
      </c>
      <c r="J11">
        <v>0</v>
      </c>
      <c r="L11" s="26"/>
    </row>
    <row r="12" spans="1:12" x14ac:dyDescent="0.25">
      <c r="A12" s="44" t="str">
        <f>Tabla10[[#This Row],[TIPO_P]] &amp; "|" &amp;Tabla10[[#This Row],[Agrupación]] &amp; "|" &amp; Tabla10[[#This Row],[Sexo]] &amp; "|" &amp; Tabla10[[#This Row],[Entidad]]</f>
        <v>PS|Acoso sexual|Mujer|Durango</v>
      </c>
      <c r="B12" s="45" t="s">
        <v>1050</v>
      </c>
      <c r="C12" s="16">
        <v>2024</v>
      </c>
      <c r="D12" t="s">
        <v>13</v>
      </c>
      <c r="E12" t="s">
        <v>20</v>
      </c>
      <c r="F12" t="s">
        <v>1042</v>
      </c>
      <c r="G12" t="s">
        <v>600</v>
      </c>
      <c r="J12">
        <v>0</v>
      </c>
      <c r="L12" s="26"/>
    </row>
    <row r="13" spans="1:12" x14ac:dyDescent="0.25">
      <c r="A13" s="44" t="str">
        <f>Tabla10[[#This Row],[TIPO_P]] &amp; "|" &amp;Tabla10[[#This Row],[Agrupación]] &amp; "|" &amp; Tabla10[[#This Row],[Sexo]] &amp; "|" &amp; Tabla10[[#This Row],[Entidad]]</f>
        <v>PS|Acoso sexual|Mujer|Guanajuato</v>
      </c>
      <c r="B13" s="45" t="s">
        <v>1050</v>
      </c>
      <c r="C13" s="16">
        <v>2024</v>
      </c>
      <c r="D13" t="s">
        <v>13</v>
      </c>
      <c r="E13" t="s">
        <v>20</v>
      </c>
      <c r="F13" t="s">
        <v>1042</v>
      </c>
      <c r="G13" t="s">
        <v>606</v>
      </c>
      <c r="J13">
        <v>0</v>
      </c>
      <c r="L13" s="26"/>
    </row>
    <row r="14" spans="1:12" x14ac:dyDescent="0.25">
      <c r="A14" s="44" t="str">
        <f>Tabla10[[#This Row],[TIPO_P]] &amp; "|" &amp;Tabla10[[#This Row],[Agrupación]] &amp; "|" &amp; Tabla10[[#This Row],[Sexo]] &amp; "|" &amp; Tabla10[[#This Row],[Entidad]]</f>
        <v>PS|Acoso sexual|Mujer|Guerrero</v>
      </c>
      <c r="B14" s="45" t="s">
        <v>1050</v>
      </c>
      <c r="C14" s="16">
        <v>2024</v>
      </c>
      <c r="D14" t="s">
        <v>13</v>
      </c>
      <c r="E14" t="s">
        <v>20</v>
      </c>
      <c r="F14" t="s">
        <v>1042</v>
      </c>
      <c r="G14" t="s">
        <v>619</v>
      </c>
      <c r="J14">
        <v>0</v>
      </c>
      <c r="L14" s="26"/>
    </row>
    <row r="15" spans="1:12" x14ac:dyDescent="0.25">
      <c r="A15" s="44" t="str">
        <f>Tabla10[[#This Row],[TIPO_P]] &amp; "|" &amp;Tabla10[[#This Row],[Agrupación]] &amp; "|" &amp; Tabla10[[#This Row],[Sexo]] &amp; "|" &amp; Tabla10[[#This Row],[Entidad]]</f>
        <v>PS|Acoso sexual|Mujer|Hidalgo</v>
      </c>
      <c r="B15" s="45" t="s">
        <v>1050</v>
      </c>
      <c r="C15" s="16">
        <v>2024</v>
      </c>
      <c r="D15" t="s">
        <v>13</v>
      </c>
      <c r="E15" t="s">
        <v>20</v>
      </c>
      <c r="F15" t="s">
        <v>1042</v>
      </c>
      <c r="G15" t="s">
        <v>633</v>
      </c>
      <c r="J15">
        <v>0</v>
      </c>
      <c r="L15" s="26"/>
    </row>
    <row r="16" spans="1:12" x14ac:dyDescent="0.25">
      <c r="A16" s="44" t="str">
        <f>Tabla10[[#This Row],[TIPO_P]] &amp; "|" &amp;Tabla10[[#This Row],[Agrupación]] &amp; "|" &amp; Tabla10[[#This Row],[Sexo]] &amp; "|" &amp; Tabla10[[#This Row],[Entidad]]</f>
        <v>PS|Acoso sexual|Mujer|Jalisco</v>
      </c>
      <c r="B16" s="45" t="s">
        <v>1050</v>
      </c>
      <c r="C16" s="16">
        <v>2024</v>
      </c>
      <c r="D16" t="s">
        <v>13</v>
      </c>
      <c r="E16" t="s">
        <v>20</v>
      </c>
      <c r="F16" t="s">
        <v>1042</v>
      </c>
      <c r="G16" t="s">
        <v>647</v>
      </c>
      <c r="J16">
        <v>0</v>
      </c>
      <c r="L16" s="26"/>
    </row>
    <row r="17" spans="1:12" x14ac:dyDescent="0.25">
      <c r="A17" s="44" t="str">
        <f>Tabla10[[#This Row],[TIPO_P]] &amp; "|" &amp;Tabla10[[#This Row],[Agrupación]] &amp; "|" &amp; Tabla10[[#This Row],[Sexo]] &amp; "|" &amp; Tabla10[[#This Row],[Entidad]]</f>
        <v>PS|Acoso sexual|Mujer|México</v>
      </c>
      <c r="B17" s="45" t="s">
        <v>1050</v>
      </c>
      <c r="C17" s="16">
        <v>2024</v>
      </c>
      <c r="D17" t="s">
        <v>13</v>
      </c>
      <c r="E17" t="s">
        <v>20</v>
      </c>
      <c r="F17" t="s">
        <v>1042</v>
      </c>
      <c r="G17" t="s">
        <v>662</v>
      </c>
      <c r="J17">
        <v>0</v>
      </c>
      <c r="L17" s="26"/>
    </row>
    <row r="18" spans="1:12" x14ac:dyDescent="0.25">
      <c r="A18" s="44" t="str">
        <f>Tabla10[[#This Row],[TIPO_P]] &amp; "|" &amp;Tabla10[[#This Row],[Agrupación]] &amp; "|" &amp; Tabla10[[#This Row],[Sexo]] &amp; "|" &amp; Tabla10[[#This Row],[Entidad]]</f>
        <v>PS|Acoso sexual|Mujer|Michoacán de Ocampo</v>
      </c>
      <c r="B18" s="45" t="s">
        <v>1050</v>
      </c>
      <c r="C18" s="16">
        <v>2024</v>
      </c>
      <c r="D18" t="s">
        <v>13</v>
      </c>
      <c r="E18" t="s">
        <v>20</v>
      </c>
      <c r="F18" t="s">
        <v>1042</v>
      </c>
      <c r="G18" t="s">
        <v>685</v>
      </c>
      <c r="J18">
        <v>0</v>
      </c>
      <c r="L18" s="26"/>
    </row>
    <row r="19" spans="1:12" x14ac:dyDescent="0.25">
      <c r="A19" s="44" t="str">
        <f>Tabla10[[#This Row],[TIPO_P]] &amp; "|" &amp;Tabla10[[#This Row],[Agrupación]] &amp; "|" &amp; Tabla10[[#This Row],[Sexo]] &amp; "|" &amp; Tabla10[[#This Row],[Entidad]]</f>
        <v>PS|Acoso sexual|Mujer|Morelos</v>
      </c>
      <c r="B19" s="45" t="s">
        <v>1050</v>
      </c>
      <c r="C19" s="16">
        <v>2024</v>
      </c>
      <c r="D19" t="s">
        <v>13</v>
      </c>
      <c r="E19" t="s">
        <v>20</v>
      </c>
      <c r="F19" t="s">
        <v>1042</v>
      </c>
      <c r="G19" t="s">
        <v>698</v>
      </c>
      <c r="J19">
        <v>0</v>
      </c>
      <c r="L19" s="26"/>
    </row>
    <row r="20" spans="1:12" x14ac:dyDescent="0.25">
      <c r="A20" s="44" t="str">
        <f>Tabla10[[#This Row],[TIPO_P]] &amp; "|" &amp;Tabla10[[#This Row],[Agrupación]] &amp; "|" &amp; Tabla10[[#This Row],[Sexo]] &amp; "|" &amp; Tabla10[[#This Row],[Entidad]]</f>
        <v>PS|Acoso sexual|Mujer|Nayarit</v>
      </c>
      <c r="B20" s="45" t="s">
        <v>1050</v>
      </c>
      <c r="C20" s="16">
        <v>2024</v>
      </c>
      <c r="D20" t="s">
        <v>13</v>
      </c>
      <c r="E20" t="s">
        <v>20</v>
      </c>
      <c r="F20" t="s">
        <v>1042</v>
      </c>
      <c r="G20" t="s">
        <v>705</v>
      </c>
      <c r="J20">
        <v>0</v>
      </c>
      <c r="L20" s="26"/>
    </row>
    <row r="21" spans="1:12" x14ac:dyDescent="0.25">
      <c r="A21" s="44" t="str">
        <f>Tabla10[[#This Row],[TIPO_P]] &amp; "|" &amp;Tabla10[[#This Row],[Agrupación]] &amp; "|" &amp; Tabla10[[#This Row],[Sexo]] &amp; "|" &amp; Tabla10[[#This Row],[Entidad]]</f>
        <v>PS|Acoso sexual|Mujer|Nuevo León</v>
      </c>
      <c r="B21" s="45" t="s">
        <v>1050</v>
      </c>
      <c r="C21" s="16">
        <v>2024</v>
      </c>
      <c r="D21" t="s">
        <v>13</v>
      </c>
      <c r="E21" t="s">
        <v>20</v>
      </c>
      <c r="F21" t="s">
        <v>1042</v>
      </c>
      <c r="G21" t="s">
        <v>710</v>
      </c>
      <c r="J21">
        <v>0</v>
      </c>
      <c r="L21" s="26"/>
    </row>
    <row r="22" spans="1:12" x14ac:dyDescent="0.25">
      <c r="A22" s="44" t="str">
        <f>Tabla10[[#This Row],[TIPO_P]] &amp; "|" &amp;Tabla10[[#This Row],[Agrupación]] &amp; "|" &amp; Tabla10[[#This Row],[Sexo]] &amp; "|" &amp; Tabla10[[#This Row],[Entidad]]</f>
        <v>PS|Acoso sexual|Mujer|Oaxaca</v>
      </c>
      <c r="B22" s="45" t="s">
        <v>1050</v>
      </c>
      <c r="C22" s="16">
        <v>2024</v>
      </c>
      <c r="D22" t="s">
        <v>13</v>
      </c>
      <c r="E22" t="s">
        <v>20</v>
      </c>
      <c r="F22" t="s">
        <v>1042</v>
      </c>
      <c r="G22" t="s">
        <v>716</v>
      </c>
      <c r="J22">
        <v>0</v>
      </c>
      <c r="L22" s="26"/>
    </row>
    <row r="23" spans="1:12" x14ac:dyDescent="0.25">
      <c r="A23" s="44" t="str">
        <f>Tabla10[[#This Row],[TIPO_P]] &amp; "|" &amp;Tabla10[[#This Row],[Agrupación]] &amp; "|" &amp; Tabla10[[#This Row],[Sexo]] &amp; "|" &amp; Tabla10[[#This Row],[Entidad]]</f>
        <v>PS|Acoso sexual|Mujer|Puebla</v>
      </c>
      <c r="B23" s="45" t="s">
        <v>1050</v>
      </c>
      <c r="C23" s="16">
        <v>2024</v>
      </c>
      <c r="D23" t="s">
        <v>13</v>
      </c>
      <c r="E23" t="s">
        <v>20</v>
      </c>
      <c r="F23" t="s">
        <v>1042</v>
      </c>
      <c r="G23" t="s">
        <v>727</v>
      </c>
      <c r="J23">
        <v>0</v>
      </c>
      <c r="L23" s="26"/>
    </row>
    <row r="24" spans="1:12" x14ac:dyDescent="0.25">
      <c r="A24" s="44" t="str">
        <f>Tabla10[[#This Row],[TIPO_P]] &amp; "|" &amp;Tabla10[[#This Row],[Agrupación]] &amp; "|" &amp; Tabla10[[#This Row],[Sexo]] &amp; "|" &amp; Tabla10[[#This Row],[Entidad]]</f>
        <v>PS|Acoso sexual|Mujer|Querétaro</v>
      </c>
      <c r="B24" s="45" t="s">
        <v>1050</v>
      </c>
      <c r="C24" s="16">
        <v>2024</v>
      </c>
      <c r="D24" t="s">
        <v>13</v>
      </c>
      <c r="E24" t="s">
        <v>20</v>
      </c>
      <c r="F24" t="s">
        <v>1042</v>
      </c>
      <c r="G24" t="s">
        <v>731</v>
      </c>
      <c r="J24">
        <v>0</v>
      </c>
      <c r="L24" s="26"/>
    </row>
    <row r="25" spans="1:12" x14ac:dyDescent="0.25">
      <c r="A25" s="44" t="str">
        <f>Tabla10[[#This Row],[TIPO_P]] &amp; "|" &amp;Tabla10[[#This Row],[Agrupación]] &amp; "|" &amp; Tabla10[[#This Row],[Sexo]] &amp; "|" &amp; Tabla10[[#This Row],[Entidad]]</f>
        <v>PS|Acoso sexual|Mujer|Quintana Roo</v>
      </c>
      <c r="B25" s="45" t="s">
        <v>1050</v>
      </c>
      <c r="C25" s="16">
        <v>2024</v>
      </c>
      <c r="D25" t="s">
        <v>13</v>
      </c>
      <c r="E25" t="s">
        <v>20</v>
      </c>
      <c r="F25" t="s">
        <v>1042</v>
      </c>
      <c r="G25" t="s">
        <v>737</v>
      </c>
      <c r="J25">
        <v>0</v>
      </c>
      <c r="L25" s="26"/>
    </row>
    <row r="26" spans="1:12" x14ac:dyDescent="0.25">
      <c r="A26" s="44" t="str">
        <f>Tabla10[[#This Row],[TIPO_P]] &amp; "|" &amp;Tabla10[[#This Row],[Agrupación]] &amp; "|" &amp; Tabla10[[#This Row],[Sexo]] &amp; "|" &amp; Tabla10[[#This Row],[Entidad]]</f>
        <v>PS|Acoso sexual|Mujer|San Luis Potosí</v>
      </c>
      <c r="B26" s="45" t="s">
        <v>1050</v>
      </c>
      <c r="C26" s="16">
        <v>2024</v>
      </c>
      <c r="D26" t="s">
        <v>13</v>
      </c>
      <c r="E26" t="s">
        <v>20</v>
      </c>
      <c r="F26" t="s">
        <v>1042</v>
      </c>
      <c r="G26" t="s">
        <v>741</v>
      </c>
      <c r="J26">
        <v>0</v>
      </c>
      <c r="L26" s="26"/>
    </row>
    <row r="27" spans="1:12" x14ac:dyDescent="0.25">
      <c r="A27" s="44" t="str">
        <f>Tabla10[[#This Row],[TIPO_P]] &amp; "|" &amp;Tabla10[[#This Row],[Agrupación]] &amp; "|" &amp; Tabla10[[#This Row],[Sexo]] &amp; "|" &amp; Tabla10[[#This Row],[Entidad]]</f>
        <v>PS|Acoso sexual|Mujer|Sinaloa</v>
      </c>
      <c r="B27" s="45" t="s">
        <v>1050</v>
      </c>
      <c r="C27" s="16">
        <v>2024</v>
      </c>
      <c r="D27" t="s">
        <v>13</v>
      </c>
      <c r="E27" t="s">
        <v>20</v>
      </c>
      <c r="F27" t="s">
        <v>1042</v>
      </c>
      <c r="G27" t="s">
        <v>749</v>
      </c>
      <c r="J27">
        <v>0</v>
      </c>
      <c r="L27" s="26"/>
    </row>
    <row r="28" spans="1:12" x14ac:dyDescent="0.25">
      <c r="A28" s="44" t="str">
        <f>Tabla10[[#This Row],[TIPO_P]] &amp; "|" &amp;Tabla10[[#This Row],[Agrupación]] &amp; "|" &amp; Tabla10[[#This Row],[Sexo]] &amp; "|" &amp; Tabla10[[#This Row],[Entidad]]</f>
        <v>PS|Acoso sexual|Mujer|Sonora</v>
      </c>
      <c r="B28" s="45" t="s">
        <v>1050</v>
      </c>
      <c r="C28" s="16">
        <v>2024</v>
      </c>
      <c r="D28" t="s">
        <v>13</v>
      </c>
      <c r="E28" t="s">
        <v>20</v>
      </c>
      <c r="F28" t="s">
        <v>1042</v>
      </c>
      <c r="G28" t="s">
        <v>755</v>
      </c>
      <c r="J28">
        <v>0</v>
      </c>
      <c r="L28" s="26"/>
    </row>
    <row r="29" spans="1:12" x14ac:dyDescent="0.25">
      <c r="A29" s="44" t="str">
        <f>Tabla10[[#This Row],[TIPO_P]] &amp; "|" &amp;Tabla10[[#This Row],[Agrupación]] &amp; "|" &amp; Tabla10[[#This Row],[Sexo]] &amp; "|" &amp; Tabla10[[#This Row],[Entidad]]</f>
        <v>PS|Acoso sexual|Mujer|Tabasco</v>
      </c>
      <c r="B29" s="45" t="s">
        <v>1050</v>
      </c>
      <c r="C29" s="16">
        <v>2024</v>
      </c>
      <c r="D29" t="s">
        <v>13</v>
      </c>
      <c r="E29" t="s">
        <v>20</v>
      </c>
      <c r="F29" t="s">
        <v>1042</v>
      </c>
      <c r="G29" t="s">
        <v>775</v>
      </c>
      <c r="J29">
        <v>0</v>
      </c>
      <c r="L29" s="26"/>
    </row>
    <row r="30" spans="1:12" x14ac:dyDescent="0.25">
      <c r="A30" s="44" t="str">
        <f>Tabla10[[#This Row],[TIPO_P]] &amp; "|" &amp;Tabla10[[#This Row],[Agrupación]] &amp; "|" &amp; Tabla10[[#This Row],[Sexo]] &amp; "|" &amp; Tabla10[[#This Row],[Entidad]]</f>
        <v>PS|Acoso sexual|Mujer|Tamaulipas</v>
      </c>
      <c r="B30" s="45" t="s">
        <v>1050</v>
      </c>
      <c r="C30" s="16">
        <v>2024</v>
      </c>
      <c r="D30" t="s">
        <v>13</v>
      </c>
      <c r="E30" t="s">
        <v>20</v>
      </c>
      <c r="F30" t="s">
        <v>1042</v>
      </c>
      <c r="G30" t="s">
        <v>785</v>
      </c>
      <c r="J30">
        <v>0</v>
      </c>
      <c r="L30" s="26"/>
    </row>
    <row r="31" spans="1:12" x14ac:dyDescent="0.25">
      <c r="A31" s="44" t="str">
        <f>Tabla10[[#This Row],[TIPO_P]] &amp; "|" &amp;Tabla10[[#This Row],[Agrupación]] &amp; "|" &amp; Tabla10[[#This Row],[Sexo]] &amp; "|" &amp; Tabla10[[#This Row],[Entidad]]</f>
        <v>PS|Acoso sexual|Mujer|Tlaxcala</v>
      </c>
      <c r="B31" s="45" t="s">
        <v>1050</v>
      </c>
      <c r="C31" s="16">
        <v>2024</v>
      </c>
      <c r="D31" t="s">
        <v>13</v>
      </c>
      <c r="E31" t="s">
        <v>20</v>
      </c>
      <c r="F31" t="s">
        <v>1042</v>
      </c>
      <c r="G31" t="s">
        <v>797</v>
      </c>
      <c r="J31">
        <v>0</v>
      </c>
      <c r="L31" s="26"/>
    </row>
    <row r="32" spans="1:12" x14ac:dyDescent="0.25">
      <c r="A32" s="44" t="str">
        <f>Tabla10[[#This Row],[TIPO_P]] &amp; "|" &amp;Tabla10[[#This Row],[Agrupación]] &amp; "|" &amp; Tabla10[[#This Row],[Sexo]] &amp; "|" &amp; Tabla10[[#This Row],[Entidad]]</f>
        <v>PS|Acoso sexual|Mujer|Veracruz de Ignacio de la Llave</v>
      </c>
      <c r="B32" s="45" t="s">
        <v>1050</v>
      </c>
      <c r="C32" s="16">
        <v>2024</v>
      </c>
      <c r="D32" t="s">
        <v>13</v>
      </c>
      <c r="E32" t="s">
        <v>20</v>
      </c>
      <c r="F32" t="s">
        <v>1042</v>
      </c>
      <c r="G32" t="s">
        <v>802</v>
      </c>
      <c r="J32">
        <v>0</v>
      </c>
      <c r="L32" s="26"/>
    </row>
    <row r="33" spans="1:12" x14ac:dyDescent="0.25">
      <c r="A33" s="44" t="str">
        <f>Tabla10[[#This Row],[TIPO_P]] &amp; "|" &amp;Tabla10[[#This Row],[Agrupación]] &amp; "|" &amp; Tabla10[[#This Row],[Sexo]] &amp; "|" &amp; Tabla10[[#This Row],[Entidad]]</f>
        <v>PS|Acoso sexual|Mujer|Yucatán</v>
      </c>
      <c r="B33" s="45" t="s">
        <v>1050</v>
      </c>
      <c r="C33" s="16">
        <v>2024</v>
      </c>
      <c r="D33" t="s">
        <v>13</v>
      </c>
      <c r="E33" t="s">
        <v>20</v>
      </c>
      <c r="F33" t="s">
        <v>1042</v>
      </c>
      <c r="G33" t="s">
        <v>822</v>
      </c>
      <c r="J33">
        <v>0</v>
      </c>
      <c r="L33" s="26"/>
    </row>
    <row r="34" spans="1:12" x14ac:dyDescent="0.25">
      <c r="A34" s="44" t="str">
        <f>Tabla10[[#This Row],[TIPO_P]] &amp; "|" &amp;Tabla10[[#This Row],[Agrupación]] &amp; "|" &amp; Tabla10[[#This Row],[Sexo]] &amp; "|" &amp; Tabla10[[#This Row],[Entidad]]</f>
        <v>PS|Acoso sexual|Mujer|Zacatecas</v>
      </c>
      <c r="B34" s="45" t="s">
        <v>1050</v>
      </c>
      <c r="C34" s="16">
        <v>2024</v>
      </c>
      <c r="D34" t="s">
        <v>13</v>
      </c>
      <c r="E34" t="s">
        <v>20</v>
      </c>
      <c r="F34" t="s">
        <v>1042</v>
      </c>
      <c r="G34" t="s">
        <v>827</v>
      </c>
      <c r="J34">
        <v>0</v>
      </c>
      <c r="L34" s="26"/>
    </row>
    <row r="35" spans="1:12" x14ac:dyDescent="0.25">
      <c r="A35" s="44" t="str">
        <f>Tabla10[[#This Row],[TIPO_P]] &amp; "|" &amp;Tabla10[[#This Row],[Agrupación]] &amp; "|" &amp; Tabla10[[#This Row],[Sexo]] &amp; "|" &amp; Tabla10[[#This Row],[Entidad]]</f>
        <v>PS|Acoso sexual|Hombre|Aguascalientes</v>
      </c>
      <c r="B35" s="45" t="s">
        <v>1050</v>
      </c>
      <c r="C35" s="16">
        <v>2024</v>
      </c>
      <c r="D35" t="s">
        <v>13</v>
      </c>
      <c r="E35" t="s">
        <v>20</v>
      </c>
      <c r="F35" t="s">
        <v>1043</v>
      </c>
      <c r="G35" t="s">
        <v>518</v>
      </c>
      <c r="J35">
        <v>0</v>
      </c>
      <c r="L35" s="26"/>
    </row>
    <row r="36" spans="1:12" x14ac:dyDescent="0.25">
      <c r="A36" s="44" t="str">
        <f>Tabla10[[#This Row],[TIPO_P]] &amp; "|" &amp;Tabla10[[#This Row],[Agrupación]] &amp; "|" &amp; Tabla10[[#This Row],[Sexo]] &amp; "|" &amp; Tabla10[[#This Row],[Entidad]]</f>
        <v>PS|Acoso sexual|Hombre|Baja California</v>
      </c>
      <c r="B36" s="45" t="s">
        <v>1050</v>
      </c>
      <c r="C36" s="16">
        <v>2024</v>
      </c>
      <c r="D36" t="s">
        <v>13</v>
      </c>
      <c r="E36" t="s">
        <v>20</v>
      </c>
      <c r="F36" t="s">
        <v>1043</v>
      </c>
      <c r="G36" t="s">
        <v>519</v>
      </c>
      <c r="J36">
        <v>0</v>
      </c>
      <c r="L36" s="26"/>
    </row>
    <row r="37" spans="1:12" x14ac:dyDescent="0.25">
      <c r="A37" s="44" t="str">
        <f>Tabla10[[#This Row],[TIPO_P]] &amp; "|" &amp;Tabla10[[#This Row],[Agrupación]] &amp; "|" &amp; Tabla10[[#This Row],[Sexo]] &amp; "|" &amp; Tabla10[[#This Row],[Entidad]]</f>
        <v>PS|Acoso sexual|Hombre|Baja California Sur</v>
      </c>
      <c r="B37" s="45" t="s">
        <v>1050</v>
      </c>
      <c r="C37" s="16">
        <v>2024</v>
      </c>
      <c r="D37" t="s">
        <v>13</v>
      </c>
      <c r="E37" t="s">
        <v>20</v>
      </c>
      <c r="F37" t="s">
        <v>1043</v>
      </c>
      <c r="G37" t="s">
        <v>528</v>
      </c>
      <c r="J37">
        <v>0</v>
      </c>
      <c r="L37" s="26"/>
    </row>
    <row r="38" spans="1:12" x14ac:dyDescent="0.25">
      <c r="A38" s="44" t="str">
        <f>Tabla10[[#This Row],[TIPO_P]] &amp; "|" &amp;Tabla10[[#This Row],[Agrupación]] &amp; "|" &amp; Tabla10[[#This Row],[Sexo]] &amp; "|" &amp; Tabla10[[#This Row],[Entidad]]</f>
        <v>PS|Acoso sexual|Hombre|Campeche</v>
      </c>
      <c r="B38" s="45" t="s">
        <v>1050</v>
      </c>
      <c r="C38" s="16">
        <v>2024</v>
      </c>
      <c r="D38" t="s">
        <v>13</v>
      </c>
      <c r="E38" t="s">
        <v>20</v>
      </c>
      <c r="F38" t="s">
        <v>1043</v>
      </c>
      <c r="G38" t="s">
        <v>534</v>
      </c>
      <c r="J38">
        <v>0</v>
      </c>
      <c r="L38" s="26"/>
    </row>
    <row r="39" spans="1:12" x14ac:dyDescent="0.25">
      <c r="A39" s="44" t="str">
        <f>Tabla10[[#This Row],[TIPO_P]] &amp; "|" &amp;Tabla10[[#This Row],[Agrupación]] &amp; "|" &amp; Tabla10[[#This Row],[Sexo]] &amp; "|" &amp; Tabla10[[#This Row],[Entidad]]</f>
        <v>PS|Acoso sexual|Hombre|Coahuila de Zaragoza</v>
      </c>
      <c r="B39" s="45" t="s">
        <v>1050</v>
      </c>
      <c r="C39" s="16">
        <v>2024</v>
      </c>
      <c r="D39" t="s">
        <v>13</v>
      </c>
      <c r="E39" t="s">
        <v>20</v>
      </c>
      <c r="F39" t="s">
        <v>1043</v>
      </c>
      <c r="G39" t="s">
        <v>538</v>
      </c>
      <c r="J39">
        <v>0</v>
      </c>
      <c r="L39" s="26"/>
    </row>
    <row r="40" spans="1:12" x14ac:dyDescent="0.25">
      <c r="A40" s="44" t="str">
        <f>Tabla10[[#This Row],[TIPO_P]] &amp; "|" &amp;Tabla10[[#This Row],[Agrupación]] &amp; "|" &amp; Tabla10[[#This Row],[Sexo]] &amp; "|" &amp; Tabla10[[#This Row],[Entidad]]</f>
        <v>PS|Acoso sexual|Hombre|Colima</v>
      </c>
      <c r="B40" s="45" t="s">
        <v>1050</v>
      </c>
      <c r="C40" s="16">
        <v>2024</v>
      </c>
      <c r="D40" t="s">
        <v>13</v>
      </c>
      <c r="E40" t="s">
        <v>20</v>
      </c>
      <c r="F40" t="s">
        <v>1043</v>
      </c>
      <c r="G40" t="s">
        <v>547</v>
      </c>
      <c r="J40">
        <v>0</v>
      </c>
      <c r="L40" s="26"/>
    </row>
    <row r="41" spans="1:12" x14ac:dyDescent="0.25">
      <c r="A41" s="44" t="str">
        <f>Tabla10[[#This Row],[TIPO_P]] &amp; "|" &amp;Tabla10[[#This Row],[Agrupación]] &amp; "|" &amp; Tabla10[[#This Row],[Sexo]] &amp; "|" &amp; Tabla10[[#This Row],[Entidad]]</f>
        <v>PS|Acoso sexual|Hombre|Chiapas</v>
      </c>
      <c r="B41" s="45" t="s">
        <v>1050</v>
      </c>
      <c r="C41" s="16">
        <v>2024</v>
      </c>
      <c r="D41" t="s">
        <v>13</v>
      </c>
      <c r="E41" t="s">
        <v>20</v>
      </c>
      <c r="F41" t="s">
        <v>1043</v>
      </c>
      <c r="G41" t="s">
        <v>553</v>
      </c>
      <c r="J41">
        <v>0</v>
      </c>
      <c r="L41" s="26"/>
    </row>
    <row r="42" spans="1:12" x14ac:dyDescent="0.25">
      <c r="A42" s="44" t="str">
        <f>Tabla10[[#This Row],[TIPO_P]] &amp; "|" &amp;Tabla10[[#This Row],[Agrupación]] &amp; "|" &amp; Tabla10[[#This Row],[Sexo]] &amp; "|" &amp; Tabla10[[#This Row],[Entidad]]</f>
        <v>PS|Acoso sexual|Hombre|Chihuahua</v>
      </c>
      <c r="B42" s="45" t="s">
        <v>1050</v>
      </c>
      <c r="C42" s="16">
        <v>2024</v>
      </c>
      <c r="D42" t="s">
        <v>13</v>
      </c>
      <c r="E42" t="s">
        <v>20</v>
      </c>
      <c r="F42" t="s">
        <v>1043</v>
      </c>
      <c r="G42" t="s">
        <v>570</v>
      </c>
      <c r="J42">
        <v>0</v>
      </c>
      <c r="L42" s="26"/>
    </row>
    <row r="43" spans="1:12" x14ac:dyDescent="0.25">
      <c r="A43" s="44" t="str">
        <f>Tabla10[[#This Row],[TIPO_P]] &amp; "|" &amp;Tabla10[[#This Row],[Agrupación]] &amp; "|" &amp; Tabla10[[#This Row],[Sexo]] &amp; "|" &amp; Tabla10[[#This Row],[Entidad]]</f>
        <v>PS|Acoso sexual|Hombre|Ciudad de México</v>
      </c>
      <c r="B43" s="45" t="s">
        <v>1050</v>
      </c>
      <c r="C43" s="16">
        <v>2024</v>
      </c>
      <c r="D43" t="s">
        <v>13</v>
      </c>
      <c r="E43" t="s">
        <v>20</v>
      </c>
      <c r="F43" t="s">
        <v>1043</v>
      </c>
      <c r="G43" t="s">
        <v>582</v>
      </c>
      <c r="J43">
        <v>0</v>
      </c>
      <c r="L43" s="26"/>
    </row>
    <row r="44" spans="1:12" x14ac:dyDescent="0.25">
      <c r="A44" s="44" t="str">
        <f>Tabla10[[#This Row],[TIPO_P]] &amp; "|" &amp;Tabla10[[#This Row],[Agrupación]] &amp; "|" &amp; Tabla10[[#This Row],[Sexo]] &amp; "|" &amp; Tabla10[[#This Row],[Entidad]]</f>
        <v>PS|Acoso sexual|Hombre|Durango</v>
      </c>
      <c r="B44" s="45" t="s">
        <v>1050</v>
      </c>
      <c r="C44" s="16">
        <v>2024</v>
      </c>
      <c r="D44" t="s">
        <v>13</v>
      </c>
      <c r="E44" t="s">
        <v>20</v>
      </c>
      <c r="F44" t="s">
        <v>1043</v>
      </c>
      <c r="G44" t="s">
        <v>600</v>
      </c>
      <c r="J44">
        <v>0</v>
      </c>
      <c r="L44" s="26"/>
    </row>
    <row r="45" spans="1:12" x14ac:dyDescent="0.25">
      <c r="A45" s="44" t="str">
        <f>Tabla10[[#This Row],[TIPO_P]] &amp; "|" &amp;Tabla10[[#This Row],[Agrupación]] &amp; "|" &amp; Tabla10[[#This Row],[Sexo]] &amp; "|" &amp; Tabla10[[#This Row],[Entidad]]</f>
        <v>PS|Acoso sexual|Hombre|Guanajuato</v>
      </c>
      <c r="B45" s="45" t="s">
        <v>1050</v>
      </c>
      <c r="C45" s="16">
        <v>2024</v>
      </c>
      <c r="D45" t="s">
        <v>13</v>
      </c>
      <c r="E45" t="s">
        <v>20</v>
      </c>
      <c r="F45" t="s">
        <v>1043</v>
      </c>
      <c r="G45" t="s">
        <v>606</v>
      </c>
      <c r="J45">
        <v>0</v>
      </c>
      <c r="L45" s="26"/>
    </row>
    <row r="46" spans="1:12" x14ac:dyDescent="0.25">
      <c r="A46" s="44" t="str">
        <f>Tabla10[[#This Row],[TIPO_P]] &amp; "|" &amp;Tabla10[[#This Row],[Agrupación]] &amp; "|" &amp; Tabla10[[#This Row],[Sexo]] &amp; "|" &amp; Tabla10[[#This Row],[Entidad]]</f>
        <v>PS|Acoso sexual|Hombre|Guerrero</v>
      </c>
      <c r="B46" s="45" t="s">
        <v>1050</v>
      </c>
      <c r="C46" s="16">
        <v>2024</v>
      </c>
      <c r="D46" t="s">
        <v>13</v>
      </c>
      <c r="E46" t="s">
        <v>20</v>
      </c>
      <c r="F46" t="s">
        <v>1043</v>
      </c>
      <c r="G46" t="s">
        <v>619</v>
      </c>
      <c r="J46">
        <v>0</v>
      </c>
      <c r="L46" s="26"/>
    </row>
    <row r="47" spans="1:12" x14ac:dyDescent="0.25">
      <c r="A47" s="44" t="str">
        <f>Tabla10[[#This Row],[TIPO_P]] &amp; "|" &amp;Tabla10[[#This Row],[Agrupación]] &amp; "|" &amp; Tabla10[[#This Row],[Sexo]] &amp; "|" &amp; Tabla10[[#This Row],[Entidad]]</f>
        <v>PS|Acoso sexual|Hombre|Hidalgo</v>
      </c>
      <c r="B47" s="45" t="s">
        <v>1050</v>
      </c>
      <c r="C47" s="16">
        <v>2024</v>
      </c>
      <c r="D47" t="s">
        <v>13</v>
      </c>
      <c r="E47" t="s">
        <v>20</v>
      </c>
      <c r="F47" t="s">
        <v>1043</v>
      </c>
      <c r="G47" t="s">
        <v>633</v>
      </c>
      <c r="J47">
        <v>0</v>
      </c>
      <c r="L47" s="26"/>
    </row>
    <row r="48" spans="1:12" x14ac:dyDescent="0.25">
      <c r="A48" s="44" t="str">
        <f>Tabla10[[#This Row],[TIPO_P]] &amp; "|" &amp;Tabla10[[#This Row],[Agrupación]] &amp; "|" &amp; Tabla10[[#This Row],[Sexo]] &amp; "|" &amp; Tabla10[[#This Row],[Entidad]]</f>
        <v>PS|Acoso sexual|Hombre|Jalisco</v>
      </c>
      <c r="B48" s="45" t="s">
        <v>1050</v>
      </c>
      <c r="C48" s="16">
        <v>2024</v>
      </c>
      <c r="D48" t="s">
        <v>13</v>
      </c>
      <c r="E48" t="s">
        <v>20</v>
      </c>
      <c r="F48" t="s">
        <v>1043</v>
      </c>
      <c r="G48" t="s">
        <v>647</v>
      </c>
      <c r="J48">
        <v>0</v>
      </c>
      <c r="L48" s="26"/>
    </row>
    <row r="49" spans="1:12" x14ac:dyDescent="0.25">
      <c r="A49" s="44" t="str">
        <f>Tabla10[[#This Row],[TIPO_P]] &amp; "|" &amp;Tabla10[[#This Row],[Agrupación]] &amp; "|" &amp; Tabla10[[#This Row],[Sexo]] &amp; "|" &amp; Tabla10[[#This Row],[Entidad]]</f>
        <v>PS|Acoso sexual|Hombre|México</v>
      </c>
      <c r="B49" s="45" t="s">
        <v>1050</v>
      </c>
      <c r="C49" s="16">
        <v>2024</v>
      </c>
      <c r="D49" t="s">
        <v>13</v>
      </c>
      <c r="E49" t="s">
        <v>20</v>
      </c>
      <c r="F49" t="s">
        <v>1043</v>
      </c>
      <c r="G49" t="s">
        <v>662</v>
      </c>
      <c r="J49">
        <v>0</v>
      </c>
      <c r="L49" s="26"/>
    </row>
    <row r="50" spans="1:12" x14ac:dyDescent="0.25">
      <c r="A50" s="44" t="str">
        <f>Tabla10[[#This Row],[TIPO_P]] &amp; "|" &amp;Tabla10[[#This Row],[Agrupación]] &amp; "|" &amp; Tabla10[[#This Row],[Sexo]] &amp; "|" &amp; Tabla10[[#This Row],[Entidad]]</f>
        <v>PS|Acoso sexual|Hombre|Michoacán de Ocampo</v>
      </c>
      <c r="B50" s="45" t="s">
        <v>1050</v>
      </c>
      <c r="C50" s="16">
        <v>2024</v>
      </c>
      <c r="D50" t="s">
        <v>13</v>
      </c>
      <c r="E50" t="s">
        <v>20</v>
      </c>
      <c r="F50" t="s">
        <v>1043</v>
      </c>
      <c r="G50" t="s">
        <v>685</v>
      </c>
      <c r="J50">
        <v>0</v>
      </c>
      <c r="L50" s="26"/>
    </row>
    <row r="51" spans="1:12" x14ac:dyDescent="0.25">
      <c r="A51" s="44" t="str">
        <f>Tabla10[[#This Row],[TIPO_P]] &amp; "|" &amp;Tabla10[[#This Row],[Agrupación]] &amp; "|" &amp; Tabla10[[#This Row],[Sexo]] &amp; "|" &amp; Tabla10[[#This Row],[Entidad]]</f>
        <v>PS|Acoso sexual|Hombre|Morelos</v>
      </c>
      <c r="B51" s="45" t="s">
        <v>1050</v>
      </c>
      <c r="C51" s="16">
        <v>2024</v>
      </c>
      <c r="D51" t="s">
        <v>13</v>
      </c>
      <c r="E51" t="s">
        <v>20</v>
      </c>
      <c r="F51" t="s">
        <v>1043</v>
      </c>
      <c r="G51" t="s">
        <v>698</v>
      </c>
      <c r="J51">
        <v>0</v>
      </c>
      <c r="L51" s="26"/>
    </row>
    <row r="52" spans="1:12" x14ac:dyDescent="0.25">
      <c r="A52" s="44" t="str">
        <f>Tabla10[[#This Row],[TIPO_P]] &amp; "|" &amp;Tabla10[[#This Row],[Agrupación]] &amp; "|" &amp; Tabla10[[#This Row],[Sexo]] &amp; "|" &amp; Tabla10[[#This Row],[Entidad]]</f>
        <v>PS|Acoso sexual|Hombre|Nayarit</v>
      </c>
      <c r="B52" s="45" t="s">
        <v>1050</v>
      </c>
      <c r="C52" s="16">
        <v>2024</v>
      </c>
      <c r="D52" t="s">
        <v>13</v>
      </c>
      <c r="E52" t="s">
        <v>20</v>
      </c>
      <c r="F52" t="s">
        <v>1043</v>
      </c>
      <c r="G52" t="s">
        <v>705</v>
      </c>
      <c r="J52">
        <v>0</v>
      </c>
      <c r="L52" s="26"/>
    </row>
    <row r="53" spans="1:12" x14ac:dyDescent="0.25">
      <c r="A53" s="44" t="str">
        <f>Tabla10[[#This Row],[TIPO_P]] &amp; "|" &amp;Tabla10[[#This Row],[Agrupación]] &amp; "|" &amp; Tabla10[[#This Row],[Sexo]] &amp; "|" &amp; Tabla10[[#This Row],[Entidad]]</f>
        <v>PS|Acoso sexual|Hombre|Nuevo León</v>
      </c>
      <c r="B53" s="45" t="s">
        <v>1050</v>
      </c>
      <c r="C53" s="16">
        <v>2024</v>
      </c>
      <c r="D53" t="s">
        <v>13</v>
      </c>
      <c r="E53" t="s">
        <v>20</v>
      </c>
      <c r="F53" t="s">
        <v>1043</v>
      </c>
      <c r="G53" t="s">
        <v>710</v>
      </c>
      <c r="J53">
        <v>0</v>
      </c>
      <c r="L53" s="26"/>
    </row>
    <row r="54" spans="1:12" x14ac:dyDescent="0.25">
      <c r="A54" s="44" t="str">
        <f>Tabla10[[#This Row],[TIPO_P]] &amp; "|" &amp;Tabla10[[#This Row],[Agrupación]] &amp; "|" &amp; Tabla10[[#This Row],[Sexo]] &amp; "|" &amp; Tabla10[[#This Row],[Entidad]]</f>
        <v>PS|Acoso sexual|Hombre|Oaxaca</v>
      </c>
      <c r="B54" s="45" t="s">
        <v>1050</v>
      </c>
      <c r="C54" s="16">
        <v>2024</v>
      </c>
      <c r="D54" t="s">
        <v>13</v>
      </c>
      <c r="E54" t="s">
        <v>20</v>
      </c>
      <c r="F54" t="s">
        <v>1043</v>
      </c>
      <c r="G54" t="s">
        <v>716</v>
      </c>
      <c r="J54">
        <v>0</v>
      </c>
      <c r="L54" s="26"/>
    </row>
    <row r="55" spans="1:12" x14ac:dyDescent="0.25">
      <c r="A55" s="44" t="str">
        <f>Tabla10[[#This Row],[TIPO_P]] &amp; "|" &amp;Tabla10[[#This Row],[Agrupación]] &amp; "|" &amp; Tabla10[[#This Row],[Sexo]] &amp; "|" &amp; Tabla10[[#This Row],[Entidad]]</f>
        <v>PS|Acoso sexual|Hombre|Puebla</v>
      </c>
      <c r="B55" s="45" t="s">
        <v>1050</v>
      </c>
      <c r="C55" s="16">
        <v>2024</v>
      </c>
      <c r="D55" t="s">
        <v>13</v>
      </c>
      <c r="E55" t="s">
        <v>20</v>
      </c>
      <c r="F55" t="s">
        <v>1043</v>
      </c>
      <c r="G55" t="s">
        <v>727</v>
      </c>
      <c r="J55">
        <v>0</v>
      </c>
      <c r="L55" s="26"/>
    </row>
    <row r="56" spans="1:12" x14ac:dyDescent="0.25">
      <c r="A56" s="44" t="str">
        <f>Tabla10[[#This Row],[TIPO_P]] &amp; "|" &amp;Tabla10[[#This Row],[Agrupación]] &amp; "|" &amp; Tabla10[[#This Row],[Sexo]] &amp; "|" &amp; Tabla10[[#This Row],[Entidad]]</f>
        <v>PS|Acoso sexual|Hombre|Querétaro</v>
      </c>
      <c r="B56" s="45" t="s">
        <v>1050</v>
      </c>
      <c r="C56" s="16">
        <v>2024</v>
      </c>
      <c r="D56" t="s">
        <v>13</v>
      </c>
      <c r="E56" t="s">
        <v>20</v>
      </c>
      <c r="F56" t="s">
        <v>1043</v>
      </c>
      <c r="G56" t="s">
        <v>731</v>
      </c>
      <c r="J56">
        <v>0</v>
      </c>
      <c r="L56" s="26"/>
    </row>
    <row r="57" spans="1:12" x14ac:dyDescent="0.25">
      <c r="A57" s="44" t="str">
        <f>Tabla10[[#This Row],[TIPO_P]] &amp; "|" &amp;Tabla10[[#This Row],[Agrupación]] &amp; "|" &amp; Tabla10[[#This Row],[Sexo]] &amp; "|" &amp; Tabla10[[#This Row],[Entidad]]</f>
        <v>PS|Acoso sexual|Hombre|Quintana Roo</v>
      </c>
      <c r="B57" s="45" t="s">
        <v>1050</v>
      </c>
      <c r="C57" s="16">
        <v>2024</v>
      </c>
      <c r="D57" t="s">
        <v>13</v>
      </c>
      <c r="E57" t="s">
        <v>20</v>
      </c>
      <c r="F57" t="s">
        <v>1043</v>
      </c>
      <c r="G57" t="s">
        <v>737</v>
      </c>
      <c r="J57">
        <v>0</v>
      </c>
      <c r="L57" s="26"/>
    </row>
    <row r="58" spans="1:12" x14ac:dyDescent="0.25">
      <c r="A58" s="44" t="str">
        <f>Tabla10[[#This Row],[TIPO_P]] &amp; "|" &amp;Tabla10[[#This Row],[Agrupación]] &amp; "|" &amp; Tabla10[[#This Row],[Sexo]] &amp; "|" &amp; Tabla10[[#This Row],[Entidad]]</f>
        <v>PS|Acoso sexual|Hombre|San Luis Potosí</v>
      </c>
      <c r="B58" s="45" t="s">
        <v>1050</v>
      </c>
      <c r="C58" s="16">
        <v>2024</v>
      </c>
      <c r="D58" t="s">
        <v>13</v>
      </c>
      <c r="E58" t="s">
        <v>20</v>
      </c>
      <c r="F58" t="s">
        <v>1043</v>
      </c>
      <c r="G58" t="s">
        <v>741</v>
      </c>
      <c r="J58">
        <v>0</v>
      </c>
      <c r="L58" s="26"/>
    </row>
    <row r="59" spans="1:12" x14ac:dyDescent="0.25">
      <c r="A59" s="44" t="str">
        <f>Tabla10[[#This Row],[TIPO_P]] &amp; "|" &amp;Tabla10[[#This Row],[Agrupación]] &amp; "|" &amp; Tabla10[[#This Row],[Sexo]] &amp; "|" &amp; Tabla10[[#This Row],[Entidad]]</f>
        <v>PS|Acoso sexual|Hombre|Sinaloa</v>
      </c>
      <c r="B59" s="45" t="s">
        <v>1050</v>
      </c>
      <c r="C59" s="16">
        <v>2024</v>
      </c>
      <c r="D59" t="s">
        <v>13</v>
      </c>
      <c r="E59" t="s">
        <v>20</v>
      </c>
      <c r="F59" t="s">
        <v>1043</v>
      </c>
      <c r="G59" t="s">
        <v>749</v>
      </c>
      <c r="J59">
        <v>0</v>
      </c>
      <c r="L59" s="26"/>
    </row>
    <row r="60" spans="1:12" x14ac:dyDescent="0.25">
      <c r="A60" s="44" t="str">
        <f>Tabla10[[#This Row],[TIPO_P]] &amp; "|" &amp;Tabla10[[#This Row],[Agrupación]] &amp; "|" &amp; Tabla10[[#This Row],[Sexo]] &amp; "|" &amp; Tabla10[[#This Row],[Entidad]]</f>
        <v>PS|Acoso sexual|Hombre|Sonora</v>
      </c>
      <c r="B60" s="45" t="s">
        <v>1050</v>
      </c>
      <c r="C60" s="16">
        <v>2024</v>
      </c>
      <c r="D60" t="s">
        <v>13</v>
      </c>
      <c r="E60" t="s">
        <v>20</v>
      </c>
      <c r="F60" t="s">
        <v>1043</v>
      </c>
      <c r="G60" t="s">
        <v>755</v>
      </c>
      <c r="J60">
        <v>0</v>
      </c>
      <c r="L60" s="26"/>
    </row>
    <row r="61" spans="1:12" x14ac:dyDescent="0.25">
      <c r="A61" s="44" t="str">
        <f>Tabla10[[#This Row],[TIPO_P]] &amp; "|" &amp;Tabla10[[#This Row],[Agrupación]] &amp; "|" &amp; Tabla10[[#This Row],[Sexo]] &amp; "|" &amp; Tabla10[[#This Row],[Entidad]]</f>
        <v>PS|Acoso sexual|Hombre|Tabasco</v>
      </c>
      <c r="B61" s="45" t="s">
        <v>1050</v>
      </c>
      <c r="C61" s="16">
        <v>2024</v>
      </c>
      <c r="D61" t="s">
        <v>13</v>
      </c>
      <c r="E61" t="s">
        <v>20</v>
      </c>
      <c r="F61" t="s">
        <v>1043</v>
      </c>
      <c r="G61" t="s">
        <v>775</v>
      </c>
      <c r="J61">
        <v>0</v>
      </c>
      <c r="L61" s="26"/>
    </row>
    <row r="62" spans="1:12" x14ac:dyDescent="0.25">
      <c r="A62" s="44" t="str">
        <f>Tabla10[[#This Row],[TIPO_P]] &amp; "|" &amp;Tabla10[[#This Row],[Agrupación]] &amp; "|" &amp; Tabla10[[#This Row],[Sexo]] &amp; "|" &amp; Tabla10[[#This Row],[Entidad]]</f>
        <v>PS|Acoso sexual|Hombre|Tamaulipas</v>
      </c>
      <c r="B62" s="45" t="s">
        <v>1050</v>
      </c>
      <c r="C62" s="16">
        <v>2024</v>
      </c>
      <c r="D62" t="s">
        <v>13</v>
      </c>
      <c r="E62" t="s">
        <v>20</v>
      </c>
      <c r="F62" t="s">
        <v>1043</v>
      </c>
      <c r="G62" t="s">
        <v>785</v>
      </c>
      <c r="J62">
        <v>0</v>
      </c>
      <c r="L62" s="26"/>
    </row>
    <row r="63" spans="1:12" x14ac:dyDescent="0.25">
      <c r="A63" s="44" t="str">
        <f>Tabla10[[#This Row],[TIPO_P]] &amp; "|" &amp;Tabla10[[#This Row],[Agrupación]] &amp; "|" &amp; Tabla10[[#This Row],[Sexo]] &amp; "|" &amp; Tabla10[[#This Row],[Entidad]]</f>
        <v>PS|Acoso sexual|Hombre|Tlaxcala</v>
      </c>
      <c r="B63" s="45" t="s">
        <v>1050</v>
      </c>
      <c r="C63" s="16">
        <v>2024</v>
      </c>
      <c r="D63" t="s">
        <v>13</v>
      </c>
      <c r="E63" t="s">
        <v>20</v>
      </c>
      <c r="F63" t="s">
        <v>1043</v>
      </c>
      <c r="G63" t="s">
        <v>797</v>
      </c>
      <c r="J63">
        <v>0</v>
      </c>
      <c r="L63" s="26"/>
    </row>
    <row r="64" spans="1:12" x14ac:dyDescent="0.25">
      <c r="A64" s="44" t="str">
        <f>Tabla10[[#This Row],[TIPO_P]] &amp; "|" &amp;Tabla10[[#This Row],[Agrupación]] &amp; "|" &amp; Tabla10[[#This Row],[Sexo]] &amp; "|" &amp; Tabla10[[#This Row],[Entidad]]</f>
        <v>PS|Acoso sexual|Hombre|Veracruz de Ignacio de la Llave</v>
      </c>
      <c r="B64" s="45" t="s">
        <v>1050</v>
      </c>
      <c r="C64" s="16">
        <v>2024</v>
      </c>
      <c r="D64" t="s">
        <v>13</v>
      </c>
      <c r="E64" t="s">
        <v>20</v>
      </c>
      <c r="F64" t="s">
        <v>1043</v>
      </c>
      <c r="G64" t="s">
        <v>802</v>
      </c>
      <c r="J64">
        <v>0</v>
      </c>
      <c r="L64" s="26"/>
    </row>
    <row r="65" spans="1:12" x14ac:dyDescent="0.25">
      <c r="A65" s="44" t="str">
        <f>Tabla10[[#This Row],[TIPO_P]] &amp; "|" &amp;Tabla10[[#This Row],[Agrupación]] &amp; "|" &amp; Tabla10[[#This Row],[Sexo]] &amp; "|" &amp; Tabla10[[#This Row],[Entidad]]</f>
        <v>PS|Acoso sexual|Hombre|Yucatán</v>
      </c>
      <c r="B65" s="45" t="s">
        <v>1050</v>
      </c>
      <c r="C65" s="16">
        <v>2024</v>
      </c>
      <c r="D65" t="s">
        <v>13</v>
      </c>
      <c r="E65" t="s">
        <v>20</v>
      </c>
      <c r="F65" t="s">
        <v>1043</v>
      </c>
      <c r="G65" t="s">
        <v>822</v>
      </c>
      <c r="J65">
        <v>0</v>
      </c>
      <c r="L65" s="26"/>
    </row>
    <row r="66" spans="1:12" ht="15.75" thickBot="1" x14ac:dyDescent="0.3">
      <c r="A66" s="46" t="str">
        <f>Tabla10[[#This Row],[TIPO_P]] &amp; "|" &amp;Tabla10[[#This Row],[Agrupación]] &amp; "|" &amp; Tabla10[[#This Row],[Sexo]] &amp; "|" &amp; Tabla10[[#This Row],[Entidad]]</f>
        <v>PS|Acoso sexual|Hombre|Zacatecas</v>
      </c>
      <c r="B66" s="47" t="s">
        <v>1050</v>
      </c>
      <c r="C66" s="16">
        <v>2024</v>
      </c>
      <c r="D66" t="s">
        <v>13</v>
      </c>
      <c r="E66" t="s">
        <v>20</v>
      </c>
      <c r="F66" t="s">
        <v>1043</v>
      </c>
      <c r="G66" t="s">
        <v>827</v>
      </c>
      <c r="J66">
        <v>0</v>
      </c>
      <c r="L66" s="26"/>
    </row>
    <row r="67" spans="1:12" x14ac:dyDescent="0.25">
      <c r="A67" s="44" t="str">
        <f>Tabla10[[#This Row],[TIPO_P]] &amp; "|" &amp;Tabla10[[#This Row],[Agrupación]] &amp; "|" &amp; Tabla10[[#This Row],[Sexo]] &amp; "|" &amp; Tabla10[[#This Row],[Entidad]]</f>
        <v>PI|Acoso sexual|Mujer|Aguascalientes</v>
      </c>
      <c r="B67" s="45" t="s">
        <v>1046</v>
      </c>
      <c r="C67" s="48">
        <v>2024</v>
      </c>
      <c r="D67" s="25" t="s">
        <v>325</v>
      </c>
      <c r="E67" s="25" t="s">
        <v>20</v>
      </c>
      <c r="F67" s="25" t="s">
        <v>1042</v>
      </c>
      <c r="G67" s="25" t="s">
        <v>518</v>
      </c>
      <c r="H67" s="25"/>
      <c r="I67" s="25"/>
      <c r="J67" s="25">
        <v>0</v>
      </c>
      <c r="K67" s="25"/>
      <c r="L67" s="20"/>
    </row>
    <row r="68" spans="1:12" x14ac:dyDescent="0.25">
      <c r="A68" s="44" t="str">
        <f>Tabla10[[#This Row],[TIPO_P]] &amp; "|" &amp;Tabla10[[#This Row],[Agrupación]] &amp; "|" &amp; Tabla10[[#This Row],[Sexo]] &amp; "|" &amp; Tabla10[[#This Row],[Entidad]]</f>
        <v>PI|Acoso sexual|Mujer|Baja California</v>
      </c>
      <c r="B68" s="45" t="s">
        <v>1046</v>
      </c>
      <c r="C68" s="49">
        <v>2024</v>
      </c>
      <c r="D68" t="s">
        <v>325</v>
      </c>
      <c r="E68" t="s">
        <v>20</v>
      </c>
      <c r="F68" t="s">
        <v>1042</v>
      </c>
      <c r="G68" t="s">
        <v>519</v>
      </c>
      <c r="J68">
        <v>0</v>
      </c>
      <c r="L68" s="26"/>
    </row>
    <row r="69" spans="1:12" x14ac:dyDescent="0.25">
      <c r="A69" s="44" t="str">
        <f>Tabla10[[#This Row],[TIPO_P]] &amp; "|" &amp;Tabla10[[#This Row],[Agrupación]] &amp; "|" &amp; Tabla10[[#This Row],[Sexo]] &amp; "|" &amp; Tabla10[[#This Row],[Entidad]]</f>
        <v>PI|Acoso sexual|Mujer|Baja California Sur</v>
      </c>
      <c r="B69" s="45" t="s">
        <v>1046</v>
      </c>
      <c r="C69" s="49">
        <v>2024</v>
      </c>
      <c r="D69" t="s">
        <v>325</v>
      </c>
      <c r="E69" t="s">
        <v>20</v>
      </c>
      <c r="F69" t="s">
        <v>1042</v>
      </c>
      <c r="G69" t="s">
        <v>528</v>
      </c>
      <c r="J69">
        <v>0</v>
      </c>
      <c r="L69" s="26"/>
    </row>
    <row r="70" spans="1:12" x14ac:dyDescent="0.25">
      <c r="A70" s="44" t="str">
        <f>Tabla10[[#This Row],[TIPO_P]] &amp; "|" &amp;Tabla10[[#This Row],[Agrupación]] &amp; "|" &amp; Tabla10[[#This Row],[Sexo]] &amp; "|" &amp; Tabla10[[#This Row],[Entidad]]</f>
        <v>PI|Acoso sexual|Mujer|Campeche</v>
      </c>
      <c r="B70" s="45" t="s">
        <v>1046</v>
      </c>
      <c r="C70" s="49">
        <v>2024</v>
      </c>
      <c r="D70" t="s">
        <v>325</v>
      </c>
      <c r="E70" t="s">
        <v>20</v>
      </c>
      <c r="F70" t="s">
        <v>1042</v>
      </c>
      <c r="G70" t="s">
        <v>534</v>
      </c>
      <c r="J70">
        <v>0</v>
      </c>
      <c r="L70" s="26"/>
    </row>
    <row r="71" spans="1:12" x14ac:dyDescent="0.25">
      <c r="A71" s="44" t="str">
        <f>Tabla10[[#This Row],[TIPO_P]] &amp; "|" &amp;Tabla10[[#This Row],[Agrupación]] &amp; "|" &amp; Tabla10[[#This Row],[Sexo]] &amp; "|" &amp; Tabla10[[#This Row],[Entidad]]</f>
        <v>PI|Acoso sexual|Mujer|Coahuila de Zaragoza</v>
      </c>
      <c r="B71" s="45" t="s">
        <v>1046</v>
      </c>
      <c r="C71" s="49">
        <v>2024</v>
      </c>
      <c r="D71" t="s">
        <v>325</v>
      </c>
      <c r="E71" t="s">
        <v>20</v>
      </c>
      <c r="F71" t="s">
        <v>1042</v>
      </c>
      <c r="G71" t="s">
        <v>538</v>
      </c>
      <c r="J71">
        <v>0</v>
      </c>
      <c r="L71" s="26"/>
    </row>
    <row r="72" spans="1:12" x14ac:dyDescent="0.25">
      <c r="A72" s="44" t="str">
        <f>Tabla10[[#This Row],[TIPO_P]] &amp; "|" &amp;Tabla10[[#This Row],[Agrupación]] &amp; "|" &amp; Tabla10[[#This Row],[Sexo]] &amp; "|" &amp; Tabla10[[#This Row],[Entidad]]</f>
        <v>PI|Acoso sexual|Mujer|Colima</v>
      </c>
      <c r="B72" s="45" t="s">
        <v>1046</v>
      </c>
      <c r="C72" s="49">
        <v>2024</v>
      </c>
      <c r="D72" t="s">
        <v>325</v>
      </c>
      <c r="E72" t="s">
        <v>20</v>
      </c>
      <c r="F72" t="s">
        <v>1042</v>
      </c>
      <c r="G72" t="s">
        <v>547</v>
      </c>
      <c r="J72">
        <v>0</v>
      </c>
      <c r="L72" s="26"/>
    </row>
    <row r="73" spans="1:12" x14ac:dyDescent="0.25">
      <c r="A73" s="44" t="str">
        <f>Tabla10[[#This Row],[TIPO_P]] &amp; "|" &amp;Tabla10[[#This Row],[Agrupación]] &amp; "|" &amp; Tabla10[[#This Row],[Sexo]] &amp; "|" &amp; Tabla10[[#This Row],[Entidad]]</f>
        <v>PI|Acoso sexual|Mujer|Chiapas</v>
      </c>
      <c r="B73" s="45" t="s">
        <v>1046</v>
      </c>
      <c r="C73" s="49">
        <v>2024</v>
      </c>
      <c r="D73" t="s">
        <v>325</v>
      </c>
      <c r="E73" t="s">
        <v>20</v>
      </c>
      <c r="F73" t="s">
        <v>1042</v>
      </c>
      <c r="G73" t="s">
        <v>553</v>
      </c>
      <c r="J73">
        <v>0</v>
      </c>
      <c r="L73" s="26"/>
    </row>
    <row r="74" spans="1:12" x14ac:dyDescent="0.25">
      <c r="A74" s="44" t="str">
        <f>Tabla10[[#This Row],[TIPO_P]] &amp; "|" &amp;Tabla10[[#This Row],[Agrupación]] &amp; "|" &amp; Tabla10[[#This Row],[Sexo]] &amp; "|" &amp; Tabla10[[#This Row],[Entidad]]</f>
        <v>PI|Acoso sexual|Mujer|Chihuahua</v>
      </c>
      <c r="B74" s="45" t="s">
        <v>1046</v>
      </c>
      <c r="C74" s="49">
        <v>2024</v>
      </c>
      <c r="D74" t="s">
        <v>325</v>
      </c>
      <c r="E74" t="s">
        <v>20</v>
      </c>
      <c r="F74" t="s">
        <v>1042</v>
      </c>
      <c r="G74" t="s">
        <v>570</v>
      </c>
      <c r="J74">
        <v>0</v>
      </c>
      <c r="L74" s="26"/>
    </row>
    <row r="75" spans="1:12" x14ac:dyDescent="0.25">
      <c r="A75" s="44" t="str">
        <f>Tabla10[[#This Row],[TIPO_P]] &amp; "|" &amp;Tabla10[[#This Row],[Agrupación]] &amp; "|" &amp; Tabla10[[#This Row],[Sexo]] &amp; "|" &amp; Tabla10[[#This Row],[Entidad]]</f>
        <v>PI|Acoso sexual|Mujer|Ciudad de México</v>
      </c>
      <c r="B75" s="45" t="s">
        <v>1046</v>
      </c>
      <c r="C75" s="49">
        <v>2024</v>
      </c>
      <c r="D75" t="s">
        <v>325</v>
      </c>
      <c r="E75" t="s">
        <v>20</v>
      </c>
      <c r="F75" t="s">
        <v>1042</v>
      </c>
      <c r="G75" t="s">
        <v>582</v>
      </c>
      <c r="J75">
        <v>0</v>
      </c>
      <c r="L75" s="26"/>
    </row>
    <row r="76" spans="1:12" x14ac:dyDescent="0.25">
      <c r="A76" s="44" t="str">
        <f>Tabla10[[#This Row],[TIPO_P]] &amp; "|" &amp;Tabla10[[#This Row],[Agrupación]] &amp; "|" &amp; Tabla10[[#This Row],[Sexo]] &amp; "|" &amp; Tabla10[[#This Row],[Entidad]]</f>
        <v>PI|Acoso sexual|Mujer|Durango</v>
      </c>
      <c r="B76" s="45" t="s">
        <v>1046</v>
      </c>
      <c r="C76" s="49">
        <v>2024</v>
      </c>
      <c r="D76" t="s">
        <v>325</v>
      </c>
      <c r="E76" t="s">
        <v>20</v>
      </c>
      <c r="F76" t="s">
        <v>1042</v>
      </c>
      <c r="G76" t="s">
        <v>600</v>
      </c>
      <c r="J76">
        <v>0</v>
      </c>
      <c r="L76" s="26"/>
    </row>
    <row r="77" spans="1:12" x14ac:dyDescent="0.25">
      <c r="A77" s="44" t="str">
        <f>Tabla10[[#This Row],[TIPO_P]] &amp; "|" &amp;Tabla10[[#This Row],[Agrupación]] &amp; "|" &amp; Tabla10[[#This Row],[Sexo]] &amp; "|" &amp; Tabla10[[#This Row],[Entidad]]</f>
        <v>PI|Acoso sexual|Mujer|Guanajuato</v>
      </c>
      <c r="B77" s="45" t="s">
        <v>1046</v>
      </c>
      <c r="C77" s="49">
        <v>2024</v>
      </c>
      <c r="D77" t="s">
        <v>325</v>
      </c>
      <c r="E77" t="s">
        <v>20</v>
      </c>
      <c r="F77" t="s">
        <v>1042</v>
      </c>
      <c r="G77" t="s">
        <v>606</v>
      </c>
      <c r="J77">
        <v>0</v>
      </c>
      <c r="L77" s="26"/>
    </row>
    <row r="78" spans="1:12" x14ac:dyDescent="0.25">
      <c r="A78" s="44" t="str">
        <f>Tabla10[[#This Row],[TIPO_P]] &amp; "|" &amp;Tabla10[[#This Row],[Agrupación]] &amp; "|" &amp; Tabla10[[#This Row],[Sexo]] &amp; "|" &amp; Tabla10[[#This Row],[Entidad]]</f>
        <v>PI|Acoso sexual|Mujer|Guerrero</v>
      </c>
      <c r="B78" s="45" t="s">
        <v>1046</v>
      </c>
      <c r="C78" s="49">
        <v>2024</v>
      </c>
      <c r="D78" t="s">
        <v>325</v>
      </c>
      <c r="E78" t="s">
        <v>20</v>
      </c>
      <c r="F78" t="s">
        <v>1042</v>
      </c>
      <c r="G78" t="s">
        <v>619</v>
      </c>
      <c r="J78">
        <v>0</v>
      </c>
      <c r="L78" s="26"/>
    </row>
    <row r="79" spans="1:12" x14ac:dyDescent="0.25">
      <c r="A79" s="44" t="str">
        <f>Tabla10[[#This Row],[TIPO_P]] &amp; "|" &amp;Tabla10[[#This Row],[Agrupación]] &amp; "|" &amp; Tabla10[[#This Row],[Sexo]] &amp; "|" &amp; Tabla10[[#This Row],[Entidad]]</f>
        <v>PI|Acoso sexual|Mujer|Hidalgo</v>
      </c>
      <c r="B79" s="45" t="s">
        <v>1046</v>
      </c>
      <c r="C79" s="49">
        <v>2024</v>
      </c>
      <c r="D79" t="s">
        <v>325</v>
      </c>
      <c r="E79" t="s">
        <v>20</v>
      </c>
      <c r="F79" t="s">
        <v>1042</v>
      </c>
      <c r="G79" t="s">
        <v>633</v>
      </c>
      <c r="J79">
        <v>0</v>
      </c>
      <c r="L79" s="26"/>
    </row>
    <row r="80" spans="1:12" x14ac:dyDescent="0.25">
      <c r="A80" s="44" t="str">
        <f>Tabla10[[#This Row],[TIPO_P]] &amp; "|" &amp;Tabla10[[#This Row],[Agrupación]] &amp; "|" &amp; Tabla10[[#This Row],[Sexo]] &amp; "|" &amp; Tabla10[[#This Row],[Entidad]]</f>
        <v>PI|Acoso sexual|Mujer|Jalisco</v>
      </c>
      <c r="B80" s="45" t="s">
        <v>1046</v>
      </c>
      <c r="C80" s="49">
        <v>2024</v>
      </c>
      <c r="D80" t="s">
        <v>325</v>
      </c>
      <c r="E80" t="s">
        <v>20</v>
      </c>
      <c r="F80" t="s">
        <v>1042</v>
      </c>
      <c r="G80" t="s">
        <v>647</v>
      </c>
      <c r="J80">
        <v>0</v>
      </c>
      <c r="L80" s="26"/>
    </row>
    <row r="81" spans="1:12" x14ac:dyDescent="0.25">
      <c r="A81" s="44" t="str">
        <f>Tabla10[[#This Row],[TIPO_P]] &amp; "|" &amp;Tabla10[[#This Row],[Agrupación]] &amp; "|" &amp; Tabla10[[#This Row],[Sexo]] &amp; "|" &amp; Tabla10[[#This Row],[Entidad]]</f>
        <v>PI|Acoso sexual|Mujer|México</v>
      </c>
      <c r="B81" s="45" t="s">
        <v>1046</v>
      </c>
      <c r="C81" s="49">
        <v>2024</v>
      </c>
      <c r="D81" t="s">
        <v>325</v>
      </c>
      <c r="E81" t="s">
        <v>20</v>
      </c>
      <c r="F81" t="s">
        <v>1042</v>
      </c>
      <c r="G81" t="s">
        <v>662</v>
      </c>
      <c r="J81">
        <v>0</v>
      </c>
      <c r="L81" s="26"/>
    </row>
    <row r="82" spans="1:12" x14ac:dyDescent="0.25">
      <c r="A82" s="44" t="str">
        <f>Tabla10[[#This Row],[TIPO_P]] &amp; "|" &amp;Tabla10[[#This Row],[Agrupación]] &amp; "|" &amp; Tabla10[[#This Row],[Sexo]] &amp; "|" &amp; Tabla10[[#This Row],[Entidad]]</f>
        <v>PI|Acoso sexual|Mujer|Michoacán de Ocampo</v>
      </c>
      <c r="B82" s="45" t="s">
        <v>1046</v>
      </c>
      <c r="C82" s="49">
        <v>2024</v>
      </c>
      <c r="D82" t="s">
        <v>325</v>
      </c>
      <c r="E82" t="s">
        <v>20</v>
      </c>
      <c r="F82" t="s">
        <v>1042</v>
      </c>
      <c r="G82" t="s">
        <v>685</v>
      </c>
      <c r="J82">
        <v>0</v>
      </c>
      <c r="L82" s="26"/>
    </row>
    <row r="83" spans="1:12" x14ac:dyDescent="0.25">
      <c r="A83" s="44" t="str">
        <f>Tabla10[[#This Row],[TIPO_P]] &amp; "|" &amp;Tabla10[[#This Row],[Agrupación]] &amp; "|" &amp; Tabla10[[#This Row],[Sexo]] &amp; "|" &amp; Tabla10[[#This Row],[Entidad]]</f>
        <v>PI|Acoso sexual|Mujer|Morelos</v>
      </c>
      <c r="B83" s="45" t="s">
        <v>1046</v>
      </c>
      <c r="C83" s="49">
        <v>2024</v>
      </c>
      <c r="D83" t="s">
        <v>325</v>
      </c>
      <c r="E83" t="s">
        <v>20</v>
      </c>
      <c r="F83" t="s">
        <v>1042</v>
      </c>
      <c r="G83" t="s">
        <v>698</v>
      </c>
      <c r="J83">
        <v>0</v>
      </c>
      <c r="L83" s="26"/>
    </row>
    <row r="84" spans="1:12" x14ac:dyDescent="0.25">
      <c r="A84" s="44" t="str">
        <f>Tabla10[[#This Row],[TIPO_P]] &amp; "|" &amp;Tabla10[[#This Row],[Agrupación]] &amp; "|" &amp; Tabla10[[#This Row],[Sexo]] &amp; "|" &amp; Tabla10[[#This Row],[Entidad]]</f>
        <v>PI|Acoso sexual|Mujer|Nayarit</v>
      </c>
      <c r="B84" s="45" t="s">
        <v>1046</v>
      </c>
      <c r="C84" s="49">
        <v>2024</v>
      </c>
      <c r="D84" t="s">
        <v>325</v>
      </c>
      <c r="E84" t="s">
        <v>20</v>
      </c>
      <c r="F84" t="s">
        <v>1042</v>
      </c>
      <c r="G84" t="s">
        <v>705</v>
      </c>
      <c r="J84">
        <v>0</v>
      </c>
      <c r="L84" s="26"/>
    </row>
    <row r="85" spans="1:12" x14ac:dyDescent="0.25">
      <c r="A85" s="44" t="str">
        <f>Tabla10[[#This Row],[TIPO_P]] &amp; "|" &amp;Tabla10[[#This Row],[Agrupación]] &amp; "|" &amp; Tabla10[[#This Row],[Sexo]] &amp; "|" &amp; Tabla10[[#This Row],[Entidad]]</f>
        <v>PI|Acoso sexual|Mujer|Nuevo León</v>
      </c>
      <c r="B85" s="45" t="s">
        <v>1046</v>
      </c>
      <c r="C85" s="49">
        <v>2024</v>
      </c>
      <c r="D85" t="s">
        <v>325</v>
      </c>
      <c r="E85" t="s">
        <v>20</v>
      </c>
      <c r="F85" t="s">
        <v>1042</v>
      </c>
      <c r="G85" t="s">
        <v>710</v>
      </c>
      <c r="J85">
        <v>0</v>
      </c>
      <c r="L85" s="26"/>
    </row>
    <row r="86" spans="1:12" x14ac:dyDescent="0.25">
      <c r="A86" s="44" t="str">
        <f>Tabla10[[#This Row],[TIPO_P]] &amp; "|" &amp;Tabla10[[#This Row],[Agrupación]] &amp; "|" &amp; Tabla10[[#This Row],[Sexo]] &amp; "|" &amp; Tabla10[[#This Row],[Entidad]]</f>
        <v>PI|Acoso sexual|Mujer|Oaxaca</v>
      </c>
      <c r="B86" s="45" t="s">
        <v>1046</v>
      </c>
      <c r="C86" s="49">
        <v>2024</v>
      </c>
      <c r="D86" t="s">
        <v>325</v>
      </c>
      <c r="E86" t="s">
        <v>20</v>
      </c>
      <c r="F86" t="s">
        <v>1042</v>
      </c>
      <c r="G86" t="s">
        <v>716</v>
      </c>
      <c r="J86">
        <v>0</v>
      </c>
      <c r="L86" s="26"/>
    </row>
    <row r="87" spans="1:12" x14ac:dyDescent="0.25">
      <c r="A87" s="44" t="str">
        <f>Tabla10[[#This Row],[TIPO_P]] &amp; "|" &amp;Tabla10[[#This Row],[Agrupación]] &amp; "|" &amp; Tabla10[[#This Row],[Sexo]] &amp; "|" &amp; Tabla10[[#This Row],[Entidad]]</f>
        <v>PI|Acoso sexual|Mujer|Puebla</v>
      </c>
      <c r="B87" s="45" t="s">
        <v>1046</v>
      </c>
      <c r="C87" s="49">
        <v>2024</v>
      </c>
      <c r="D87" t="s">
        <v>325</v>
      </c>
      <c r="E87" t="s">
        <v>20</v>
      </c>
      <c r="F87" t="s">
        <v>1042</v>
      </c>
      <c r="G87" t="s">
        <v>727</v>
      </c>
      <c r="J87">
        <v>0</v>
      </c>
      <c r="L87" s="26"/>
    </row>
    <row r="88" spans="1:12" x14ac:dyDescent="0.25">
      <c r="A88" s="44" t="str">
        <f>Tabla10[[#This Row],[TIPO_P]] &amp; "|" &amp;Tabla10[[#This Row],[Agrupación]] &amp; "|" &amp; Tabla10[[#This Row],[Sexo]] &amp; "|" &amp; Tabla10[[#This Row],[Entidad]]</f>
        <v>PI|Acoso sexual|Mujer|Querétaro</v>
      </c>
      <c r="B88" s="45" t="s">
        <v>1046</v>
      </c>
      <c r="C88" s="49">
        <v>2024</v>
      </c>
      <c r="D88" t="s">
        <v>325</v>
      </c>
      <c r="E88" t="s">
        <v>20</v>
      </c>
      <c r="F88" t="s">
        <v>1042</v>
      </c>
      <c r="G88" t="s">
        <v>731</v>
      </c>
      <c r="J88">
        <v>0</v>
      </c>
      <c r="L88" s="26"/>
    </row>
    <row r="89" spans="1:12" x14ac:dyDescent="0.25">
      <c r="A89" s="44" t="str">
        <f>Tabla10[[#This Row],[TIPO_P]] &amp; "|" &amp;Tabla10[[#This Row],[Agrupación]] &amp; "|" &amp; Tabla10[[#This Row],[Sexo]] &amp; "|" &amp; Tabla10[[#This Row],[Entidad]]</f>
        <v>PI|Acoso sexual|Mujer|Quintana Roo</v>
      </c>
      <c r="B89" s="45" t="s">
        <v>1046</v>
      </c>
      <c r="C89" s="49">
        <v>2024</v>
      </c>
      <c r="D89" t="s">
        <v>325</v>
      </c>
      <c r="E89" t="s">
        <v>20</v>
      </c>
      <c r="F89" t="s">
        <v>1042</v>
      </c>
      <c r="G89" t="s">
        <v>737</v>
      </c>
      <c r="J89">
        <v>0</v>
      </c>
      <c r="L89" s="26"/>
    </row>
    <row r="90" spans="1:12" x14ac:dyDescent="0.25">
      <c r="A90" s="44" t="str">
        <f>Tabla10[[#This Row],[TIPO_P]] &amp; "|" &amp;Tabla10[[#This Row],[Agrupación]] &amp; "|" &amp; Tabla10[[#This Row],[Sexo]] &amp; "|" &amp; Tabla10[[#This Row],[Entidad]]</f>
        <v>PI|Acoso sexual|Mujer|San Luis Potosí</v>
      </c>
      <c r="B90" s="45" t="s">
        <v>1046</v>
      </c>
      <c r="C90" s="49">
        <v>2024</v>
      </c>
      <c r="D90" t="s">
        <v>325</v>
      </c>
      <c r="E90" t="s">
        <v>20</v>
      </c>
      <c r="F90" t="s">
        <v>1042</v>
      </c>
      <c r="G90" t="s">
        <v>741</v>
      </c>
      <c r="J90">
        <v>0</v>
      </c>
      <c r="L90" s="26"/>
    </row>
    <row r="91" spans="1:12" x14ac:dyDescent="0.25">
      <c r="A91" s="44" t="str">
        <f>Tabla10[[#This Row],[TIPO_P]] &amp; "|" &amp;Tabla10[[#This Row],[Agrupación]] &amp; "|" &amp; Tabla10[[#This Row],[Sexo]] &amp; "|" &amp; Tabla10[[#This Row],[Entidad]]</f>
        <v>PI|Acoso sexual|Mujer|Sinaloa</v>
      </c>
      <c r="B91" s="45" t="s">
        <v>1046</v>
      </c>
      <c r="C91" s="49">
        <v>2024</v>
      </c>
      <c r="D91" t="s">
        <v>325</v>
      </c>
      <c r="E91" t="s">
        <v>20</v>
      </c>
      <c r="F91" t="s">
        <v>1042</v>
      </c>
      <c r="G91" t="s">
        <v>749</v>
      </c>
      <c r="J91">
        <v>0</v>
      </c>
      <c r="L91" s="26"/>
    </row>
    <row r="92" spans="1:12" x14ac:dyDescent="0.25">
      <c r="A92" s="44" t="str">
        <f>Tabla10[[#This Row],[TIPO_P]] &amp; "|" &amp;Tabla10[[#This Row],[Agrupación]] &amp; "|" &amp; Tabla10[[#This Row],[Sexo]] &amp; "|" &amp; Tabla10[[#This Row],[Entidad]]</f>
        <v>PI|Acoso sexual|Mujer|Sonora</v>
      </c>
      <c r="B92" s="45" t="s">
        <v>1046</v>
      </c>
      <c r="C92" s="49">
        <v>2024</v>
      </c>
      <c r="D92" t="s">
        <v>325</v>
      </c>
      <c r="E92" t="s">
        <v>20</v>
      </c>
      <c r="F92" t="s">
        <v>1042</v>
      </c>
      <c r="G92" t="s">
        <v>755</v>
      </c>
      <c r="J92">
        <v>0</v>
      </c>
      <c r="L92" s="26"/>
    </row>
    <row r="93" spans="1:12" x14ac:dyDescent="0.25">
      <c r="A93" s="44" t="str">
        <f>Tabla10[[#This Row],[TIPO_P]] &amp; "|" &amp;Tabla10[[#This Row],[Agrupación]] &amp; "|" &amp; Tabla10[[#This Row],[Sexo]] &amp; "|" &amp; Tabla10[[#This Row],[Entidad]]</f>
        <v>PI|Acoso sexual|Mujer|Tabasco</v>
      </c>
      <c r="B93" s="45" t="s">
        <v>1046</v>
      </c>
      <c r="C93" s="49">
        <v>2024</v>
      </c>
      <c r="D93" t="s">
        <v>325</v>
      </c>
      <c r="E93" t="s">
        <v>20</v>
      </c>
      <c r="F93" t="s">
        <v>1042</v>
      </c>
      <c r="G93" t="s">
        <v>775</v>
      </c>
      <c r="J93">
        <v>0</v>
      </c>
      <c r="L93" s="26"/>
    </row>
    <row r="94" spans="1:12" x14ac:dyDescent="0.25">
      <c r="A94" s="44" t="str">
        <f>Tabla10[[#This Row],[TIPO_P]] &amp; "|" &amp;Tabla10[[#This Row],[Agrupación]] &amp; "|" &amp; Tabla10[[#This Row],[Sexo]] &amp; "|" &amp; Tabla10[[#This Row],[Entidad]]</f>
        <v>PI|Acoso sexual|Mujer|Tamaulipas</v>
      </c>
      <c r="B94" s="45" t="s">
        <v>1046</v>
      </c>
      <c r="C94" s="49">
        <v>2024</v>
      </c>
      <c r="D94" t="s">
        <v>325</v>
      </c>
      <c r="E94" t="s">
        <v>20</v>
      </c>
      <c r="F94" t="s">
        <v>1042</v>
      </c>
      <c r="G94" t="s">
        <v>785</v>
      </c>
      <c r="J94">
        <v>0</v>
      </c>
      <c r="L94" s="26"/>
    </row>
    <row r="95" spans="1:12" x14ac:dyDescent="0.25">
      <c r="A95" s="44" t="str">
        <f>Tabla10[[#This Row],[TIPO_P]] &amp; "|" &amp;Tabla10[[#This Row],[Agrupación]] &amp; "|" &amp; Tabla10[[#This Row],[Sexo]] &amp; "|" &amp; Tabla10[[#This Row],[Entidad]]</f>
        <v>PI|Acoso sexual|Mujer|Tlaxcala</v>
      </c>
      <c r="B95" s="45" t="s">
        <v>1046</v>
      </c>
      <c r="C95" s="49">
        <v>2024</v>
      </c>
      <c r="D95" t="s">
        <v>325</v>
      </c>
      <c r="E95" t="s">
        <v>20</v>
      </c>
      <c r="F95" t="s">
        <v>1042</v>
      </c>
      <c r="G95" t="s">
        <v>797</v>
      </c>
      <c r="J95">
        <v>0</v>
      </c>
      <c r="L95" s="26"/>
    </row>
    <row r="96" spans="1:12" x14ac:dyDescent="0.25">
      <c r="A96" s="44" t="str">
        <f>Tabla10[[#This Row],[TIPO_P]] &amp; "|" &amp;Tabla10[[#This Row],[Agrupación]] &amp; "|" &amp; Tabla10[[#This Row],[Sexo]] &amp; "|" &amp; Tabla10[[#This Row],[Entidad]]</f>
        <v>PI|Acoso sexual|Mujer|Veracruz de Ignacio de la Llave</v>
      </c>
      <c r="B96" s="45" t="s">
        <v>1046</v>
      </c>
      <c r="C96" s="49">
        <v>2024</v>
      </c>
      <c r="D96" t="s">
        <v>325</v>
      </c>
      <c r="E96" t="s">
        <v>20</v>
      </c>
      <c r="F96" t="s">
        <v>1042</v>
      </c>
      <c r="G96" t="s">
        <v>802</v>
      </c>
      <c r="J96">
        <v>0</v>
      </c>
      <c r="L96" s="26"/>
    </row>
    <row r="97" spans="1:12" x14ac:dyDescent="0.25">
      <c r="A97" s="44" t="str">
        <f>Tabla10[[#This Row],[TIPO_P]] &amp; "|" &amp;Tabla10[[#This Row],[Agrupación]] &amp; "|" &amp; Tabla10[[#This Row],[Sexo]] &amp; "|" &amp; Tabla10[[#This Row],[Entidad]]</f>
        <v>PI|Acoso sexual|Mujer|Yucatán</v>
      </c>
      <c r="B97" s="45" t="s">
        <v>1046</v>
      </c>
      <c r="C97" s="49">
        <v>2024</v>
      </c>
      <c r="D97" t="s">
        <v>325</v>
      </c>
      <c r="E97" t="s">
        <v>20</v>
      </c>
      <c r="F97" t="s">
        <v>1042</v>
      </c>
      <c r="G97" t="s">
        <v>822</v>
      </c>
      <c r="J97">
        <v>0</v>
      </c>
      <c r="L97" s="26"/>
    </row>
    <row r="98" spans="1:12" x14ac:dyDescent="0.25">
      <c r="A98" s="44" t="str">
        <f>Tabla10[[#This Row],[TIPO_P]] &amp; "|" &amp;Tabla10[[#This Row],[Agrupación]] &amp; "|" &amp; Tabla10[[#This Row],[Sexo]] &amp; "|" &amp; Tabla10[[#This Row],[Entidad]]</f>
        <v>PI|Acoso sexual|Mujer|Zacatecas</v>
      </c>
      <c r="B98" s="45" t="s">
        <v>1046</v>
      </c>
      <c r="C98" s="49">
        <v>2024</v>
      </c>
      <c r="D98" t="s">
        <v>325</v>
      </c>
      <c r="E98" t="s">
        <v>20</v>
      </c>
      <c r="F98" t="s">
        <v>1042</v>
      </c>
      <c r="G98" t="s">
        <v>827</v>
      </c>
      <c r="J98">
        <v>0</v>
      </c>
      <c r="L98" s="26"/>
    </row>
    <row r="99" spans="1:12" x14ac:dyDescent="0.25">
      <c r="A99" s="44" t="str">
        <f>Tabla10[[#This Row],[TIPO_P]] &amp; "|" &amp;Tabla10[[#This Row],[Agrupación]] &amp; "|" &amp; Tabla10[[#This Row],[Sexo]] &amp; "|" &amp; Tabla10[[#This Row],[Entidad]]</f>
        <v>PI|Acoso sexual|Hombre|Aguascalientes</v>
      </c>
      <c r="B99" s="45" t="s">
        <v>1046</v>
      </c>
      <c r="C99" s="49">
        <v>2024</v>
      </c>
      <c r="D99" t="s">
        <v>325</v>
      </c>
      <c r="E99" t="s">
        <v>20</v>
      </c>
      <c r="F99" t="s">
        <v>1043</v>
      </c>
      <c r="G99" t="s">
        <v>518</v>
      </c>
      <c r="J99">
        <v>0</v>
      </c>
      <c r="L99" s="26"/>
    </row>
    <row r="100" spans="1:12" x14ac:dyDescent="0.25">
      <c r="A100" s="44" t="str">
        <f>Tabla10[[#This Row],[TIPO_P]] &amp; "|" &amp;Tabla10[[#This Row],[Agrupación]] &amp; "|" &amp; Tabla10[[#This Row],[Sexo]] &amp; "|" &amp; Tabla10[[#This Row],[Entidad]]</f>
        <v>PI|Acoso sexual|Hombre|Baja California</v>
      </c>
      <c r="B100" s="45" t="s">
        <v>1046</v>
      </c>
      <c r="C100" s="49">
        <v>2024</v>
      </c>
      <c r="D100" t="s">
        <v>325</v>
      </c>
      <c r="E100" t="s">
        <v>20</v>
      </c>
      <c r="F100" t="s">
        <v>1043</v>
      </c>
      <c r="G100" t="s">
        <v>519</v>
      </c>
      <c r="J100">
        <v>0</v>
      </c>
      <c r="L100" s="26"/>
    </row>
    <row r="101" spans="1:12" x14ac:dyDescent="0.25">
      <c r="A101" s="44" t="str">
        <f>Tabla10[[#This Row],[TIPO_P]] &amp; "|" &amp;Tabla10[[#This Row],[Agrupación]] &amp; "|" &amp; Tabla10[[#This Row],[Sexo]] &amp; "|" &amp; Tabla10[[#This Row],[Entidad]]</f>
        <v>PI|Acoso sexual|Hombre|Baja California Sur</v>
      </c>
      <c r="B101" s="45" t="s">
        <v>1046</v>
      </c>
      <c r="C101" s="49">
        <v>2024</v>
      </c>
      <c r="D101" t="s">
        <v>325</v>
      </c>
      <c r="E101" t="s">
        <v>20</v>
      </c>
      <c r="F101" t="s">
        <v>1043</v>
      </c>
      <c r="G101" t="s">
        <v>528</v>
      </c>
      <c r="J101">
        <v>10</v>
      </c>
      <c r="L101" s="26"/>
    </row>
    <row r="102" spans="1:12" x14ac:dyDescent="0.25">
      <c r="A102" s="44" t="str">
        <f>Tabla10[[#This Row],[TIPO_P]] &amp; "|" &amp;Tabla10[[#This Row],[Agrupación]] &amp; "|" &amp; Tabla10[[#This Row],[Sexo]] &amp; "|" &amp; Tabla10[[#This Row],[Entidad]]</f>
        <v>PI|Acoso sexual|Hombre|Campeche</v>
      </c>
      <c r="B102" s="45" t="s">
        <v>1046</v>
      </c>
      <c r="C102" s="49">
        <v>2024</v>
      </c>
      <c r="D102" t="s">
        <v>325</v>
      </c>
      <c r="E102" t="s">
        <v>20</v>
      </c>
      <c r="F102" t="s">
        <v>1043</v>
      </c>
      <c r="G102" t="s">
        <v>534</v>
      </c>
      <c r="J102">
        <v>0</v>
      </c>
      <c r="L102" s="26"/>
    </row>
    <row r="103" spans="1:12" x14ac:dyDescent="0.25">
      <c r="A103" s="44" t="str">
        <f>Tabla10[[#This Row],[TIPO_P]] &amp; "|" &amp;Tabla10[[#This Row],[Agrupación]] &amp; "|" &amp; Tabla10[[#This Row],[Sexo]] &amp; "|" &amp; Tabla10[[#This Row],[Entidad]]</f>
        <v>PI|Acoso sexual|Hombre|Coahuila de Zaragoza</v>
      </c>
      <c r="B103" s="45" t="s">
        <v>1046</v>
      </c>
      <c r="C103" s="49">
        <v>2024</v>
      </c>
      <c r="D103" t="s">
        <v>325</v>
      </c>
      <c r="E103" t="s">
        <v>20</v>
      </c>
      <c r="F103" t="s">
        <v>1043</v>
      </c>
      <c r="G103" t="s">
        <v>538</v>
      </c>
      <c r="J103">
        <v>13</v>
      </c>
      <c r="L103" s="26"/>
    </row>
    <row r="104" spans="1:12" x14ac:dyDescent="0.25">
      <c r="A104" s="44" t="str">
        <f>Tabla10[[#This Row],[TIPO_P]] &amp; "|" &amp;Tabla10[[#This Row],[Agrupación]] &amp; "|" &amp; Tabla10[[#This Row],[Sexo]] &amp; "|" &amp; Tabla10[[#This Row],[Entidad]]</f>
        <v>PI|Acoso sexual|Hombre|Colima</v>
      </c>
      <c r="B104" s="45" t="s">
        <v>1046</v>
      </c>
      <c r="C104" s="49">
        <v>2024</v>
      </c>
      <c r="D104" t="s">
        <v>325</v>
      </c>
      <c r="E104" t="s">
        <v>20</v>
      </c>
      <c r="F104" t="s">
        <v>1043</v>
      </c>
      <c r="G104" t="s">
        <v>547</v>
      </c>
      <c r="J104">
        <v>0</v>
      </c>
      <c r="L104" s="26"/>
    </row>
    <row r="105" spans="1:12" x14ac:dyDescent="0.25">
      <c r="A105" s="44" t="str">
        <f>Tabla10[[#This Row],[TIPO_P]] &amp; "|" &amp;Tabla10[[#This Row],[Agrupación]] &amp; "|" &amp; Tabla10[[#This Row],[Sexo]] &amp; "|" &amp; Tabla10[[#This Row],[Entidad]]</f>
        <v>PI|Acoso sexual|Hombre|Chiapas</v>
      </c>
      <c r="B105" s="45" t="s">
        <v>1046</v>
      </c>
      <c r="C105" s="49">
        <v>2024</v>
      </c>
      <c r="D105" t="s">
        <v>325</v>
      </c>
      <c r="E105" t="s">
        <v>20</v>
      </c>
      <c r="F105" t="s">
        <v>1043</v>
      </c>
      <c r="G105" t="s">
        <v>553</v>
      </c>
      <c r="J105">
        <v>4</v>
      </c>
      <c r="L105" s="26"/>
    </row>
    <row r="106" spans="1:12" x14ac:dyDescent="0.25">
      <c r="A106" s="44" t="str">
        <f>Tabla10[[#This Row],[TIPO_P]] &amp; "|" &amp;Tabla10[[#This Row],[Agrupación]] &amp; "|" &amp; Tabla10[[#This Row],[Sexo]] &amp; "|" &amp; Tabla10[[#This Row],[Entidad]]</f>
        <v>PI|Acoso sexual|Hombre|Chihuahua</v>
      </c>
      <c r="B106" s="45" t="s">
        <v>1046</v>
      </c>
      <c r="C106" s="49">
        <v>2024</v>
      </c>
      <c r="D106" t="s">
        <v>325</v>
      </c>
      <c r="E106" t="s">
        <v>20</v>
      </c>
      <c r="F106" t="s">
        <v>1043</v>
      </c>
      <c r="G106" t="s">
        <v>570</v>
      </c>
      <c r="J106">
        <v>40</v>
      </c>
      <c r="L106" s="26"/>
    </row>
    <row r="107" spans="1:12" x14ac:dyDescent="0.25">
      <c r="A107" s="44" t="str">
        <f>Tabla10[[#This Row],[TIPO_P]] &amp; "|" &amp;Tabla10[[#This Row],[Agrupación]] &amp; "|" &amp; Tabla10[[#This Row],[Sexo]] &amp; "|" &amp; Tabla10[[#This Row],[Entidad]]</f>
        <v>PI|Acoso sexual|Hombre|Ciudad de México</v>
      </c>
      <c r="B107" s="45" t="s">
        <v>1046</v>
      </c>
      <c r="C107" s="49">
        <v>2024</v>
      </c>
      <c r="D107" t="s">
        <v>325</v>
      </c>
      <c r="E107" t="s">
        <v>20</v>
      </c>
      <c r="F107" t="s">
        <v>1043</v>
      </c>
      <c r="G107" t="s">
        <v>582</v>
      </c>
      <c r="J107">
        <v>20</v>
      </c>
      <c r="L107" s="26"/>
    </row>
    <row r="108" spans="1:12" x14ac:dyDescent="0.25">
      <c r="A108" s="44" t="str">
        <f>Tabla10[[#This Row],[TIPO_P]] &amp; "|" &amp;Tabla10[[#This Row],[Agrupación]] &amp; "|" &amp; Tabla10[[#This Row],[Sexo]] &amp; "|" &amp; Tabla10[[#This Row],[Entidad]]</f>
        <v>PI|Acoso sexual|Hombre|Durango</v>
      </c>
      <c r="B108" s="45" t="s">
        <v>1046</v>
      </c>
      <c r="C108" s="49">
        <v>2024</v>
      </c>
      <c r="D108" t="s">
        <v>325</v>
      </c>
      <c r="E108" t="s">
        <v>20</v>
      </c>
      <c r="F108" t="s">
        <v>1043</v>
      </c>
      <c r="G108" t="s">
        <v>600</v>
      </c>
      <c r="J108">
        <v>0</v>
      </c>
      <c r="L108" s="26"/>
    </row>
    <row r="109" spans="1:12" x14ac:dyDescent="0.25">
      <c r="A109" s="44" t="str">
        <f>Tabla10[[#This Row],[TIPO_P]] &amp; "|" &amp;Tabla10[[#This Row],[Agrupación]] &amp; "|" &amp; Tabla10[[#This Row],[Sexo]] &amp; "|" &amp; Tabla10[[#This Row],[Entidad]]</f>
        <v>PI|Acoso sexual|Hombre|Guanajuato</v>
      </c>
      <c r="B109" s="45" t="s">
        <v>1046</v>
      </c>
      <c r="C109" s="49">
        <v>2024</v>
      </c>
      <c r="D109" t="s">
        <v>325</v>
      </c>
      <c r="E109" t="s">
        <v>20</v>
      </c>
      <c r="F109" t="s">
        <v>1043</v>
      </c>
      <c r="G109" t="s">
        <v>606</v>
      </c>
      <c r="J109">
        <v>8</v>
      </c>
      <c r="L109" s="26"/>
    </row>
    <row r="110" spans="1:12" x14ac:dyDescent="0.25">
      <c r="A110" s="44" t="str">
        <f>Tabla10[[#This Row],[TIPO_P]] &amp; "|" &amp;Tabla10[[#This Row],[Agrupación]] &amp; "|" &amp; Tabla10[[#This Row],[Sexo]] &amp; "|" &amp; Tabla10[[#This Row],[Entidad]]</f>
        <v>PI|Acoso sexual|Hombre|Guerrero</v>
      </c>
      <c r="B110" s="45" t="s">
        <v>1046</v>
      </c>
      <c r="C110" s="49">
        <v>2024</v>
      </c>
      <c r="D110" t="s">
        <v>325</v>
      </c>
      <c r="E110" t="s">
        <v>20</v>
      </c>
      <c r="F110" t="s">
        <v>1043</v>
      </c>
      <c r="G110" t="s">
        <v>619</v>
      </c>
      <c r="J110">
        <v>2</v>
      </c>
      <c r="L110" s="26"/>
    </row>
    <row r="111" spans="1:12" x14ac:dyDescent="0.25">
      <c r="A111" s="44" t="str">
        <f>Tabla10[[#This Row],[TIPO_P]] &amp; "|" &amp;Tabla10[[#This Row],[Agrupación]] &amp; "|" &amp; Tabla10[[#This Row],[Sexo]] &amp; "|" &amp; Tabla10[[#This Row],[Entidad]]</f>
        <v>PI|Acoso sexual|Hombre|Hidalgo</v>
      </c>
      <c r="B111" s="45" t="s">
        <v>1046</v>
      </c>
      <c r="C111" s="49">
        <v>2024</v>
      </c>
      <c r="D111" t="s">
        <v>325</v>
      </c>
      <c r="E111" t="s">
        <v>20</v>
      </c>
      <c r="F111" t="s">
        <v>1043</v>
      </c>
      <c r="G111" t="s">
        <v>633</v>
      </c>
      <c r="J111">
        <v>4</v>
      </c>
      <c r="L111" s="26"/>
    </row>
    <row r="112" spans="1:12" x14ac:dyDescent="0.25">
      <c r="A112" s="44" t="str">
        <f>Tabla10[[#This Row],[TIPO_P]] &amp; "|" &amp;Tabla10[[#This Row],[Agrupación]] &amp; "|" &amp; Tabla10[[#This Row],[Sexo]] &amp; "|" &amp; Tabla10[[#This Row],[Entidad]]</f>
        <v>PI|Acoso sexual|Hombre|Jalisco</v>
      </c>
      <c r="B112" s="45" t="s">
        <v>1046</v>
      </c>
      <c r="C112" s="49">
        <v>2024</v>
      </c>
      <c r="D112" t="s">
        <v>325</v>
      </c>
      <c r="E112" t="s">
        <v>20</v>
      </c>
      <c r="F112" t="s">
        <v>1043</v>
      </c>
      <c r="G112" t="s">
        <v>647</v>
      </c>
      <c r="J112">
        <v>3</v>
      </c>
      <c r="L112" s="26"/>
    </row>
    <row r="113" spans="1:12" x14ac:dyDescent="0.25">
      <c r="A113" s="44" t="str">
        <f>Tabla10[[#This Row],[TIPO_P]] &amp; "|" &amp;Tabla10[[#This Row],[Agrupación]] &amp; "|" &amp; Tabla10[[#This Row],[Sexo]] &amp; "|" &amp; Tabla10[[#This Row],[Entidad]]</f>
        <v>PI|Acoso sexual|Hombre|México</v>
      </c>
      <c r="B113" s="45" t="s">
        <v>1046</v>
      </c>
      <c r="C113" s="49">
        <v>2024</v>
      </c>
      <c r="D113" t="s">
        <v>325</v>
      </c>
      <c r="E113" t="s">
        <v>20</v>
      </c>
      <c r="F113" t="s">
        <v>1043</v>
      </c>
      <c r="G113" t="s">
        <v>662</v>
      </c>
      <c r="J113">
        <v>13</v>
      </c>
      <c r="L113" s="26"/>
    </row>
    <row r="114" spans="1:12" x14ac:dyDescent="0.25">
      <c r="A114" s="44" t="str">
        <f>Tabla10[[#This Row],[TIPO_P]] &amp; "|" &amp;Tabla10[[#This Row],[Agrupación]] &amp; "|" &amp; Tabla10[[#This Row],[Sexo]] &amp; "|" &amp; Tabla10[[#This Row],[Entidad]]</f>
        <v>PI|Acoso sexual|Hombre|Michoacán de Ocampo</v>
      </c>
      <c r="B114" s="45" t="s">
        <v>1046</v>
      </c>
      <c r="C114" s="49">
        <v>2024</v>
      </c>
      <c r="D114" t="s">
        <v>325</v>
      </c>
      <c r="E114" t="s">
        <v>20</v>
      </c>
      <c r="F114" t="s">
        <v>1043</v>
      </c>
      <c r="G114" t="s">
        <v>685</v>
      </c>
      <c r="J114">
        <v>0</v>
      </c>
      <c r="L114" s="26"/>
    </row>
    <row r="115" spans="1:12" x14ac:dyDescent="0.25">
      <c r="A115" s="44" t="str">
        <f>Tabla10[[#This Row],[TIPO_P]] &amp; "|" &amp;Tabla10[[#This Row],[Agrupación]] &amp; "|" &amp; Tabla10[[#This Row],[Sexo]] &amp; "|" &amp; Tabla10[[#This Row],[Entidad]]</f>
        <v>PI|Acoso sexual|Hombre|Morelos</v>
      </c>
      <c r="B115" s="45" t="s">
        <v>1046</v>
      </c>
      <c r="C115" s="49">
        <v>2024</v>
      </c>
      <c r="D115" t="s">
        <v>325</v>
      </c>
      <c r="E115" t="s">
        <v>20</v>
      </c>
      <c r="F115" t="s">
        <v>1043</v>
      </c>
      <c r="G115" t="s">
        <v>698</v>
      </c>
      <c r="J115">
        <v>1</v>
      </c>
      <c r="L115" s="26"/>
    </row>
    <row r="116" spans="1:12" x14ac:dyDescent="0.25">
      <c r="A116" s="44" t="str">
        <f>Tabla10[[#This Row],[TIPO_P]] &amp; "|" &amp;Tabla10[[#This Row],[Agrupación]] &amp; "|" &amp; Tabla10[[#This Row],[Sexo]] &amp; "|" &amp; Tabla10[[#This Row],[Entidad]]</f>
        <v>PI|Acoso sexual|Hombre|Nayarit</v>
      </c>
      <c r="B116" s="45" t="s">
        <v>1046</v>
      </c>
      <c r="C116" s="49">
        <v>2024</v>
      </c>
      <c r="D116" t="s">
        <v>325</v>
      </c>
      <c r="E116" t="s">
        <v>20</v>
      </c>
      <c r="F116" t="s">
        <v>1043</v>
      </c>
      <c r="G116" t="s">
        <v>705</v>
      </c>
      <c r="J116">
        <v>5</v>
      </c>
      <c r="L116" s="26"/>
    </row>
    <row r="117" spans="1:12" x14ac:dyDescent="0.25">
      <c r="A117" s="44" t="str">
        <f>Tabla10[[#This Row],[TIPO_P]] &amp; "|" &amp;Tabla10[[#This Row],[Agrupación]] &amp; "|" &amp; Tabla10[[#This Row],[Sexo]] &amp; "|" &amp; Tabla10[[#This Row],[Entidad]]</f>
        <v>PI|Acoso sexual|Hombre|Nuevo León</v>
      </c>
      <c r="B117" s="45" t="s">
        <v>1046</v>
      </c>
      <c r="C117" s="49">
        <v>2024</v>
      </c>
      <c r="D117" t="s">
        <v>325</v>
      </c>
      <c r="E117" t="s">
        <v>20</v>
      </c>
      <c r="F117" t="s">
        <v>1043</v>
      </c>
      <c r="G117" t="s">
        <v>710</v>
      </c>
      <c r="J117">
        <v>46</v>
      </c>
      <c r="L117" s="26"/>
    </row>
    <row r="118" spans="1:12" x14ac:dyDescent="0.25">
      <c r="A118" s="44" t="str">
        <f>Tabla10[[#This Row],[TIPO_P]] &amp; "|" &amp;Tabla10[[#This Row],[Agrupación]] &amp; "|" &amp; Tabla10[[#This Row],[Sexo]] &amp; "|" &amp; Tabla10[[#This Row],[Entidad]]</f>
        <v>PI|Acoso sexual|Hombre|Oaxaca</v>
      </c>
      <c r="B118" s="45" t="s">
        <v>1046</v>
      </c>
      <c r="C118" s="49">
        <v>2024</v>
      </c>
      <c r="D118" t="s">
        <v>325</v>
      </c>
      <c r="E118" t="s">
        <v>20</v>
      </c>
      <c r="F118" t="s">
        <v>1043</v>
      </c>
      <c r="G118" t="s">
        <v>716</v>
      </c>
      <c r="J118">
        <v>7</v>
      </c>
      <c r="L118" s="26"/>
    </row>
    <row r="119" spans="1:12" x14ac:dyDescent="0.25">
      <c r="A119" s="44" t="str">
        <f>Tabla10[[#This Row],[TIPO_P]] &amp; "|" &amp;Tabla10[[#This Row],[Agrupación]] &amp; "|" &amp; Tabla10[[#This Row],[Sexo]] &amp; "|" &amp; Tabla10[[#This Row],[Entidad]]</f>
        <v>PI|Acoso sexual|Hombre|Puebla</v>
      </c>
      <c r="B119" s="45" t="s">
        <v>1046</v>
      </c>
      <c r="C119" s="49">
        <v>2024</v>
      </c>
      <c r="D119" t="s">
        <v>325</v>
      </c>
      <c r="E119" t="s">
        <v>20</v>
      </c>
      <c r="F119" t="s">
        <v>1043</v>
      </c>
      <c r="G119" t="s">
        <v>727</v>
      </c>
      <c r="J119">
        <v>12</v>
      </c>
      <c r="L119" s="26"/>
    </row>
    <row r="120" spans="1:12" x14ac:dyDescent="0.25">
      <c r="A120" s="44" t="str">
        <f>Tabla10[[#This Row],[TIPO_P]] &amp; "|" &amp;Tabla10[[#This Row],[Agrupación]] &amp; "|" &amp; Tabla10[[#This Row],[Sexo]] &amp; "|" &amp; Tabla10[[#This Row],[Entidad]]</f>
        <v>PI|Acoso sexual|Hombre|Querétaro</v>
      </c>
      <c r="B120" s="45" t="s">
        <v>1046</v>
      </c>
      <c r="C120" s="49">
        <v>2024</v>
      </c>
      <c r="D120" t="s">
        <v>325</v>
      </c>
      <c r="E120" t="s">
        <v>20</v>
      </c>
      <c r="F120" t="s">
        <v>1043</v>
      </c>
      <c r="G120" t="s">
        <v>731</v>
      </c>
      <c r="J120">
        <v>8</v>
      </c>
      <c r="L120" s="26"/>
    </row>
    <row r="121" spans="1:12" x14ac:dyDescent="0.25">
      <c r="A121" s="44" t="str">
        <f>Tabla10[[#This Row],[TIPO_P]] &amp; "|" &amp;Tabla10[[#This Row],[Agrupación]] &amp; "|" &amp; Tabla10[[#This Row],[Sexo]] &amp; "|" &amp; Tabla10[[#This Row],[Entidad]]</f>
        <v>PI|Acoso sexual|Hombre|Quintana Roo</v>
      </c>
      <c r="B121" s="45" t="s">
        <v>1046</v>
      </c>
      <c r="C121" s="49">
        <v>2024</v>
      </c>
      <c r="D121" t="s">
        <v>325</v>
      </c>
      <c r="E121" t="s">
        <v>20</v>
      </c>
      <c r="F121" t="s">
        <v>1043</v>
      </c>
      <c r="G121" t="s">
        <v>737</v>
      </c>
      <c r="J121">
        <v>1</v>
      </c>
      <c r="L121" s="26"/>
    </row>
    <row r="122" spans="1:12" x14ac:dyDescent="0.25">
      <c r="A122" s="44" t="str">
        <f>Tabla10[[#This Row],[TIPO_P]] &amp; "|" &amp;Tabla10[[#This Row],[Agrupación]] &amp; "|" &amp; Tabla10[[#This Row],[Sexo]] &amp; "|" &amp; Tabla10[[#This Row],[Entidad]]</f>
        <v>PI|Acoso sexual|Hombre|San Luis Potosí</v>
      </c>
      <c r="B122" s="45" t="s">
        <v>1046</v>
      </c>
      <c r="C122" s="49">
        <v>2024</v>
      </c>
      <c r="D122" t="s">
        <v>325</v>
      </c>
      <c r="E122" t="s">
        <v>20</v>
      </c>
      <c r="F122" t="s">
        <v>1043</v>
      </c>
      <c r="G122" t="s">
        <v>741</v>
      </c>
      <c r="J122">
        <v>2</v>
      </c>
      <c r="L122" s="26"/>
    </row>
    <row r="123" spans="1:12" x14ac:dyDescent="0.25">
      <c r="A123" s="44" t="str">
        <f>Tabla10[[#This Row],[TIPO_P]] &amp; "|" &amp;Tabla10[[#This Row],[Agrupación]] &amp; "|" &amp; Tabla10[[#This Row],[Sexo]] &amp; "|" &amp; Tabla10[[#This Row],[Entidad]]</f>
        <v>PI|Acoso sexual|Hombre|Sinaloa</v>
      </c>
      <c r="B123" s="45" t="s">
        <v>1046</v>
      </c>
      <c r="C123" s="49">
        <v>2024</v>
      </c>
      <c r="D123" t="s">
        <v>325</v>
      </c>
      <c r="E123" t="s">
        <v>20</v>
      </c>
      <c r="F123" t="s">
        <v>1043</v>
      </c>
      <c r="G123" t="s">
        <v>749</v>
      </c>
      <c r="J123">
        <v>1</v>
      </c>
      <c r="L123" s="26"/>
    </row>
    <row r="124" spans="1:12" x14ac:dyDescent="0.25">
      <c r="A124" s="44" t="str">
        <f>Tabla10[[#This Row],[TIPO_P]] &amp; "|" &amp;Tabla10[[#This Row],[Agrupación]] &amp; "|" &amp; Tabla10[[#This Row],[Sexo]] &amp; "|" &amp; Tabla10[[#This Row],[Entidad]]</f>
        <v>PI|Acoso sexual|Hombre|Sonora</v>
      </c>
      <c r="B124" s="45" t="s">
        <v>1046</v>
      </c>
      <c r="C124" s="49">
        <v>2024</v>
      </c>
      <c r="D124" t="s">
        <v>325</v>
      </c>
      <c r="E124" t="s">
        <v>20</v>
      </c>
      <c r="F124" t="s">
        <v>1043</v>
      </c>
      <c r="G124" t="s">
        <v>755</v>
      </c>
      <c r="J124">
        <v>29</v>
      </c>
      <c r="L124" s="26"/>
    </row>
    <row r="125" spans="1:12" x14ac:dyDescent="0.25">
      <c r="A125" s="44" t="str">
        <f>Tabla10[[#This Row],[TIPO_P]] &amp; "|" &amp;Tabla10[[#This Row],[Agrupación]] &amp; "|" &amp; Tabla10[[#This Row],[Sexo]] &amp; "|" &amp; Tabla10[[#This Row],[Entidad]]</f>
        <v>PI|Acoso sexual|Hombre|Tabasco</v>
      </c>
      <c r="B125" s="45" t="s">
        <v>1046</v>
      </c>
      <c r="C125" s="49">
        <v>2024</v>
      </c>
      <c r="D125" t="s">
        <v>325</v>
      </c>
      <c r="E125" t="s">
        <v>20</v>
      </c>
      <c r="F125" t="s">
        <v>1043</v>
      </c>
      <c r="G125" t="s">
        <v>775</v>
      </c>
      <c r="J125">
        <v>0</v>
      </c>
      <c r="L125" s="26"/>
    </row>
    <row r="126" spans="1:12" x14ac:dyDescent="0.25">
      <c r="A126" s="44" t="str">
        <f>Tabla10[[#This Row],[TIPO_P]] &amp; "|" &amp;Tabla10[[#This Row],[Agrupación]] &amp; "|" &amp; Tabla10[[#This Row],[Sexo]] &amp; "|" &amp; Tabla10[[#This Row],[Entidad]]</f>
        <v>PI|Acoso sexual|Hombre|Tamaulipas</v>
      </c>
      <c r="B126" s="45" t="s">
        <v>1046</v>
      </c>
      <c r="C126" s="49">
        <v>2024</v>
      </c>
      <c r="D126" t="s">
        <v>325</v>
      </c>
      <c r="E126" t="s">
        <v>20</v>
      </c>
      <c r="F126" t="s">
        <v>1043</v>
      </c>
      <c r="G126" t="s">
        <v>785</v>
      </c>
      <c r="J126">
        <v>0</v>
      </c>
      <c r="L126" s="26"/>
    </row>
    <row r="127" spans="1:12" x14ac:dyDescent="0.25">
      <c r="A127" s="44" t="str">
        <f>Tabla10[[#This Row],[TIPO_P]] &amp; "|" &amp;Tabla10[[#This Row],[Agrupación]] &amp; "|" &amp; Tabla10[[#This Row],[Sexo]] &amp; "|" &amp; Tabla10[[#This Row],[Entidad]]</f>
        <v>PI|Acoso sexual|Hombre|Tlaxcala</v>
      </c>
      <c r="B127" s="45" t="s">
        <v>1046</v>
      </c>
      <c r="C127" s="49">
        <v>2024</v>
      </c>
      <c r="D127" t="s">
        <v>325</v>
      </c>
      <c r="E127" t="s">
        <v>20</v>
      </c>
      <c r="F127" t="s">
        <v>1043</v>
      </c>
      <c r="G127" t="s">
        <v>797</v>
      </c>
      <c r="J127">
        <v>1</v>
      </c>
      <c r="L127" s="26"/>
    </row>
    <row r="128" spans="1:12" x14ac:dyDescent="0.25">
      <c r="A128" s="44" t="str">
        <f>Tabla10[[#This Row],[TIPO_P]] &amp; "|" &amp;Tabla10[[#This Row],[Agrupación]] &amp; "|" &amp; Tabla10[[#This Row],[Sexo]] &amp; "|" &amp; Tabla10[[#This Row],[Entidad]]</f>
        <v>PI|Acoso sexual|Hombre|Veracruz de Ignacio de la Llave</v>
      </c>
      <c r="B128" s="45" t="s">
        <v>1046</v>
      </c>
      <c r="C128" s="49">
        <v>2024</v>
      </c>
      <c r="D128" t="s">
        <v>325</v>
      </c>
      <c r="E128" t="s">
        <v>20</v>
      </c>
      <c r="F128" t="s">
        <v>1043</v>
      </c>
      <c r="G128" t="s">
        <v>802</v>
      </c>
      <c r="J128">
        <v>14</v>
      </c>
      <c r="L128" s="26"/>
    </row>
    <row r="129" spans="1:12" x14ac:dyDescent="0.25">
      <c r="A129" s="44" t="str">
        <f>Tabla10[[#This Row],[TIPO_P]] &amp; "|" &amp;Tabla10[[#This Row],[Agrupación]] &amp; "|" &amp; Tabla10[[#This Row],[Sexo]] &amp; "|" &amp; Tabla10[[#This Row],[Entidad]]</f>
        <v>PI|Acoso sexual|Hombre|Yucatán</v>
      </c>
      <c r="B129" s="45" t="s">
        <v>1046</v>
      </c>
      <c r="C129" s="49">
        <v>2024</v>
      </c>
      <c r="D129" t="s">
        <v>325</v>
      </c>
      <c r="E129" t="s">
        <v>20</v>
      </c>
      <c r="F129" t="s">
        <v>1043</v>
      </c>
      <c r="G129" t="s">
        <v>822</v>
      </c>
      <c r="J129">
        <v>2</v>
      </c>
      <c r="L129" s="26"/>
    </row>
    <row r="130" spans="1:12" ht="15.75" thickBot="1" x14ac:dyDescent="0.3">
      <c r="A130" s="46" t="str">
        <f>Tabla10[[#This Row],[TIPO_P]] &amp; "|" &amp;Tabla10[[#This Row],[Agrupación]] &amp; "|" &amp; Tabla10[[#This Row],[Sexo]] &amp; "|" &amp; Tabla10[[#This Row],[Entidad]]</f>
        <v>PI|Acoso sexual|Hombre|Zacatecas</v>
      </c>
      <c r="B130" s="47" t="s">
        <v>1046</v>
      </c>
      <c r="C130" s="50">
        <v>2024</v>
      </c>
      <c r="D130" s="27" t="s">
        <v>325</v>
      </c>
      <c r="E130" s="27" t="s">
        <v>20</v>
      </c>
      <c r="F130" s="27" t="s">
        <v>1043</v>
      </c>
      <c r="G130" s="27" t="s">
        <v>827</v>
      </c>
      <c r="H130" s="27"/>
      <c r="I130" s="27"/>
      <c r="J130" s="27">
        <v>6</v>
      </c>
      <c r="K130" s="27"/>
      <c r="L130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opLeftCell="B1" workbookViewId="0">
      <pane ySplit="1" topLeftCell="A2" activePane="bottomLeft" state="frozen"/>
      <selection activeCell="B1" sqref="B1"/>
      <selection pane="bottomLeft" activeCell="E1" sqref="E1:F1"/>
    </sheetView>
  </sheetViews>
  <sheetFormatPr baseColWidth="10" defaultRowHeight="15" x14ac:dyDescent="0.25"/>
  <cols>
    <col min="1" max="1" width="8.7109375" hidden="1" customWidth="1"/>
    <col min="2" max="3" width="8.7109375" customWidth="1"/>
    <col min="4" max="4" width="19.7109375" hidden="1" customWidth="1"/>
    <col min="5" max="5" width="9.14062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92" customWidth="1"/>
  </cols>
  <sheetData>
    <row r="1" spans="1:17" ht="19.899999999999999" customHeight="1" x14ac:dyDescent="0.3">
      <c r="A1" s="52"/>
      <c r="B1" s="89">
        <v>2017</v>
      </c>
      <c r="C1" s="89"/>
      <c r="D1" s="53"/>
      <c r="E1" s="90" t="s">
        <v>20</v>
      </c>
      <c r="F1" s="90"/>
      <c r="O1" s="88">
        <f>SUM(Tabla410[[PI]:[PS]])</f>
        <v>252</v>
      </c>
      <c r="P1" s="88"/>
    </row>
    <row r="2" spans="1:17" ht="27.75" customHeight="1" thickBot="1" x14ac:dyDescent="0.3">
      <c r="A2" s="36" t="s">
        <v>1019</v>
      </c>
      <c r="B2" s="59" t="s">
        <v>1052</v>
      </c>
      <c r="C2" s="59" t="s">
        <v>1053</v>
      </c>
      <c r="D2" s="59" t="s">
        <v>1045</v>
      </c>
      <c r="E2" s="59" t="s">
        <v>1022</v>
      </c>
      <c r="F2" s="59" t="s">
        <v>1023</v>
      </c>
      <c r="G2" s="36" t="s">
        <v>1044</v>
      </c>
      <c r="H2" s="36" t="s">
        <v>1048</v>
      </c>
      <c r="I2" s="36" t="s">
        <v>1049</v>
      </c>
      <c r="J2" s="36" t="s">
        <v>1036</v>
      </c>
      <c r="K2" s="36" t="s">
        <v>1031</v>
      </c>
      <c r="L2" s="36" t="s">
        <v>1030</v>
      </c>
      <c r="M2" s="36" t="s">
        <v>1037</v>
      </c>
      <c r="N2" s="36" t="s">
        <v>1029</v>
      </c>
      <c r="O2" s="36" t="s">
        <v>1046</v>
      </c>
      <c r="P2" s="36" t="s">
        <v>1050</v>
      </c>
      <c r="Q2" s="37" t="s">
        <v>1027</v>
      </c>
    </row>
    <row r="3" spans="1:17" ht="15" customHeight="1" x14ac:dyDescent="0.25">
      <c r="A3" s="54"/>
      <c r="B3" s="60" t="s">
        <v>1046</v>
      </c>
      <c r="C3" s="61" t="s">
        <v>1050</v>
      </c>
      <c r="D3" s="62"/>
      <c r="E3" s="62" t="s">
        <v>1042</v>
      </c>
      <c r="F3" s="63" t="s">
        <v>518</v>
      </c>
      <c r="G3" s="55"/>
      <c r="H3" s="72" t="str">
        <f>Tabla410[[#This Row],[P1]] &amp; "|" &amp; $E$1 &amp; "|" &amp; Tabla410[[#This Row],[Sexo]] &amp; "|" &amp; Tabla410[[#This Row],[Entidad]]</f>
        <v>PI|Acoso sexual|Mujer|Aguascalientes</v>
      </c>
      <c r="I3" s="73" t="str">
        <f>Tabla410[[#This Row],[P2]] &amp; "|" &amp; $E$1 &amp; "|" &amp; Tabla410[[#This Row],[Sexo]] &amp; "|" &amp; Tabla410[[#This Row],[Entidad]]</f>
        <v>PS|Acoso sexual|Mujer|Aguascalientes</v>
      </c>
      <c r="J3" s="74">
        <f>VLOOKUP($E$1,Tabla5[[#All],[name]:[id_1]],2,FALSE)</f>
        <v>6</v>
      </c>
      <c r="K3" s="74">
        <f>VLOOKUP($B$1,Tabla6[[#All],[name]:[id_2]],2)</f>
        <v>18</v>
      </c>
      <c r="L3" s="74">
        <f>VLOOKUP(Tabla410[[#This Row],[Sexo]],Tabla8[[#All],[name]:[gender_id]],2,FALSE)</f>
        <v>1</v>
      </c>
      <c r="M3" s="74" t="str">
        <f>IF(LEN(Tabla410[[#This Row],[centros]])&gt;0,VLOOKUP(Tabla410[[#This Row],[centros]],Tabla2[[#All],[Centros]:[ID]],2,FALSE),"NULL")</f>
        <v>NULL</v>
      </c>
      <c r="N3" s="74">
        <f>VLOOKUP(Tabla410[[#This Row],[Entidad]],Tabla3[[#All],[name]:[ID_2]],2,FALSE)</f>
        <v>1</v>
      </c>
      <c r="O3" s="74">
        <f>IFERROR(VLOOKUP(Tabla410[[#This Row],[CLAVE PI]], Tabla10[], 10, FALSE), 0)</f>
        <v>0</v>
      </c>
      <c r="P3" s="75">
        <f>IFERROR(VLOOKUP(Tabla410[[#This Row],[CLAVE PS]], Tabla10[], 10, FALSE), 0)</f>
        <v>0</v>
      </c>
      <c r="Q3" s="35" t="str">
        <f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18, 1, NULL, 1, 0, 0, 1);</v>
      </c>
    </row>
    <row r="4" spans="1:17" ht="15" customHeight="1" x14ac:dyDescent="0.25">
      <c r="A4" s="54"/>
      <c r="B4" s="64" t="s">
        <v>1046</v>
      </c>
      <c r="C4" s="39" t="s">
        <v>1050</v>
      </c>
      <c r="D4" s="29"/>
      <c r="E4" s="29" t="s">
        <v>1042</v>
      </c>
      <c r="F4" s="65" t="s">
        <v>519</v>
      </c>
      <c r="G4" s="56"/>
      <c r="H4" s="76" t="str">
        <f>Tabla410[[#This Row],[P1]] &amp; "|" &amp; $E$1 &amp; "|" &amp; Tabla410[[#This Row],[Sexo]] &amp; "|" &amp; Tabla410[[#This Row],[Entidad]]</f>
        <v>PI|Acoso sexual|Mujer|Baja California</v>
      </c>
      <c r="I4" s="77" t="str">
        <f>Tabla410[[#This Row],[P2]] &amp; "|" &amp; $E$1 &amp; "|" &amp; Tabla410[[#This Row],[Sexo]] &amp; "|" &amp; Tabla410[[#This Row],[Entidad]]</f>
        <v>PS|Acoso sexual|Mujer|Baja California</v>
      </c>
      <c r="J4" s="78">
        <f>VLOOKUP($E$1,Tabla5[[#All],[name]:[id_1]],2,FALSE)</f>
        <v>6</v>
      </c>
      <c r="K4" s="78">
        <f>VLOOKUP($B$1,Tabla6[[#All],[name]:[id_2]],2)</f>
        <v>18</v>
      </c>
      <c r="L4" s="78">
        <f>VLOOKUP(Tabla410[[#This Row],[Sexo]],Tabla8[[#All],[name]:[gender_id]],2,FALSE)</f>
        <v>1</v>
      </c>
      <c r="M4" s="78" t="str">
        <f>IF(LEN(Tabla410[[#This Row],[centros]])&gt;0,VLOOKUP(Tabla410[[#This Row],[centros]],Tabla2[[#All],[Centros]:[ID]],2,FALSE),"NULL")</f>
        <v>NULL</v>
      </c>
      <c r="N4" s="78">
        <f>VLOOKUP(Tabla410[[#This Row],[Entidad]],Tabla3[[#All],[name]:[ID_2]],2,FALSE)</f>
        <v>2</v>
      </c>
      <c r="O4" s="78">
        <f>IFERROR(VLOOKUP(Tabla410[[#This Row],[CLAVE PI]], Tabla10[], 10, FALSE), 0)</f>
        <v>0</v>
      </c>
      <c r="P4" s="79">
        <f>IFERROR(VLOOKUP(Tabla410[[#This Row],[CLAVE PS]], Tabla10[], 10, FALSE), 0)</f>
        <v>0</v>
      </c>
      <c r="Q4" s="30" t="str">
        <f t="shared" ref="Q4:Q34" si="0">"INSERT INTO indicator_category_details (category_id, year_id, gender_id, center_id, state_id, PI, PS, status) VALUES ("
&amp;J4&amp;", "&amp;K4&amp;", "&amp;L4&amp;", "&amp;M4&amp;", "&amp;N4&amp;", "&amp;O4&amp;", "&amp;P4&amp;", 1);"</f>
        <v>INSERT INTO indicator_category_details (category_id, year_id, gender_id, center_id, state_id, PI, PS, status) VALUES (6, 18, 1, NULL, 2, 0, 0, 1);</v>
      </c>
    </row>
    <row r="5" spans="1:17" ht="15" customHeight="1" x14ac:dyDescent="0.25">
      <c r="A5" s="54"/>
      <c r="B5" s="64" t="s">
        <v>1046</v>
      </c>
      <c r="C5" s="39" t="s">
        <v>1050</v>
      </c>
      <c r="D5" s="29"/>
      <c r="E5" s="29" t="s">
        <v>1042</v>
      </c>
      <c r="F5" s="65" t="s">
        <v>528</v>
      </c>
      <c r="G5" s="56"/>
      <c r="H5" s="76" t="str">
        <f>Tabla410[[#This Row],[P1]] &amp; "|" &amp; $E$1 &amp; "|" &amp; Tabla410[[#This Row],[Sexo]] &amp; "|" &amp; Tabla410[[#This Row],[Entidad]]</f>
        <v>PI|Acoso sexual|Mujer|Baja California Sur</v>
      </c>
      <c r="I5" s="77" t="str">
        <f>Tabla410[[#This Row],[P2]] &amp; "|" &amp; $E$1 &amp; "|" &amp; Tabla410[[#This Row],[Sexo]] &amp; "|" &amp; Tabla410[[#This Row],[Entidad]]</f>
        <v>PS|Acoso sexual|Mujer|Baja California Sur</v>
      </c>
      <c r="J5" s="78">
        <f>VLOOKUP($E$1,Tabla5[[#All],[name]:[id_1]],2,FALSE)</f>
        <v>6</v>
      </c>
      <c r="K5" s="78">
        <f>VLOOKUP($B$1,Tabla6[[#All],[name]:[id_2]],2)</f>
        <v>18</v>
      </c>
      <c r="L5" s="78">
        <f>VLOOKUP(Tabla410[[#This Row],[Sexo]],Tabla8[[#All],[name]:[gender_id]],2,FALSE)</f>
        <v>1</v>
      </c>
      <c r="M5" s="78" t="str">
        <f>IF(LEN(Tabla410[[#This Row],[centros]])&gt;0,VLOOKUP(Tabla410[[#This Row],[centros]],Tabla2[[#All],[Centros]:[ID]],2,FALSE),"NULL")</f>
        <v>NULL</v>
      </c>
      <c r="N5" s="78">
        <f>VLOOKUP(Tabla410[[#This Row],[Entidad]],Tabla3[[#All],[name]:[ID_2]],2,FALSE)</f>
        <v>3</v>
      </c>
      <c r="O5" s="78">
        <f>IFERROR(VLOOKUP(Tabla410[[#This Row],[CLAVE PI]], Tabla10[], 10, FALSE), 0)</f>
        <v>0</v>
      </c>
      <c r="P5" s="79">
        <f>IFERROR(VLOOKUP(Tabla410[[#This Row],[CLAVE PS]], Tabla10[], 10, FALSE), 0)</f>
        <v>0</v>
      </c>
      <c r="Q5" s="30" t="str">
        <f t="shared" si="0"/>
        <v>INSERT INTO indicator_category_details (category_id, year_id, gender_id, center_id, state_id, PI, PS, status) VALUES (6, 18, 1, NULL, 3, 0, 0, 1);</v>
      </c>
    </row>
    <row r="6" spans="1:17" ht="15" customHeight="1" x14ac:dyDescent="0.25">
      <c r="A6" s="54"/>
      <c r="B6" s="64" t="s">
        <v>1046</v>
      </c>
      <c r="C6" s="39" t="s">
        <v>1050</v>
      </c>
      <c r="D6" s="29"/>
      <c r="E6" s="29" t="s">
        <v>1042</v>
      </c>
      <c r="F6" s="65" t="s">
        <v>534</v>
      </c>
      <c r="G6" s="56"/>
      <c r="H6" s="76" t="str">
        <f>Tabla410[[#This Row],[P1]] &amp; "|" &amp; $E$1 &amp; "|" &amp; Tabla410[[#This Row],[Sexo]] &amp; "|" &amp; Tabla410[[#This Row],[Entidad]]</f>
        <v>PI|Acoso sexual|Mujer|Campeche</v>
      </c>
      <c r="I6" s="77" t="str">
        <f>Tabla410[[#This Row],[P2]] &amp; "|" &amp; $E$1 &amp; "|" &amp; Tabla410[[#This Row],[Sexo]] &amp; "|" &amp; Tabla410[[#This Row],[Entidad]]</f>
        <v>PS|Acoso sexual|Mujer|Campeche</v>
      </c>
      <c r="J6" s="78">
        <f>VLOOKUP($E$1,Tabla5[[#All],[name]:[id_1]],2,FALSE)</f>
        <v>6</v>
      </c>
      <c r="K6" s="78">
        <f>VLOOKUP($B$1,Tabla6[[#All],[name]:[id_2]],2)</f>
        <v>18</v>
      </c>
      <c r="L6" s="78">
        <f>VLOOKUP(Tabla410[[#This Row],[Sexo]],Tabla8[[#All],[name]:[gender_id]],2,FALSE)</f>
        <v>1</v>
      </c>
      <c r="M6" s="78" t="str">
        <f>IF(LEN(Tabla410[[#This Row],[centros]])&gt;0,VLOOKUP(Tabla410[[#This Row],[centros]],Tabla2[[#All],[Centros]:[ID]],2,FALSE),"NULL")</f>
        <v>NULL</v>
      </c>
      <c r="N6" s="78">
        <f>VLOOKUP(Tabla410[[#This Row],[Entidad]],Tabla3[[#All],[name]:[ID_2]],2,FALSE)</f>
        <v>4</v>
      </c>
      <c r="O6" s="78">
        <f>IFERROR(VLOOKUP(Tabla410[[#This Row],[CLAVE PI]], Tabla10[], 10, FALSE), 0)</f>
        <v>0</v>
      </c>
      <c r="P6" s="79">
        <f>IFERROR(VLOOKUP(Tabla410[[#This Row],[CLAVE PS]], Tabla10[], 10, FALSE), 0)</f>
        <v>0</v>
      </c>
      <c r="Q6" s="30" t="str">
        <f t="shared" si="0"/>
        <v>INSERT INTO indicator_category_details (category_id, year_id, gender_id, center_id, state_id, PI, PS, status) VALUES (6, 18, 1, NULL, 4, 0, 0, 1);</v>
      </c>
    </row>
    <row r="7" spans="1:17" ht="15" customHeight="1" x14ac:dyDescent="0.25">
      <c r="A7" s="54"/>
      <c r="B7" s="64" t="s">
        <v>1046</v>
      </c>
      <c r="C7" s="39" t="s">
        <v>1050</v>
      </c>
      <c r="D7" s="29"/>
      <c r="E7" s="29" t="s">
        <v>1042</v>
      </c>
      <c r="F7" s="65" t="s">
        <v>553</v>
      </c>
      <c r="G7" s="56"/>
      <c r="H7" s="76" t="str">
        <f>Tabla410[[#This Row],[P1]] &amp; "|" &amp; $E$1 &amp; "|" &amp; Tabla410[[#This Row],[Sexo]] &amp; "|" &amp; Tabla410[[#This Row],[Entidad]]</f>
        <v>PI|Acoso sexual|Mujer|Chiapas</v>
      </c>
      <c r="I7" s="77" t="str">
        <f>Tabla410[[#This Row],[P2]] &amp; "|" &amp; $E$1 &amp; "|" &amp; Tabla410[[#This Row],[Sexo]] &amp; "|" &amp; Tabla410[[#This Row],[Entidad]]</f>
        <v>PS|Acoso sexual|Mujer|Chiapas</v>
      </c>
      <c r="J7" s="78">
        <f>VLOOKUP($E$1,Tabla5[[#All],[name]:[id_1]],2,FALSE)</f>
        <v>6</v>
      </c>
      <c r="K7" s="78">
        <f>VLOOKUP($B$1,Tabla6[[#All],[name]:[id_2]],2)</f>
        <v>18</v>
      </c>
      <c r="L7" s="78">
        <f>VLOOKUP(Tabla410[[#This Row],[Sexo]],Tabla8[[#All],[name]:[gender_id]],2,FALSE)</f>
        <v>1</v>
      </c>
      <c r="M7" s="78" t="str">
        <f>IF(LEN(Tabla410[[#This Row],[centros]])&gt;0,VLOOKUP(Tabla410[[#This Row],[centros]],Tabla2[[#All],[Centros]:[ID]],2,FALSE),"NULL")</f>
        <v>NULL</v>
      </c>
      <c r="N7" s="78">
        <f>VLOOKUP(Tabla410[[#This Row],[Entidad]],Tabla3[[#All],[name]:[ID_2]],2,FALSE)</f>
        <v>5</v>
      </c>
      <c r="O7" s="78">
        <f>IFERROR(VLOOKUP(Tabla410[[#This Row],[CLAVE PI]], Tabla10[], 10, FALSE), 0)</f>
        <v>0</v>
      </c>
      <c r="P7" s="79">
        <f>IFERROR(VLOOKUP(Tabla410[[#This Row],[CLAVE PS]], Tabla10[], 10, FALSE), 0)</f>
        <v>0</v>
      </c>
      <c r="Q7" s="30" t="str">
        <f t="shared" si="0"/>
        <v>INSERT INTO indicator_category_details (category_id, year_id, gender_id, center_id, state_id, PI, PS, status) VALUES (6, 18, 1, NULL, 5, 0, 0, 1);</v>
      </c>
    </row>
    <row r="8" spans="1:17" ht="15" customHeight="1" x14ac:dyDescent="0.25">
      <c r="A8" s="54"/>
      <c r="B8" s="64" t="s">
        <v>1046</v>
      </c>
      <c r="C8" s="39" t="s">
        <v>1050</v>
      </c>
      <c r="D8" s="29"/>
      <c r="E8" s="29" t="s">
        <v>1042</v>
      </c>
      <c r="F8" s="65" t="s">
        <v>570</v>
      </c>
      <c r="G8" s="56"/>
      <c r="H8" s="76" t="str">
        <f>Tabla410[[#This Row],[P1]] &amp; "|" &amp; $E$1 &amp; "|" &amp; Tabla410[[#This Row],[Sexo]] &amp; "|" &amp; Tabla410[[#This Row],[Entidad]]</f>
        <v>PI|Acoso sexual|Mujer|Chihuahua</v>
      </c>
      <c r="I8" s="77" t="str">
        <f>Tabla410[[#This Row],[P2]] &amp; "|" &amp; $E$1 &amp; "|" &amp; Tabla410[[#This Row],[Sexo]] &amp; "|" &amp; Tabla410[[#This Row],[Entidad]]</f>
        <v>PS|Acoso sexual|Mujer|Chihuahua</v>
      </c>
      <c r="J8" s="78">
        <f>VLOOKUP($E$1,Tabla5[[#All],[name]:[id_1]],2,FALSE)</f>
        <v>6</v>
      </c>
      <c r="K8" s="78">
        <f>VLOOKUP($B$1,Tabla6[[#All],[name]:[id_2]],2)</f>
        <v>18</v>
      </c>
      <c r="L8" s="78">
        <f>VLOOKUP(Tabla410[[#This Row],[Sexo]],Tabla8[[#All],[name]:[gender_id]],2,FALSE)</f>
        <v>1</v>
      </c>
      <c r="M8" s="78" t="str">
        <f>IF(LEN(Tabla410[[#This Row],[centros]])&gt;0,VLOOKUP(Tabla410[[#This Row],[centros]],Tabla2[[#All],[Centros]:[ID]],2,FALSE),"NULL")</f>
        <v>NULL</v>
      </c>
      <c r="N8" s="78">
        <f>VLOOKUP(Tabla410[[#This Row],[Entidad]],Tabla3[[#All],[name]:[ID_2]],2,FALSE)</f>
        <v>6</v>
      </c>
      <c r="O8" s="78">
        <f>IFERROR(VLOOKUP(Tabla410[[#This Row],[CLAVE PI]], Tabla10[], 10, FALSE), 0)</f>
        <v>0</v>
      </c>
      <c r="P8" s="79">
        <f>IFERROR(VLOOKUP(Tabla410[[#This Row],[CLAVE PS]], Tabla10[], 10, FALSE), 0)</f>
        <v>0</v>
      </c>
      <c r="Q8" s="30" t="str">
        <f t="shared" si="0"/>
        <v>INSERT INTO indicator_category_details (category_id, year_id, gender_id, center_id, state_id, PI, PS, status) VALUES (6, 18, 1, NULL, 6, 0, 0, 1);</v>
      </c>
    </row>
    <row r="9" spans="1:17" ht="15" customHeight="1" x14ac:dyDescent="0.25">
      <c r="A9" s="54"/>
      <c r="B9" s="64" t="s">
        <v>1046</v>
      </c>
      <c r="C9" s="39" t="s">
        <v>1050</v>
      </c>
      <c r="D9" s="29"/>
      <c r="E9" s="29" t="s">
        <v>1042</v>
      </c>
      <c r="F9" s="65" t="s">
        <v>582</v>
      </c>
      <c r="G9" s="56"/>
      <c r="H9" s="76" t="str">
        <f>Tabla410[[#This Row],[P1]] &amp; "|" &amp; $E$1 &amp; "|" &amp; Tabla410[[#This Row],[Sexo]] &amp; "|" &amp; Tabla410[[#This Row],[Entidad]]</f>
        <v>PI|Acoso sexual|Mujer|Ciudad de México</v>
      </c>
      <c r="I9" s="77" t="str">
        <f>Tabla410[[#This Row],[P2]] &amp; "|" &amp; $E$1 &amp; "|" &amp; Tabla410[[#This Row],[Sexo]] &amp; "|" &amp; Tabla410[[#This Row],[Entidad]]</f>
        <v>PS|Acoso sexual|Mujer|Ciudad de México</v>
      </c>
      <c r="J9" s="78">
        <f>VLOOKUP($E$1,Tabla5[[#All],[name]:[id_1]],2,FALSE)</f>
        <v>6</v>
      </c>
      <c r="K9" s="78">
        <f>VLOOKUP($B$1,Tabla6[[#All],[name]:[id_2]],2)</f>
        <v>18</v>
      </c>
      <c r="L9" s="78">
        <f>VLOOKUP(Tabla410[[#This Row],[Sexo]],Tabla8[[#All],[name]:[gender_id]],2,FALSE)</f>
        <v>1</v>
      </c>
      <c r="M9" s="78" t="str">
        <f>IF(LEN(Tabla410[[#This Row],[centros]])&gt;0,VLOOKUP(Tabla410[[#This Row],[centros]],Tabla2[[#All],[Centros]:[ID]],2,FALSE),"NULL")</f>
        <v>NULL</v>
      </c>
      <c r="N9" s="78">
        <f>VLOOKUP(Tabla410[[#This Row],[Entidad]],Tabla3[[#All],[name]:[ID_2]],2,FALSE)</f>
        <v>7</v>
      </c>
      <c r="O9" s="78">
        <f>IFERROR(VLOOKUP(Tabla410[[#This Row],[CLAVE PI]], Tabla10[], 10, FALSE), 0)</f>
        <v>0</v>
      </c>
      <c r="P9" s="79">
        <f>IFERROR(VLOOKUP(Tabla410[[#This Row],[CLAVE PS]], Tabla10[], 10, FALSE), 0)</f>
        <v>0</v>
      </c>
      <c r="Q9" s="30" t="str">
        <f t="shared" si="0"/>
        <v>INSERT INTO indicator_category_details (category_id, year_id, gender_id, center_id, state_id, PI, PS, status) VALUES (6, 18, 1, NULL, 7, 0, 0, 1);</v>
      </c>
    </row>
    <row r="10" spans="1:17" ht="15" customHeight="1" x14ac:dyDescent="0.25">
      <c r="A10" s="54"/>
      <c r="B10" s="64" t="s">
        <v>1046</v>
      </c>
      <c r="C10" s="39" t="s">
        <v>1050</v>
      </c>
      <c r="D10" s="29"/>
      <c r="E10" s="29" t="s">
        <v>1042</v>
      </c>
      <c r="F10" s="65" t="s">
        <v>538</v>
      </c>
      <c r="G10" s="56"/>
      <c r="H10" s="76" t="str">
        <f>Tabla410[[#This Row],[P1]] &amp; "|" &amp; $E$1 &amp; "|" &amp; Tabla410[[#This Row],[Sexo]] &amp; "|" &amp; Tabla410[[#This Row],[Entidad]]</f>
        <v>PI|Acoso sexual|Mujer|Coahuila de Zaragoza</v>
      </c>
      <c r="I10" s="77" t="str">
        <f>Tabla410[[#This Row],[P2]] &amp; "|" &amp; $E$1 &amp; "|" &amp; Tabla410[[#This Row],[Sexo]] &amp; "|" &amp; Tabla410[[#This Row],[Entidad]]</f>
        <v>PS|Acoso sexual|Mujer|Coahuila de Zaragoza</v>
      </c>
      <c r="J10" s="78">
        <f>VLOOKUP($E$1,Tabla5[[#All],[name]:[id_1]],2,FALSE)</f>
        <v>6</v>
      </c>
      <c r="K10" s="78">
        <f>VLOOKUP($B$1,Tabla6[[#All],[name]:[id_2]],2)</f>
        <v>18</v>
      </c>
      <c r="L10" s="78">
        <f>VLOOKUP(Tabla410[[#This Row],[Sexo]],Tabla8[[#All],[name]:[gender_id]],2,FALSE)</f>
        <v>1</v>
      </c>
      <c r="M10" s="78" t="str">
        <f>IF(LEN(Tabla410[[#This Row],[centros]])&gt;0,VLOOKUP(Tabla410[[#This Row],[centros]],Tabla2[[#All],[Centros]:[ID]],2,FALSE),"NULL")</f>
        <v>NULL</v>
      </c>
      <c r="N10" s="78">
        <f>VLOOKUP(Tabla410[[#This Row],[Entidad]],Tabla3[[#All],[name]:[ID_2]],2,FALSE)</f>
        <v>8</v>
      </c>
      <c r="O10" s="78">
        <f>IFERROR(VLOOKUP(Tabla410[[#This Row],[CLAVE PI]], Tabla10[], 10, FALSE), 0)</f>
        <v>0</v>
      </c>
      <c r="P10" s="79">
        <f>IFERROR(VLOOKUP(Tabla410[[#This Row],[CLAVE PS]], Tabla10[], 10, FALSE), 0)</f>
        <v>0</v>
      </c>
      <c r="Q10" s="30" t="str">
        <f t="shared" si="0"/>
        <v>INSERT INTO indicator_category_details (category_id, year_id, gender_id, center_id, state_id, PI, PS, status) VALUES (6, 18, 1, NULL, 8, 0, 0, 1);</v>
      </c>
    </row>
    <row r="11" spans="1:17" ht="15" customHeight="1" x14ac:dyDescent="0.25">
      <c r="A11" s="54"/>
      <c r="B11" s="64" t="s">
        <v>1046</v>
      </c>
      <c r="C11" s="39" t="s">
        <v>1050</v>
      </c>
      <c r="D11" s="29"/>
      <c r="E11" s="29" t="s">
        <v>1042</v>
      </c>
      <c r="F11" s="65" t="s">
        <v>547</v>
      </c>
      <c r="G11" s="56"/>
      <c r="H11" s="76" t="str">
        <f>Tabla410[[#This Row],[P1]] &amp; "|" &amp; $E$1 &amp; "|" &amp; Tabla410[[#This Row],[Sexo]] &amp; "|" &amp; Tabla410[[#This Row],[Entidad]]</f>
        <v>PI|Acoso sexual|Mujer|Colima</v>
      </c>
      <c r="I11" s="77" t="str">
        <f>Tabla410[[#This Row],[P2]] &amp; "|" &amp; $E$1 &amp; "|" &amp; Tabla410[[#This Row],[Sexo]] &amp; "|" &amp; Tabla410[[#This Row],[Entidad]]</f>
        <v>PS|Acoso sexual|Mujer|Colima</v>
      </c>
      <c r="J11" s="78">
        <f>VLOOKUP($E$1,Tabla5[[#All],[name]:[id_1]],2,FALSE)</f>
        <v>6</v>
      </c>
      <c r="K11" s="78">
        <f>VLOOKUP($B$1,Tabla6[[#All],[name]:[id_2]],2)</f>
        <v>18</v>
      </c>
      <c r="L11" s="78">
        <f>VLOOKUP(Tabla410[[#This Row],[Sexo]],Tabla8[[#All],[name]:[gender_id]],2,FALSE)</f>
        <v>1</v>
      </c>
      <c r="M11" s="78" t="str">
        <f>IF(LEN(Tabla410[[#This Row],[centros]])&gt;0,VLOOKUP(Tabla410[[#This Row],[centros]],Tabla2[[#All],[Centros]:[ID]],2,FALSE),"NULL")</f>
        <v>NULL</v>
      </c>
      <c r="N11" s="78">
        <f>VLOOKUP(Tabla410[[#This Row],[Entidad]],Tabla3[[#All],[name]:[ID_2]],2,FALSE)</f>
        <v>9</v>
      </c>
      <c r="O11" s="78">
        <f>IFERROR(VLOOKUP(Tabla410[[#This Row],[CLAVE PI]], Tabla10[], 10, FALSE), 0)</f>
        <v>0</v>
      </c>
      <c r="P11" s="79">
        <f>IFERROR(VLOOKUP(Tabla410[[#This Row],[CLAVE PS]], Tabla10[], 10, FALSE), 0)</f>
        <v>0</v>
      </c>
      <c r="Q11" s="30" t="str">
        <f t="shared" si="0"/>
        <v>INSERT INTO indicator_category_details (category_id, year_id, gender_id, center_id, state_id, PI, PS, status) VALUES (6, 18, 1, NULL, 9, 0, 0, 1);</v>
      </c>
    </row>
    <row r="12" spans="1:17" ht="15" customHeight="1" x14ac:dyDescent="0.25">
      <c r="A12" s="54"/>
      <c r="B12" s="64" t="s">
        <v>1046</v>
      </c>
      <c r="C12" s="39" t="s">
        <v>1050</v>
      </c>
      <c r="D12" s="29"/>
      <c r="E12" s="29" t="s">
        <v>1042</v>
      </c>
      <c r="F12" s="65" t="s">
        <v>600</v>
      </c>
      <c r="G12" s="56"/>
      <c r="H12" s="76" t="str">
        <f>Tabla410[[#This Row],[P1]] &amp; "|" &amp; $E$1 &amp; "|" &amp; Tabla410[[#This Row],[Sexo]] &amp; "|" &amp; Tabla410[[#This Row],[Entidad]]</f>
        <v>PI|Acoso sexual|Mujer|Durango</v>
      </c>
      <c r="I12" s="77" t="str">
        <f>Tabla410[[#This Row],[P2]] &amp; "|" &amp; $E$1 &amp; "|" &amp; Tabla410[[#This Row],[Sexo]] &amp; "|" &amp; Tabla410[[#This Row],[Entidad]]</f>
        <v>PS|Acoso sexual|Mujer|Durango</v>
      </c>
      <c r="J12" s="78">
        <f>VLOOKUP($E$1,Tabla5[[#All],[name]:[id_1]],2,FALSE)</f>
        <v>6</v>
      </c>
      <c r="K12" s="78">
        <f>VLOOKUP($B$1,Tabla6[[#All],[name]:[id_2]],2)</f>
        <v>18</v>
      </c>
      <c r="L12" s="78">
        <f>VLOOKUP(Tabla410[[#This Row],[Sexo]],Tabla8[[#All],[name]:[gender_id]],2,FALSE)</f>
        <v>1</v>
      </c>
      <c r="M12" s="78" t="str">
        <f>IF(LEN(Tabla410[[#This Row],[centros]])&gt;0,VLOOKUP(Tabla410[[#This Row],[centros]],Tabla2[[#All],[Centros]:[ID]],2,FALSE),"NULL")</f>
        <v>NULL</v>
      </c>
      <c r="N12" s="78">
        <f>VLOOKUP(Tabla410[[#This Row],[Entidad]],Tabla3[[#All],[name]:[ID_2]],2,FALSE)</f>
        <v>10</v>
      </c>
      <c r="O12" s="78">
        <f>IFERROR(VLOOKUP(Tabla410[[#This Row],[CLAVE PI]], Tabla10[], 10, FALSE), 0)</f>
        <v>0</v>
      </c>
      <c r="P12" s="79">
        <f>IFERROR(VLOOKUP(Tabla410[[#This Row],[CLAVE PS]], Tabla10[], 10, FALSE), 0)</f>
        <v>0</v>
      </c>
      <c r="Q12" s="30" t="str">
        <f t="shared" si="0"/>
        <v>INSERT INTO indicator_category_details (category_id, year_id, gender_id, center_id, state_id, PI, PS, status) VALUES (6, 18, 1, NULL, 10, 0, 0, 1);</v>
      </c>
    </row>
    <row r="13" spans="1:17" ht="15" customHeight="1" x14ac:dyDescent="0.25">
      <c r="A13" s="54"/>
      <c r="B13" s="64" t="s">
        <v>1046</v>
      </c>
      <c r="C13" s="39" t="s">
        <v>1050</v>
      </c>
      <c r="D13" s="29"/>
      <c r="E13" s="29" t="s">
        <v>1042</v>
      </c>
      <c r="F13" s="65" t="s">
        <v>606</v>
      </c>
      <c r="G13" s="56"/>
      <c r="H13" s="76" t="str">
        <f>Tabla410[[#This Row],[P1]] &amp; "|" &amp; $E$1 &amp; "|" &amp; Tabla410[[#This Row],[Sexo]] &amp; "|" &amp; Tabla410[[#This Row],[Entidad]]</f>
        <v>PI|Acoso sexual|Mujer|Guanajuato</v>
      </c>
      <c r="I13" s="77" t="str">
        <f>Tabla410[[#This Row],[P2]] &amp; "|" &amp; $E$1 &amp; "|" &amp; Tabla410[[#This Row],[Sexo]] &amp; "|" &amp; Tabla410[[#This Row],[Entidad]]</f>
        <v>PS|Acoso sexual|Mujer|Guanajuato</v>
      </c>
      <c r="J13" s="78">
        <f>VLOOKUP($E$1,Tabla5[[#All],[name]:[id_1]],2,FALSE)</f>
        <v>6</v>
      </c>
      <c r="K13" s="78">
        <f>VLOOKUP($B$1,Tabla6[[#All],[name]:[id_2]],2)</f>
        <v>18</v>
      </c>
      <c r="L13" s="78">
        <f>VLOOKUP(Tabla410[[#This Row],[Sexo]],Tabla8[[#All],[name]:[gender_id]],2,FALSE)</f>
        <v>1</v>
      </c>
      <c r="M13" s="78" t="str">
        <f>IF(LEN(Tabla410[[#This Row],[centros]])&gt;0,VLOOKUP(Tabla410[[#This Row],[centros]],Tabla2[[#All],[Centros]:[ID]],2,FALSE),"NULL")</f>
        <v>NULL</v>
      </c>
      <c r="N13" s="78">
        <f>VLOOKUP(Tabla410[[#This Row],[Entidad]],Tabla3[[#All],[name]:[ID_2]],2,FALSE)</f>
        <v>11</v>
      </c>
      <c r="O13" s="78">
        <f>IFERROR(VLOOKUP(Tabla410[[#This Row],[CLAVE PI]], Tabla10[], 10, FALSE), 0)</f>
        <v>0</v>
      </c>
      <c r="P13" s="79">
        <f>IFERROR(VLOOKUP(Tabla410[[#This Row],[CLAVE PS]], Tabla10[], 10, FALSE), 0)</f>
        <v>0</v>
      </c>
      <c r="Q13" s="30" t="str">
        <f t="shared" si="0"/>
        <v>INSERT INTO indicator_category_details (category_id, year_id, gender_id, center_id, state_id, PI, PS, status) VALUES (6, 18, 1, NULL, 11, 0, 0, 1);</v>
      </c>
    </row>
    <row r="14" spans="1:17" ht="15" customHeight="1" x14ac:dyDescent="0.25">
      <c r="A14" s="54"/>
      <c r="B14" s="64" t="s">
        <v>1046</v>
      </c>
      <c r="C14" s="39" t="s">
        <v>1050</v>
      </c>
      <c r="D14" s="29"/>
      <c r="E14" s="29" t="s">
        <v>1042</v>
      </c>
      <c r="F14" s="65" t="s">
        <v>619</v>
      </c>
      <c r="G14" s="56"/>
      <c r="H14" s="76" t="str">
        <f>Tabla410[[#This Row],[P1]] &amp; "|" &amp; $E$1 &amp; "|" &amp; Tabla410[[#This Row],[Sexo]] &amp; "|" &amp; Tabla410[[#This Row],[Entidad]]</f>
        <v>PI|Acoso sexual|Mujer|Guerrero</v>
      </c>
      <c r="I14" s="77" t="str">
        <f>Tabla410[[#This Row],[P2]] &amp; "|" &amp; $E$1 &amp; "|" &amp; Tabla410[[#This Row],[Sexo]] &amp; "|" &amp; Tabla410[[#This Row],[Entidad]]</f>
        <v>PS|Acoso sexual|Mujer|Guerrero</v>
      </c>
      <c r="J14" s="78">
        <f>VLOOKUP($E$1,Tabla5[[#All],[name]:[id_1]],2,FALSE)</f>
        <v>6</v>
      </c>
      <c r="K14" s="78">
        <f>VLOOKUP($B$1,Tabla6[[#All],[name]:[id_2]],2)</f>
        <v>18</v>
      </c>
      <c r="L14" s="78">
        <f>VLOOKUP(Tabla410[[#This Row],[Sexo]],Tabla8[[#All],[name]:[gender_id]],2,FALSE)</f>
        <v>1</v>
      </c>
      <c r="M14" s="78" t="str">
        <f>IF(LEN(Tabla410[[#This Row],[centros]])&gt;0,VLOOKUP(Tabla410[[#This Row],[centros]],Tabla2[[#All],[Centros]:[ID]],2,FALSE),"NULL")</f>
        <v>NULL</v>
      </c>
      <c r="N14" s="78">
        <f>VLOOKUP(Tabla410[[#This Row],[Entidad]],Tabla3[[#All],[name]:[ID_2]],2,FALSE)</f>
        <v>12</v>
      </c>
      <c r="O14" s="78">
        <f>IFERROR(VLOOKUP(Tabla410[[#This Row],[CLAVE PI]], Tabla10[], 10, FALSE), 0)</f>
        <v>0</v>
      </c>
      <c r="P14" s="79">
        <f>IFERROR(VLOOKUP(Tabla410[[#This Row],[CLAVE PS]], Tabla10[], 10, FALSE), 0)</f>
        <v>0</v>
      </c>
      <c r="Q14" s="30" t="str">
        <f t="shared" si="0"/>
        <v>INSERT INTO indicator_category_details (category_id, year_id, gender_id, center_id, state_id, PI, PS, status) VALUES (6, 18, 1, NULL, 12, 0, 0, 1);</v>
      </c>
    </row>
    <row r="15" spans="1:17" ht="15" customHeight="1" x14ac:dyDescent="0.25">
      <c r="A15" s="54"/>
      <c r="B15" s="64" t="s">
        <v>1046</v>
      </c>
      <c r="C15" s="39" t="s">
        <v>1050</v>
      </c>
      <c r="D15" s="29"/>
      <c r="E15" s="29" t="s">
        <v>1042</v>
      </c>
      <c r="F15" s="65" t="s">
        <v>633</v>
      </c>
      <c r="G15" s="56"/>
      <c r="H15" s="76" t="str">
        <f>Tabla410[[#This Row],[P1]] &amp; "|" &amp; $E$1 &amp; "|" &amp; Tabla410[[#This Row],[Sexo]] &amp; "|" &amp; Tabla410[[#This Row],[Entidad]]</f>
        <v>PI|Acoso sexual|Mujer|Hidalgo</v>
      </c>
      <c r="I15" s="77" t="str">
        <f>Tabla410[[#This Row],[P2]] &amp; "|" &amp; $E$1 &amp; "|" &amp; Tabla410[[#This Row],[Sexo]] &amp; "|" &amp; Tabla410[[#This Row],[Entidad]]</f>
        <v>PS|Acoso sexual|Mujer|Hidalgo</v>
      </c>
      <c r="J15" s="78">
        <f>VLOOKUP($E$1,Tabla5[[#All],[name]:[id_1]],2,FALSE)</f>
        <v>6</v>
      </c>
      <c r="K15" s="78">
        <f>VLOOKUP($B$1,Tabla6[[#All],[name]:[id_2]],2)</f>
        <v>18</v>
      </c>
      <c r="L15" s="78">
        <f>VLOOKUP(Tabla410[[#This Row],[Sexo]],Tabla8[[#All],[name]:[gender_id]],2,FALSE)</f>
        <v>1</v>
      </c>
      <c r="M15" s="78" t="str">
        <f>IF(LEN(Tabla410[[#This Row],[centros]])&gt;0,VLOOKUP(Tabla410[[#This Row],[centros]],Tabla2[[#All],[Centros]:[ID]],2,FALSE),"NULL")</f>
        <v>NULL</v>
      </c>
      <c r="N15" s="78">
        <f>VLOOKUP(Tabla410[[#This Row],[Entidad]],Tabla3[[#All],[name]:[ID_2]],2,FALSE)</f>
        <v>13</v>
      </c>
      <c r="O15" s="78">
        <f>IFERROR(VLOOKUP(Tabla410[[#This Row],[CLAVE PI]], Tabla10[], 10, FALSE), 0)</f>
        <v>0</v>
      </c>
      <c r="P15" s="79">
        <f>IFERROR(VLOOKUP(Tabla410[[#This Row],[CLAVE PS]], Tabla10[], 10, FALSE), 0)</f>
        <v>0</v>
      </c>
      <c r="Q15" s="30" t="str">
        <f t="shared" si="0"/>
        <v>INSERT INTO indicator_category_details (category_id, year_id, gender_id, center_id, state_id, PI, PS, status) VALUES (6, 18, 1, NULL, 13, 0, 0, 1);</v>
      </c>
    </row>
    <row r="16" spans="1:17" ht="15" customHeight="1" x14ac:dyDescent="0.25">
      <c r="A16" s="54"/>
      <c r="B16" s="64" t="s">
        <v>1046</v>
      </c>
      <c r="C16" s="39" t="s">
        <v>1050</v>
      </c>
      <c r="D16" s="29"/>
      <c r="E16" s="29" t="s">
        <v>1042</v>
      </c>
      <c r="F16" s="65" t="s">
        <v>647</v>
      </c>
      <c r="G16" s="56"/>
      <c r="H16" s="76" t="str">
        <f>Tabla410[[#This Row],[P1]] &amp; "|" &amp; $E$1 &amp; "|" &amp; Tabla410[[#This Row],[Sexo]] &amp; "|" &amp; Tabla410[[#This Row],[Entidad]]</f>
        <v>PI|Acoso sexual|Mujer|Jalisco</v>
      </c>
      <c r="I16" s="77" t="str">
        <f>Tabla410[[#This Row],[P2]] &amp; "|" &amp; $E$1 &amp; "|" &amp; Tabla410[[#This Row],[Sexo]] &amp; "|" &amp; Tabla410[[#This Row],[Entidad]]</f>
        <v>PS|Acoso sexual|Mujer|Jalisco</v>
      </c>
      <c r="J16" s="78">
        <f>VLOOKUP($E$1,Tabla5[[#All],[name]:[id_1]],2,FALSE)</f>
        <v>6</v>
      </c>
      <c r="K16" s="78">
        <f>VLOOKUP($B$1,Tabla6[[#All],[name]:[id_2]],2)</f>
        <v>18</v>
      </c>
      <c r="L16" s="78">
        <f>VLOOKUP(Tabla410[[#This Row],[Sexo]],Tabla8[[#All],[name]:[gender_id]],2,FALSE)</f>
        <v>1</v>
      </c>
      <c r="M16" s="78" t="str">
        <f>IF(LEN(Tabla410[[#This Row],[centros]])&gt;0,VLOOKUP(Tabla410[[#This Row],[centros]],Tabla2[[#All],[Centros]:[ID]],2,FALSE),"NULL")</f>
        <v>NULL</v>
      </c>
      <c r="N16" s="78">
        <f>VLOOKUP(Tabla410[[#This Row],[Entidad]],Tabla3[[#All],[name]:[ID_2]],2,FALSE)</f>
        <v>14</v>
      </c>
      <c r="O16" s="78">
        <f>IFERROR(VLOOKUP(Tabla410[[#This Row],[CLAVE PI]], Tabla10[], 10, FALSE), 0)</f>
        <v>0</v>
      </c>
      <c r="P16" s="79">
        <f>IFERROR(VLOOKUP(Tabla410[[#This Row],[CLAVE PS]], Tabla10[], 10, FALSE), 0)</f>
        <v>0</v>
      </c>
      <c r="Q16" s="30" t="str">
        <f t="shared" si="0"/>
        <v>INSERT INTO indicator_category_details (category_id, year_id, gender_id, center_id, state_id, PI, PS, status) VALUES (6, 18, 1, NULL, 14, 0, 0, 1);</v>
      </c>
    </row>
    <row r="17" spans="1:17" ht="15" customHeight="1" x14ac:dyDescent="0.25">
      <c r="A17" s="54"/>
      <c r="B17" s="64" t="s">
        <v>1046</v>
      </c>
      <c r="C17" s="39" t="s">
        <v>1050</v>
      </c>
      <c r="D17" s="29"/>
      <c r="E17" s="29" t="s">
        <v>1042</v>
      </c>
      <c r="F17" s="65" t="s">
        <v>662</v>
      </c>
      <c r="G17" s="56"/>
      <c r="H17" s="76" t="str">
        <f>Tabla410[[#This Row],[P1]] &amp; "|" &amp; $E$1 &amp; "|" &amp; Tabla410[[#This Row],[Sexo]] &amp; "|" &amp; Tabla410[[#This Row],[Entidad]]</f>
        <v>PI|Acoso sexual|Mujer|México</v>
      </c>
      <c r="I17" s="77" t="str">
        <f>Tabla410[[#This Row],[P2]] &amp; "|" &amp; $E$1 &amp; "|" &amp; Tabla410[[#This Row],[Sexo]] &amp; "|" &amp; Tabla410[[#This Row],[Entidad]]</f>
        <v>PS|Acoso sexual|Mujer|México</v>
      </c>
      <c r="J17" s="78">
        <f>VLOOKUP($E$1,Tabla5[[#All],[name]:[id_1]],2,FALSE)</f>
        <v>6</v>
      </c>
      <c r="K17" s="78">
        <f>VLOOKUP($B$1,Tabla6[[#All],[name]:[id_2]],2)</f>
        <v>18</v>
      </c>
      <c r="L17" s="78">
        <f>VLOOKUP(Tabla410[[#This Row],[Sexo]],Tabla8[[#All],[name]:[gender_id]],2,FALSE)</f>
        <v>1</v>
      </c>
      <c r="M17" s="78" t="str">
        <f>IF(LEN(Tabla410[[#This Row],[centros]])&gt;0,VLOOKUP(Tabla410[[#This Row],[centros]],Tabla2[[#All],[Centros]:[ID]],2,FALSE),"NULL")</f>
        <v>NULL</v>
      </c>
      <c r="N17" s="78">
        <f>VLOOKUP(Tabla410[[#This Row],[Entidad]],Tabla3[[#All],[name]:[ID_2]],2,FALSE)</f>
        <v>15</v>
      </c>
      <c r="O17" s="78">
        <f>IFERROR(VLOOKUP(Tabla410[[#This Row],[CLAVE PI]], Tabla10[], 10, FALSE), 0)</f>
        <v>0</v>
      </c>
      <c r="P17" s="79">
        <f>IFERROR(VLOOKUP(Tabla410[[#This Row],[CLAVE PS]], Tabla10[], 10, FALSE), 0)</f>
        <v>0</v>
      </c>
      <c r="Q17" s="30" t="str">
        <f t="shared" si="0"/>
        <v>INSERT INTO indicator_category_details (category_id, year_id, gender_id, center_id, state_id, PI, PS, status) VALUES (6, 18, 1, NULL, 15, 0, 0, 1);</v>
      </c>
    </row>
    <row r="18" spans="1:17" ht="15" customHeight="1" x14ac:dyDescent="0.25">
      <c r="A18" s="54"/>
      <c r="B18" s="64" t="s">
        <v>1046</v>
      </c>
      <c r="C18" s="39" t="s">
        <v>1050</v>
      </c>
      <c r="D18" s="29"/>
      <c r="E18" s="29" t="s">
        <v>1042</v>
      </c>
      <c r="F18" s="65" t="s">
        <v>685</v>
      </c>
      <c r="G18" s="56"/>
      <c r="H18" s="76" t="str">
        <f>Tabla410[[#This Row],[P1]] &amp; "|" &amp; $E$1 &amp; "|" &amp; Tabla410[[#This Row],[Sexo]] &amp; "|" &amp; Tabla410[[#This Row],[Entidad]]</f>
        <v>PI|Acoso sexual|Mujer|Michoacán de Ocampo</v>
      </c>
      <c r="I18" s="77" t="str">
        <f>Tabla410[[#This Row],[P2]] &amp; "|" &amp; $E$1 &amp; "|" &amp; Tabla410[[#This Row],[Sexo]] &amp; "|" &amp; Tabla410[[#This Row],[Entidad]]</f>
        <v>PS|Acoso sexual|Mujer|Michoacán de Ocampo</v>
      </c>
      <c r="J18" s="78">
        <f>VLOOKUP($E$1,Tabla5[[#All],[name]:[id_1]],2,FALSE)</f>
        <v>6</v>
      </c>
      <c r="K18" s="78">
        <f>VLOOKUP($B$1,Tabla6[[#All],[name]:[id_2]],2)</f>
        <v>18</v>
      </c>
      <c r="L18" s="78">
        <f>VLOOKUP(Tabla410[[#This Row],[Sexo]],Tabla8[[#All],[name]:[gender_id]],2,FALSE)</f>
        <v>1</v>
      </c>
      <c r="M18" s="78" t="str">
        <f>IF(LEN(Tabla410[[#This Row],[centros]])&gt;0,VLOOKUP(Tabla410[[#This Row],[centros]],Tabla2[[#All],[Centros]:[ID]],2,FALSE),"NULL")</f>
        <v>NULL</v>
      </c>
      <c r="N18" s="78">
        <f>VLOOKUP(Tabla410[[#This Row],[Entidad]],Tabla3[[#All],[name]:[ID_2]],2,FALSE)</f>
        <v>16</v>
      </c>
      <c r="O18" s="78">
        <f>IFERROR(VLOOKUP(Tabla410[[#This Row],[CLAVE PI]], Tabla10[], 10, FALSE), 0)</f>
        <v>0</v>
      </c>
      <c r="P18" s="79">
        <f>IFERROR(VLOOKUP(Tabla410[[#This Row],[CLAVE PS]], Tabla10[], 10, FALSE), 0)</f>
        <v>0</v>
      </c>
      <c r="Q18" s="30" t="str">
        <f t="shared" si="0"/>
        <v>INSERT INTO indicator_category_details (category_id, year_id, gender_id, center_id, state_id, PI, PS, status) VALUES (6, 18, 1, NULL, 16, 0, 0, 1);</v>
      </c>
    </row>
    <row r="19" spans="1:17" ht="15" customHeight="1" x14ac:dyDescent="0.25">
      <c r="A19" s="54"/>
      <c r="B19" s="64" t="s">
        <v>1046</v>
      </c>
      <c r="C19" s="39" t="s">
        <v>1050</v>
      </c>
      <c r="D19" s="29"/>
      <c r="E19" s="29" t="s">
        <v>1042</v>
      </c>
      <c r="F19" s="65" t="s">
        <v>698</v>
      </c>
      <c r="G19" s="56"/>
      <c r="H19" s="76" t="str">
        <f>Tabla410[[#This Row],[P1]] &amp; "|" &amp; $E$1 &amp; "|" &amp; Tabla410[[#This Row],[Sexo]] &amp; "|" &amp; Tabla410[[#This Row],[Entidad]]</f>
        <v>PI|Acoso sexual|Mujer|Morelos</v>
      </c>
      <c r="I19" s="77" t="str">
        <f>Tabla410[[#This Row],[P2]] &amp; "|" &amp; $E$1 &amp; "|" &amp; Tabla410[[#This Row],[Sexo]] &amp; "|" &amp; Tabla410[[#This Row],[Entidad]]</f>
        <v>PS|Acoso sexual|Mujer|Morelos</v>
      </c>
      <c r="J19" s="78">
        <f>VLOOKUP($E$1,Tabla5[[#All],[name]:[id_1]],2,FALSE)</f>
        <v>6</v>
      </c>
      <c r="K19" s="78">
        <f>VLOOKUP($B$1,Tabla6[[#All],[name]:[id_2]],2)</f>
        <v>18</v>
      </c>
      <c r="L19" s="78">
        <f>VLOOKUP(Tabla410[[#This Row],[Sexo]],Tabla8[[#All],[name]:[gender_id]],2,FALSE)</f>
        <v>1</v>
      </c>
      <c r="M19" s="78" t="str">
        <f>IF(LEN(Tabla410[[#This Row],[centros]])&gt;0,VLOOKUP(Tabla410[[#This Row],[centros]],Tabla2[[#All],[Centros]:[ID]],2,FALSE),"NULL")</f>
        <v>NULL</v>
      </c>
      <c r="N19" s="78">
        <f>VLOOKUP(Tabla410[[#This Row],[Entidad]],Tabla3[[#All],[name]:[ID_2]],2,FALSE)</f>
        <v>17</v>
      </c>
      <c r="O19" s="78">
        <f>IFERROR(VLOOKUP(Tabla410[[#This Row],[CLAVE PI]], Tabla10[], 10, FALSE), 0)</f>
        <v>0</v>
      </c>
      <c r="P19" s="79">
        <f>IFERROR(VLOOKUP(Tabla410[[#This Row],[CLAVE PS]], Tabla10[], 10, FALSE), 0)</f>
        <v>0</v>
      </c>
      <c r="Q19" s="30" t="str">
        <f t="shared" si="0"/>
        <v>INSERT INTO indicator_category_details (category_id, year_id, gender_id, center_id, state_id, PI, PS, status) VALUES (6, 18, 1, NULL, 17, 0, 0, 1);</v>
      </c>
    </row>
    <row r="20" spans="1:17" ht="15" customHeight="1" x14ac:dyDescent="0.25">
      <c r="A20" s="54"/>
      <c r="B20" s="64" t="s">
        <v>1046</v>
      </c>
      <c r="C20" s="39" t="s">
        <v>1050</v>
      </c>
      <c r="D20" s="29"/>
      <c r="E20" s="29" t="s">
        <v>1042</v>
      </c>
      <c r="F20" s="65" t="s">
        <v>705</v>
      </c>
      <c r="G20" s="56"/>
      <c r="H20" s="76" t="str">
        <f>Tabla410[[#This Row],[P1]] &amp; "|" &amp; $E$1 &amp; "|" &amp; Tabla410[[#This Row],[Sexo]] &amp; "|" &amp; Tabla410[[#This Row],[Entidad]]</f>
        <v>PI|Acoso sexual|Mujer|Nayarit</v>
      </c>
      <c r="I20" s="77" t="str">
        <f>Tabla410[[#This Row],[P2]] &amp; "|" &amp; $E$1 &amp; "|" &amp; Tabla410[[#This Row],[Sexo]] &amp; "|" &amp; Tabla410[[#This Row],[Entidad]]</f>
        <v>PS|Acoso sexual|Mujer|Nayarit</v>
      </c>
      <c r="J20" s="78">
        <f>VLOOKUP($E$1,Tabla5[[#All],[name]:[id_1]],2,FALSE)</f>
        <v>6</v>
      </c>
      <c r="K20" s="78">
        <f>VLOOKUP($B$1,Tabla6[[#All],[name]:[id_2]],2)</f>
        <v>18</v>
      </c>
      <c r="L20" s="78">
        <f>VLOOKUP(Tabla410[[#This Row],[Sexo]],Tabla8[[#All],[name]:[gender_id]],2,FALSE)</f>
        <v>1</v>
      </c>
      <c r="M20" s="78" t="str">
        <f>IF(LEN(Tabla410[[#This Row],[centros]])&gt;0,VLOOKUP(Tabla410[[#This Row],[centros]],Tabla2[[#All],[Centros]:[ID]],2,FALSE),"NULL")</f>
        <v>NULL</v>
      </c>
      <c r="N20" s="78">
        <f>VLOOKUP(Tabla410[[#This Row],[Entidad]],Tabla3[[#All],[name]:[ID_2]],2,FALSE)</f>
        <v>18</v>
      </c>
      <c r="O20" s="78">
        <f>IFERROR(VLOOKUP(Tabla410[[#This Row],[CLAVE PI]], Tabla10[], 10, FALSE), 0)</f>
        <v>0</v>
      </c>
      <c r="P20" s="79">
        <f>IFERROR(VLOOKUP(Tabla410[[#This Row],[CLAVE PS]], Tabla10[], 10, FALSE), 0)</f>
        <v>0</v>
      </c>
      <c r="Q20" s="30" t="str">
        <f t="shared" si="0"/>
        <v>INSERT INTO indicator_category_details (category_id, year_id, gender_id, center_id, state_id, PI, PS, status) VALUES (6, 18, 1, NULL, 18, 0, 0, 1);</v>
      </c>
    </row>
    <row r="21" spans="1:17" ht="15" customHeight="1" x14ac:dyDescent="0.25">
      <c r="A21" s="54"/>
      <c r="B21" s="64" t="s">
        <v>1046</v>
      </c>
      <c r="C21" s="39" t="s">
        <v>1050</v>
      </c>
      <c r="D21" s="29"/>
      <c r="E21" s="29" t="s">
        <v>1042</v>
      </c>
      <c r="F21" s="66" t="s">
        <v>710</v>
      </c>
      <c r="G21" s="57"/>
      <c r="H21" s="80" t="str">
        <f>Tabla410[[#This Row],[P1]] &amp; "|" &amp; $E$1 &amp; "|" &amp; Tabla410[[#This Row],[Sexo]] &amp; "|" &amp; Tabla410[[#This Row],[Entidad]]</f>
        <v>PI|Acoso sexual|Mujer|Nuevo León</v>
      </c>
      <c r="I21" s="81" t="str">
        <f>Tabla410[[#This Row],[P2]] &amp; "|" &amp; $E$1 &amp; "|" &amp; Tabla410[[#This Row],[Sexo]] &amp; "|" &amp; Tabla410[[#This Row],[Entidad]]</f>
        <v>PS|Acoso sexual|Mujer|Nuevo León</v>
      </c>
      <c r="J21" s="82">
        <f>VLOOKUP($E$1,Tabla5[[#All],[name]:[id_1]],2,FALSE)</f>
        <v>6</v>
      </c>
      <c r="K21" s="82">
        <f>VLOOKUP($B$1,Tabla6[[#All],[name]:[id_2]],2)</f>
        <v>18</v>
      </c>
      <c r="L21" s="82">
        <f>VLOOKUP(Tabla410[[#This Row],[Sexo]],Tabla8[[#All],[name]:[gender_id]],2,FALSE)</f>
        <v>1</v>
      </c>
      <c r="M21" s="82" t="str">
        <f>IF(LEN(Tabla410[[#This Row],[centros]])&gt;0,VLOOKUP(Tabla410[[#This Row],[centros]],Tabla2[[#All],[Centros]:[ID]],2,FALSE),"NULL")</f>
        <v>NULL</v>
      </c>
      <c r="N21" s="82">
        <f>VLOOKUP(Tabla410[[#This Row],[Entidad]],Tabla3[[#All],[name]:[ID_2]],2,FALSE)</f>
        <v>19</v>
      </c>
      <c r="O21" s="78">
        <f>IFERROR(VLOOKUP(Tabla410[[#This Row],[CLAVE PI]], Tabla10[], 10, FALSE), 0)</f>
        <v>0</v>
      </c>
      <c r="P21" s="79">
        <f>IFERROR(VLOOKUP(Tabla410[[#This Row],[CLAVE PS]], Tabla10[], 10, FALSE), 0)</f>
        <v>0</v>
      </c>
      <c r="Q21" s="31" t="str">
        <f t="shared" si="0"/>
        <v>INSERT INTO indicator_category_details (category_id, year_id, gender_id, center_id, state_id, PI, PS, status) VALUES (6, 18, 1, NULL, 19, 0, 0, 1);</v>
      </c>
    </row>
    <row r="22" spans="1:17" ht="15" customHeight="1" x14ac:dyDescent="0.25">
      <c r="A22" s="54"/>
      <c r="B22" s="64" t="s">
        <v>1046</v>
      </c>
      <c r="C22" s="39" t="s">
        <v>1050</v>
      </c>
      <c r="D22" s="29"/>
      <c r="E22" s="29" t="s">
        <v>1042</v>
      </c>
      <c r="F22" s="65" t="s">
        <v>716</v>
      </c>
      <c r="G22" s="56"/>
      <c r="H22" s="76" t="str">
        <f>Tabla410[[#This Row],[P1]] &amp; "|" &amp; $E$1 &amp; "|" &amp; Tabla410[[#This Row],[Sexo]] &amp; "|" &amp; Tabla410[[#This Row],[Entidad]]</f>
        <v>PI|Acoso sexual|Mujer|Oaxaca</v>
      </c>
      <c r="I22" s="77" t="str">
        <f>Tabla410[[#This Row],[P2]] &amp; "|" &amp; $E$1 &amp; "|" &amp; Tabla410[[#This Row],[Sexo]] &amp; "|" &amp; Tabla410[[#This Row],[Entidad]]</f>
        <v>PS|Acoso sexual|Mujer|Oaxaca</v>
      </c>
      <c r="J22" s="78">
        <f>VLOOKUP($E$1,Tabla5[[#All],[name]:[id_1]],2,FALSE)</f>
        <v>6</v>
      </c>
      <c r="K22" s="78">
        <f>VLOOKUP($B$1,Tabla6[[#All],[name]:[id_2]],2)</f>
        <v>18</v>
      </c>
      <c r="L22" s="78">
        <f>VLOOKUP(Tabla410[[#This Row],[Sexo]],Tabla8[[#All],[name]:[gender_id]],2,FALSE)</f>
        <v>1</v>
      </c>
      <c r="M22" s="78" t="str">
        <f>IF(LEN(Tabla410[[#This Row],[centros]])&gt;0,VLOOKUP(Tabla410[[#This Row],[centros]],Tabla2[[#All],[Centros]:[ID]],2,FALSE),"NULL")</f>
        <v>NULL</v>
      </c>
      <c r="N22" s="78">
        <f>VLOOKUP(Tabla410[[#This Row],[Entidad]],Tabla3[[#All],[name]:[ID_2]],2,FALSE)</f>
        <v>20</v>
      </c>
      <c r="O22" s="78">
        <f>IFERROR(VLOOKUP(Tabla410[[#This Row],[CLAVE PI]], Tabla10[], 10, FALSE), 0)</f>
        <v>0</v>
      </c>
      <c r="P22" s="79">
        <f>IFERROR(VLOOKUP(Tabla410[[#This Row],[CLAVE PS]], Tabla10[], 10, FALSE), 0)</f>
        <v>0</v>
      </c>
      <c r="Q22" s="30" t="str">
        <f t="shared" si="0"/>
        <v>INSERT INTO indicator_category_details (category_id, year_id, gender_id, center_id, state_id, PI, PS, status) VALUES (6, 18, 1, NULL, 20, 0, 0, 1);</v>
      </c>
    </row>
    <row r="23" spans="1:17" ht="15" customHeight="1" x14ac:dyDescent="0.25">
      <c r="A23" s="54"/>
      <c r="B23" s="64" t="s">
        <v>1046</v>
      </c>
      <c r="C23" s="39" t="s">
        <v>1050</v>
      </c>
      <c r="D23" s="29"/>
      <c r="E23" s="29" t="s">
        <v>1042</v>
      </c>
      <c r="F23" s="65" t="s">
        <v>727</v>
      </c>
      <c r="G23" s="56"/>
      <c r="H23" s="76" t="str">
        <f>Tabla410[[#This Row],[P1]] &amp; "|" &amp; $E$1 &amp; "|" &amp; Tabla410[[#This Row],[Sexo]] &amp; "|" &amp; Tabla410[[#This Row],[Entidad]]</f>
        <v>PI|Acoso sexual|Mujer|Puebla</v>
      </c>
      <c r="I23" s="77" t="str">
        <f>Tabla410[[#This Row],[P2]] &amp; "|" &amp; $E$1 &amp; "|" &amp; Tabla410[[#This Row],[Sexo]] &amp; "|" &amp; Tabla410[[#This Row],[Entidad]]</f>
        <v>PS|Acoso sexual|Mujer|Puebla</v>
      </c>
      <c r="J23" s="78">
        <f>VLOOKUP($E$1,Tabla5[[#All],[name]:[id_1]],2,FALSE)</f>
        <v>6</v>
      </c>
      <c r="K23" s="78">
        <f>VLOOKUP($B$1,Tabla6[[#All],[name]:[id_2]],2)</f>
        <v>18</v>
      </c>
      <c r="L23" s="78">
        <f>VLOOKUP(Tabla410[[#This Row],[Sexo]],Tabla8[[#All],[name]:[gender_id]],2,FALSE)</f>
        <v>1</v>
      </c>
      <c r="M23" s="78" t="str">
        <f>IF(LEN(Tabla410[[#This Row],[centros]])&gt;0,VLOOKUP(Tabla410[[#This Row],[centros]],Tabla2[[#All],[Centros]:[ID]],2,FALSE),"NULL")</f>
        <v>NULL</v>
      </c>
      <c r="N23" s="78">
        <f>VLOOKUP(Tabla410[[#This Row],[Entidad]],Tabla3[[#All],[name]:[ID_2]],2,FALSE)</f>
        <v>21</v>
      </c>
      <c r="O23" s="78">
        <f>IFERROR(VLOOKUP(Tabla410[[#This Row],[CLAVE PI]], Tabla10[], 10, FALSE), 0)</f>
        <v>0</v>
      </c>
      <c r="P23" s="79">
        <f>IFERROR(VLOOKUP(Tabla410[[#This Row],[CLAVE PS]], Tabla10[], 10, FALSE), 0)</f>
        <v>0</v>
      </c>
      <c r="Q23" s="30" t="str">
        <f t="shared" si="0"/>
        <v>INSERT INTO indicator_category_details (category_id, year_id, gender_id, center_id, state_id, PI, PS, status) VALUES (6, 18, 1, NULL, 21, 0, 0, 1);</v>
      </c>
    </row>
    <row r="24" spans="1:17" ht="15" customHeight="1" x14ac:dyDescent="0.25">
      <c r="A24" s="54"/>
      <c r="B24" s="64" t="s">
        <v>1046</v>
      </c>
      <c r="C24" s="39" t="s">
        <v>1050</v>
      </c>
      <c r="D24" s="29"/>
      <c r="E24" s="29" t="s">
        <v>1042</v>
      </c>
      <c r="F24" s="65" t="s">
        <v>731</v>
      </c>
      <c r="G24" s="56"/>
      <c r="H24" s="76" t="str">
        <f>Tabla410[[#This Row],[P1]] &amp; "|" &amp; $E$1 &amp; "|" &amp; Tabla410[[#This Row],[Sexo]] &amp; "|" &amp; Tabla410[[#This Row],[Entidad]]</f>
        <v>PI|Acoso sexual|Mujer|Querétaro</v>
      </c>
      <c r="I24" s="77" t="str">
        <f>Tabla410[[#This Row],[P2]] &amp; "|" &amp; $E$1 &amp; "|" &amp; Tabla410[[#This Row],[Sexo]] &amp; "|" &amp; Tabla410[[#This Row],[Entidad]]</f>
        <v>PS|Acoso sexual|Mujer|Querétaro</v>
      </c>
      <c r="J24" s="78">
        <f>VLOOKUP($E$1,Tabla5[[#All],[name]:[id_1]],2,FALSE)</f>
        <v>6</v>
      </c>
      <c r="K24" s="78">
        <f>VLOOKUP($B$1,Tabla6[[#All],[name]:[id_2]],2)</f>
        <v>18</v>
      </c>
      <c r="L24" s="78">
        <f>VLOOKUP(Tabla410[[#This Row],[Sexo]],Tabla8[[#All],[name]:[gender_id]],2,FALSE)</f>
        <v>1</v>
      </c>
      <c r="M24" s="78" t="str">
        <f>IF(LEN(Tabla410[[#This Row],[centros]])&gt;0,VLOOKUP(Tabla410[[#This Row],[centros]],Tabla2[[#All],[Centros]:[ID]],2,FALSE),"NULL")</f>
        <v>NULL</v>
      </c>
      <c r="N24" s="78">
        <f>VLOOKUP(Tabla410[[#This Row],[Entidad]],Tabla3[[#All],[name]:[ID_2]],2,FALSE)</f>
        <v>22</v>
      </c>
      <c r="O24" s="78">
        <f>IFERROR(VLOOKUP(Tabla410[[#This Row],[CLAVE PI]], Tabla10[], 10, FALSE), 0)</f>
        <v>0</v>
      </c>
      <c r="P24" s="79">
        <f>IFERROR(VLOOKUP(Tabla410[[#This Row],[CLAVE PS]], Tabla10[], 10, FALSE), 0)</f>
        <v>0</v>
      </c>
      <c r="Q24" s="30" t="str">
        <f t="shared" si="0"/>
        <v>INSERT INTO indicator_category_details (category_id, year_id, gender_id, center_id, state_id, PI, PS, status) VALUES (6, 18, 1, NULL, 22, 0, 0, 1);</v>
      </c>
    </row>
    <row r="25" spans="1:17" ht="15" customHeight="1" x14ac:dyDescent="0.25">
      <c r="A25" s="54"/>
      <c r="B25" s="64" t="s">
        <v>1046</v>
      </c>
      <c r="C25" s="39" t="s">
        <v>1050</v>
      </c>
      <c r="D25" s="29"/>
      <c r="E25" s="29" t="s">
        <v>1042</v>
      </c>
      <c r="F25" s="65" t="s">
        <v>737</v>
      </c>
      <c r="G25" s="56"/>
      <c r="H25" s="76" t="str">
        <f>Tabla410[[#This Row],[P1]] &amp; "|" &amp; $E$1 &amp; "|" &amp; Tabla410[[#This Row],[Sexo]] &amp; "|" &amp; Tabla410[[#This Row],[Entidad]]</f>
        <v>PI|Acoso sexual|Mujer|Quintana Roo</v>
      </c>
      <c r="I25" s="77" t="str">
        <f>Tabla410[[#This Row],[P2]] &amp; "|" &amp; $E$1 &amp; "|" &amp; Tabla410[[#This Row],[Sexo]] &amp; "|" &amp; Tabla410[[#This Row],[Entidad]]</f>
        <v>PS|Acoso sexual|Mujer|Quintana Roo</v>
      </c>
      <c r="J25" s="78">
        <f>VLOOKUP($E$1,Tabla5[[#All],[name]:[id_1]],2,FALSE)</f>
        <v>6</v>
      </c>
      <c r="K25" s="78">
        <f>VLOOKUP($B$1,Tabla6[[#All],[name]:[id_2]],2)</f>
        <v>18</v>
      </c>
      <c r="L25" s="78">
        <f>VLOOKUP(Tabla410[[#This Row],[Sexo]],Tabla8[[#All],[name]:[gender_id]],2,FALSE)</f>
        <v>1</v>
      </c>
      <c r="M25" s="78" t="str">
        <f>IF(LEN(Tabla410[[#This Row],[centros]])&gt;0,VLOOKUP(Tabla410[[#This Row],[centros]],Tabla2[[#All],[Centros]:[ID]],2,FALSE),"NULL")</f>
        <v>NULL</v>
      </c>
      <c r="N25" s="78">
        <f>VLOOKUP(Tabla410[[#This Row],[Entidad]],Tabla3[[#All],[name]:[ID_2]],2,FALSE)</f>
        <v>23</v>
      </c>
      <c r="O25" s="78">
        <f>IFERROR(VLOOKUP(Tabla410[[#This Row],[CLAVE PI]], Tabla10[], 10, FALSE), 0)</f>
        <v>0</v>
      </c>
      <c r="P25" s="79">
        <f>IFERROR(VLOOKUP(Tabla410[[#This Row],[CLAVE PS]], Tabla10[], 10, FALSE), 0)</f>
        <v>0</v>
      </c>
      <c r="Q25" s="30" t="str">
        <f t="shared" si="0"/>
        <v>INSERT INTO indicator_category_details (category_id, year_id, gender_id, center_id, state_id, PI, PS, status) VALUES (6, 18, 1, NULL, 23, 0, 0, 1);</v>
      </c>
    </row>
    <row r="26" spans="1:17" ht="15" customHeight="1" x14ac:dyDescent="0.25">
      <c r="A26" s="54"/>
      <c r="B26" s="64" t="s">
        <v>1046</v>
      </c>
      <c r="C26" s="39" t="s">
        <v>1050</v>
      </c>
      <c r="D26" s="29"/>
      <c r="E26" s="29" t="s">
        <v>1042</v>
      </c>
      <c r="F26" s="65" t="s">
        <v>741</v>
      </c>
      <c r="G26" s="56"/>
      <c r="H26" s="76" t="str">
        <f>Tabla410[[#This Row],[P1]] &amp; "|" &amp; $E$1 &amp; "|" &amp; Tabla410[[#This Row],[Sexo]] &amp; "|" &amp; Tabla410[[#This Row],[Entidad]]</f>
        <v>PI|Acoso sexual|Mujer|San Luis Potosí</v>
      </c>
      <c r="I26" s="77" t="str">
        <f>Tabla410[[#This Row],[P2]] &amp; "|" &amp; $E$1 &amp; "|" &amp; Tabla410[[#This Row],[Sexo]] &amp; "|" &amp; Tabla410[[#This Row],[Entidad]]</f>
        <v>PS|Acoso sexual|Mujer|San Luis Potosí</v>
      </c>
      <c r="J26" s="78">
        <f>VLOOKUP($E$1,Tabla5[[#All],[name]:[id_1]],2,FALSE)</f>
        <v>6</v>
      </c>
      <c r="K26" s="78">
        <f>VLOOKUP($B$1,Tabla6[[#All],[name]:[id_2]],2)</f>
        <v>18</v>
      </c>
      <c r="L26" s="78">
        <f>VLOOKUP(Tabla410[[#This Row],[Sexo]],Tabla8[[#All],[name]:[gender_id]],2,FALSE)</f>
        <v>1</v>
      </c>
      <c r="M26" s="78" t="str">
        <f>IF(LEN(Tabla410[[#This Row],[centros]])&gt;0,VLOOKUP(Tabla410[[#This Row],[centros]],Tabla2[[#All],[Centros]:[ID]],2,FALSE),"NULL")</f>
        <v>NULL</v>
      </c>
      <c r="N26" s="78">
        <f>VLOOKUP(Tabla410[[#This Row],[Entidad]],Tabla3[[#All],[name]:[ID_2]],2,FALSE)</f>
        <v>24</v>
      </c>
      <c r="O26" s="78">
        <f>IFERROR(VLOOKUP(Tabla410[[#This Row],[CLAVE PI]], Tabla10[], 10, FALSE), 0)</f>
        <v>0</v>
      </c>
      <c r="P26" s="79">
        <f>IFERROR(VLOOKUP(Tabla410[[#This Row],[CLAVE PS]], Tabla10[], 10, FALSE), 0)</f>
        <v>0</v>
      </c>
      <c r="Q26" s="30" t="str">
        <f t="shared" si="0"/>
        <v>INSERT INTO indicator_category_details (category_id, year_id, gender_id, center_id, state_id, PI, PS, status) VALUES (6, 18, 1, NULL, 24, 0, 0, 1);</v>
      </c>
    </row>
    <row r="27" spans="1:17" ht="15" customHeight="1" x14ac:dyDescent="0.25">
      <c r="A27" s="54"/>
      <c r="B27" s="64" t="s">
        <v>1046</v>
      </c>
      <c r="C27" s="39" t="s">
        <v>1050</v>
      </c>
      <c r="D27" s="29"/>
      <c r="E27" s="29" t="s">
        <v>1042</v>
      </c>
      <c r="F27" s="65" t="s">
        <v>749</v>
      </c>
      <c r="G27" s="56"/>
      <c r="H27" s="76" t="str">
        <f>Tabla410[[#This Row],[P1]] &amp; "|" &amp; $E$1 &amp; "|" &amp; Tabla410[[#This Row],[Sexo]] &amp; "|" &amp; Tabla410[[#This Row],[Entidad]]</f>
        <v>PI|Acoso sexual|Mujer|Sinaloa</v>
      </c>
      <c r="I27" s="77" t="str">
        <f>Tabla410[[#This Row],[P2]] &amp; "|" &amp; $E$1 &amp; "|" &amp; Tabla410[[#This Row],[Sexo]] &amp; "|" &amp; Tabla410[[#This Row],[Entidad]]</f>
        <v>PS|Acoso sexual|Mujer|Sinaloa</v>
      </c>
      <c r="J27" s="78">
        <f>VLOOKUP($E$1,Tabla5[[#All],[name]:[id_1]],2,FALSE)</f>
        <v>6</v>
      </c>
      <c r="K27" s="78">
        <f>VLOOKUP($B$1,Tabla6[[#All],[name]:[id_2]],2)</f>
        <v>18</v>
      </c>
      <c r="L27" s="78">
        <f>VLOOKUP(Tabla410[[#This Row],[Sexo]],Tabla8[[#All],[name]:[gender_id]],2,FALSE)</f>
        <v>1</v>
      </c>
      <c r="M27" s="78" t="str">
        <f>IF(LEN(Tabla410[[#This Row],[centros]])&gt;0,VLOOKUP(Tabla410[[#This Row],[centros]],Tabla2[[#All],[Centros]:[ID]],2,FALSE),"NULL")</f>
        <v>NULL</v>
      </c>
      <c r="N27" s="78">
        <f>VLOOKUP(Tabla410[[#This Row],[Entidad]],Tabla3[[#All],[name]:[ID_2]],2,FALSE)</f>
        <v>25</v>
      </c>
      <c r="O27" s="78">
        <f>IFERROR(VLOOKUP(Tabla410[[#This Row],[CLAVE PI]], Tabla10[], 10, FALSE), 0)</f>
        <v>0</v>
      </c>
      <c r="P27" s="79">
        <f>IFERROR(VLOOKUP(Tabla410[[#This Row],[CLAVE PS]], Tabla10[], 10, FALSE), 0)</f>
        <v>0</v>
      </c>
      <c r="Q27" s="30" t="str">
        <f t="shared" si="0"/>
        <v>INSERT INTO indicator_category_details (category_id, year_id, gender_id, center_id, state_id, PI, PS, status) VALUES (6, 18, 1, NULL, 25, 0, 0, 1);</v>
      </c>
    </row>
    <row r="28" spans="1:17" ht="15" customHeight="1" x14ac:dyDescent="0.25">
      <c r="A28" s="54"/>
      <c r="B28" s="64" t="s">
        <v>1046</v>
      </c>
      <c r="C28" s="39" t="s">
        <v>1050</v>
      </c>
      <c r="D28" s="29"/>
      <c r="E28" s="29" t="s">
        <v>1042</v>
      </c>
      <c r="F28" s="65" t="s">
        <v>755</v>
      </c>
      <c r="G28" s="56"/>
      <c r="H28" s="76" t="str">
        <f>Tabla410[[#This Row],[P1]] &amp; "|" &amp; $E$1 &amp; "|" &amp; Tabla410[[#This Row],[Sexo]] &amp; "|" &amp; Tabla410[[#This Row],[Entidad]]</f>
        <v>PI|Acoso sexual|Mujer|Sonora</v>
      </c>
      <c r="I28" s="77" t="str">
        <f>Tabla410[[#This Row],[P2]] &amp; "|" &amp; $E$1 &amp; "|" &amp; Tabla410[[#This Row],[Sexo]] &amp; "|" &amp; Tabla410[[#This Row],[Entidad]]</f>
        <v>PS|Acoso sexual|Mujer|Sonora</v>
      </c>
      <c r="J28" s="78">
        <f>VLOOKUP($E$1,Tabla5[[#All],[name]:[id_1]],2,FALSE)</f>
        <v>6</v>
      </c>
      <c r="K28" s="78">
        <f>VLOOKUP($B$1,Tabla6[[#All],[name]:[id_2]],2)</f>
        <v>18</v>
      </c>
      <c r="L28" s="78">
        <f>VLOOKUP(Tabla410[[#This Row],[Sexo]],Tabla8[[#All],[name]:[gender_id]],2,FALSE)</f>
        <v>1</v>
      </c>
      <c r="M28" s="78" t="str">
        <f>IF(LEN(Tabla410[[#This Row],[centros]])&gt;0,VLOOKUP(Tabla410[[#This Row],[centros]],Tabla2[[#All],[Centros]:[ID]],2,FALSE),"NULL")</f>
        <v>NULL</v>
      </c>
      <c r="N28" s="78">
        <f>VLOOKUP(Tabla410[[#This Row],[Entidad]],Tabla3[[#All],[name]:[ID_2]],2,FALSE)</f>
        <v>26</v>
      </c>
      <c r="O28" s="78">
        <f>IFERROR(VLOOKUP(Tabla410[[#This Row],[CLAVE PI]], Tabla10[], 10, FALSE), 0)</f>
        <v>0</v>
      </c>
      <c r="P28" s="79">
        <f>IFERROR(VLOOKUP(Tabla410[[#This Row],[CLAVE PS]], Tabla10[], 10, FALSE), 0)</f>
        <v>0</v>
      </c>
      <c r="Q28" s="30" t="str">
        <f t="shared" si="0"/>
        <v>INSERT INTO indicator_category_details (category_id, year_id, gender_id, center_id, state_id, PI, PS, status) VALUES (6, 18, 1, NULL, 26, 0, 0, 1);</v>
      </c>
    </row>
    <row r="29" spans="1:17" ht="15" customHeight="1" x14ac:dyDescent="0.25">
      <c r="A29" s="54"/>
      <c r="B29" s="64" t="s">
        <v>1046</v>
      </c>
      <c r="C29" s="39" t="s">
        <v>1050</v>
      </c>
      <c r="D29" s="29"/>
      <c r="E29" s="29" t="s">
        <v>1042</v>
      </c>
      <c r="F29" s="65" t="s">
        <v>775</v>
      </c>
      <c r="G29" s="56"/>
      <c r="H29" s="76" t="str">
        <f>Tabla410[[#This Row],[P1]] &amp; "|" &amp; $E$1 &amp; "|" &amp; Tabla410[[#This Row],[Sexo]] &amp; "|" &amp; Tabla410[[#This Row],[Entidad]]</f>
        <v>PI|Acoso sexual|Mujer|Tabasco</v>
      </c>
      <c r="I29" s="77" t="str">
        <f>Tabla410[[#This Row],[P2]] &amp; "|" &amp; $E$1 &amp; "|" &amp; Tabla410[[#This Row],[Sexo]] &amp; "|" &amp; Tabla410[[#This Row],[Entidad]]</f>
        <v>PS|Acoso sexual|Mujer|Tabasco</v>
      </c>
      <c r="J29" s="78">
        <f>VLOOKUP($E$1,Tabla5[[#All],[name]:[id_1]],2,FALSE)</f>
        <v>6</v>
      </c>
      <c r="K29" s="78">
        <f>VLOOKUP($B$1,Tabla6[[#All],[name]:[id_2]],2)</f>
        <v>18</v>
      </c>
      <c r="L29" s="78">
        <f>VLOOKUP(Tabla410[[#This Row],[Sexo]],Tabla8[[#All],[name]:[gender_id]],2,FALSE)</f>
        <v>1</v>
      </c>
      <c r="M29" s="78" t="str">
        <f>IF(LEN(Tabla410[[#This Row],[centros]])&gt;0,VLOOKUP(Tabla410[[#This Row],[centros]],Tabla2[[#All],[Centros]:[ID]],2,FALSE),"NULL")</f>
        <v>NULL</v>
      </c>
      <c r="N29" s="78">
        <f>VLOOKUP(Tabla410[[#This Row],[Entidad]],Tabla3[[#All],[name]:[ID_2]],2,FALSE)</f>
        <v>27</v>
      </c>
      <c r="O29" s="78">
        <f>IFERROR(VLOOKUP(Tabla410[[#This Row],[CLAVE PI]], Tabla10[], 10, FALSE), 0)</f>
        <v>0</v>
      </c>
      <c r="P29" s="79">
        <f>IFERROR(VLOOKUP(Tabla410[[#This Row],[CLAVE PS]], Tabla10[], 10, FALSE), 0)</f>
        <v>0</v>
      </c>
      <c r="Q29" s="30" t="str">
        <f t="shared" si="0"/>
        <v>INSERT INTO indicator_category_details (category_id, year_id, gender_id, center_id, state_id, PI, PS, status) VALUES (6, 18, 1, NULL, 27, 0, 0, 1);</v>
      </c>
    </row>
    <row r="30" spans="1:17" ht="15" customHeight="1" x14ac:dyDescent="0.25">
      <c r="A30" s="54"/>
      <c r="B30" s="64" t="s">
        <v>1046</v>
      </c>
      <c r="C30" s="39" t="s">
        <v>1050</v>
      </c>
      <c r="D30" s="29"/>
      <c r="E30" s="29" t="s">
        <v>1042</v>
      </c>
      <c r="F30" s="65" t="s">
        <v>785</v>
      </c>
      <c r="G30" s="56"/>
      <c r="H30" s="76" t="str">
        <f>Tabla410[[#This Row],[P1]] &amp; "|" &amp; $E$1 &amp; "|" &amp; Tabla410[[#This Row],[Sexo]] &amp; "|" &amp; Tabla410[[#This Row],[Entidad]]</f>
        <v>PI|Acoso sexual|Mujer|Tamaulipas</v>
      </c>
      <c r="I30" s="77" t="str">
        <f>Tabla410[[#This Row],[P2]] &amp; "|" &amp; $E$1 &amp; "|" &amp; Tabla410[[#This Row],[Sexo]] &amp; "|" &amp; Tabla410[[#This Row],[Entidad]]</f>
        <v>PS|Acoso sexual|Mujer|Tamaulipas</v>
      </c>
      <c r="J30" s="78">
        <f>VLOOKUP($E$1,Tabla5[[#All],[name]:[id_1]],2,FALSE)</f>
        <v>6</v>
      </c>
      <c r="K30" s="78">
        <f>VLOOKUP($B$1,Tabla6[[#All],[name]:[id_2]],2)</f>
        <v>18</v>
      </c>
      <c r="L30" s="78">
        <f>VLOOKUP(Tabla410[[#This Row],[Sexo]],Tabla8[[#All],[name]:[gender_id]],2,FALSE)</f>
        <v>1</v>
      </c>
      <c r="M30" s="78" t="str">
        <f>IF(LEN(Tabla410[[#This Row],[centros]])&gt;0,VLOOKUP(Tabla410[[#This Row],[centros]],Tabla2[[#All],[Centros]:[ID]],2,FALSE),"NULL")</f>
        <v>NULL</v>
      </c>
      <c r="N30" s="78">
        <f>VLOOKUP(Tabla410[[#This Row],[Entidad]],Tabla3[[#All],[name]:[ID_2]],2,FALSE)</f>
        <v>28</v>
      </c>
      <c r="O30" s="78">
        <f>IFERROR(VLOOKUP(Tabla410[[#This Row],[CLAVE PI]], Tabla10[], 10, FALSE), 0)</f>
        <v>0</v>
      </c>
      <c r="P30" s="79">
        <f>IFERROR(VLOOKUP(Tabla410[[#This Row],[CLAVE PS]], Tabla10[], 10, FALSE), 0)</f>
        <v>0</v>
      </c>
      <c r="Q30" s="30" t="str">
        <f t="shared" si="0"/>
        <v>INSERT INTO indicator_category_details (category_id, year_id, gender_id, center_id, state_id, PI, PS, status) VALUES (6, 18, 1, NULL, 28, 0, 0, 1);</v>
      </c>
    </row>
    <row r="31" spans="1:17" ht="15" customHeight="1" x14ac:dyDescent="0.25">
      <c r="A31" s="54"/>
      <c r="B31" s="64" t="s">
        <v>1046</v>
      </c>
      <c r="C31" s="39" t="s">
        <v>1050</v>
      </c>
      <c r="D31" s="29"/>
      <c r="E31" s="29" t="s">
        <v>1042</v>
      </c>
      <c r="F31" s="65" t="s">
        <v>797</v>
      </c>
      <c r="G31" s="56"/>
      <c r="H31" s="76" t="str">
        <f>Tabla410[[#This Row],[P1]] &amp; "|" &amp; $E$1 &amp; "|" &amp; Tabla410[[#This Row],[Sexo]] &amp; "|" &amp; Tabla410[[#This Row],[Entidad]]</f>
        <v>PI|Acoso sexual|Mujer|Tlaxcala</v>
      </c>
      <c r="I31" s="77" t="str">
        <f>Tabla410[[#This Row],[P2]] &amp; "|" &amp; $E$1 &amp; "|" &amp; Tabla410[[#This Row],[Sexo]] &amp; "|" &amp; Tabla410[[#This Row],[Entidad]]</f>
        <v>PS|Acoso sexual|Mujer|Tlaxcala</v>
      </c>
      <c r="J31" s="78">
        <f>VLOOKUP($E$1,Tabla5[[#All],[name]:[id_1]],2,FALSE)</f>
        <v>6</v>
      </c>
      <c r="K31" s="78">
        <f>VLOOKUP($B$1,Tabla6[[#All],[name]:[id_2]],2)</f>
        <v>18</v>
      </c>
      <c r="L31" s="78">
        <f>VLOOKUP(Tabla410[[#This Row],[Sexo]],Tabla8[[#All],[name]:[gender_id]],2,FALSE)</f>
        <v>1</v>
      </c>
      <c r="M31" s="78" t="str">
        <f>IF(LEN(Tabla410[[#This Row],[centros]])&gt;0,VLOOKUP(Tabla410[[#This Row],[centros]],Tabla2[[#All],[Centros]:[ID]],2,FALSE),"NULL")</f>
        <v>NULL</v>
      </c>
      <c r="N31" s="78">
        <f>VLOOKUP(Tabla410[[#This Row],[Entidad]],Tabla3[[#All],[name]:[ID_2]],2,FALSE)</f>
        <v>29</v>
      </c>
      <c r="O31" s="78">
        <f>IFERROR(VLOOKUP(Tabla410[[#This Row],[CLAVE PI]], Tabla10[], 10, FALSE), 0)</f>
        <v>0</v>
      </c>
      <c r="P31" s="79">
        <f>IFERROR(VLOOKUP(Tabla410[[#This Row],[CLAVE PS]], Tabla10[], 10, FALSE), 0)</f>
        <v>0</v>
      </c>
      <c r="Q31" s="30" t="str">
        <f t="shared" si="0"/>
        <v>INSERT INTO indicator_category_details (category_id, year_id, gender_id, center_id, state_id, PI, PS, status) VALUES (6, 18, 1, NULL, 29, 0, 0, 1);</v>
      </c>
    </row>
    <row r="32" spans="1:17" ht="15" customHeight="1" x14ac:dyDescent="0.25">
      <c r="A32" s="54"/>
      <c r="B32" s="64" t="s">
        <v>1046</v>
      </c>
      <c r="C32" s="39" t="s">
        <v>1050</v>
      </c>
      <c r="D32" s="29"/>
      <c r="E32" s="29" t="s">
        <v>1042</v>
      </c>
      <c r="F32" s="65" t="s">
        <v>802</v>
      </c>
      <c r="G32" s="56"/>
      <c r="H32" s="76" t="str">
        <f>Tabla410[[#This Row],[P1]] &amp; "|" &amp; $E$1 &amp; "|" &amp; Tabla410[[#This Row],[Sexo]] &amp; "|" &amp; Tabla410[[#This Row],[Entidad]]</f>
        <v>PI|Acoso sexual|Mujer|Veracruz de Ignacio de la Llave</v>
      </c>
      <c r="I32" s="77" t="str">
        <f>Tabla410[[#This Row],[P2]] &amp; "|" &amp; $E$1 &amp; "|" &amp; Tabla410[[#This Row],[Sexo]] &amp; "|" &amp; Tabla410[[#This Row],[Entidad]]</f>
        <v>PS|Acoso sexual|Mujer|Veracruz de Ignacio de la Llave</v>
      </c>
      <c r="J32" s="78">
        <f>VLOOKUP($E$1,Tabla5[[#All],[name]:[id_1]],2,FALSE)</f>
        <v>6</v>
      </c>
      <c r="K32" s="78">
        <f>VLOOKUP($B$1,Tabla6[[#All],[name]:[id_2]],2)</f>
        <v>18</v>
      </c>
      <c r="L32" s="78">
        <f>VLOOKUP(Tabla410[[#This Row],[Sexo]],Tabla8[[#All],[name]:[gender_id]],2,FALSE)</f>
        <v>1</v>
      </c>
      <c r="M32" s="78" t="str">
        <f>IF(LEN(Tabla410[[#This Row],[centros]])&gt;0,VLOOKUP(Tabla410[[#This Row],[centros]],Tabla2[[#All],[Centros]:[ID]],2,FALSE),"NULL")</f>
        <v>NULL</v>
      </c>
      <c r="N32" s="78">
        <f>VLOOKUP(Tabla410[[#This Row],[Entidad]],Tabla3[[#All],[name]:[ID_2]],2,FALSE)</f>
        <v>30</v>
      </c>
      <c r="O32" s="78">
        <f>IFERROR(VLOOKUP(Tabla410[[#This Row],[CLAVE PI]], Tabla10[], 10, FALSE), 0)</f>
        <v>0</v>
      </c>
      <c r="P32" s="79">
        <f>IFERROR(VLOOKUP(Tabla410[[#This Row],[CLAVE PS]], Tabla10[], 10, FALSE), 0)</f>
        <v>0</v>
      </c>
      <c r="Q32" s="30" t="str">
        <f t="shared" si="0"/>
        <v>INSERT INTO indicator_category_details (category_id, year_id, gender_id, center_id, state_id, PI, PS, status) VALUES (6, 18, 1, NULL, 30, 0, 0, 1);</v>
      </c>
    </row>
    <row r="33" spans="1:17" ht="15" customHeight="1" x14ac:dyDescent="0.25">
      <c r="A33" s="54"/>
      <c r="B33" s="64" t="s">
        <v>1046</v>
      </c>
      <c r="C33" s="39" t="s">
        <v>1050</v>
      </c>
      <c r="D33" s="29"/>
      <c r="E33" s="29" t="s">
        <v>1042</v>
      </c>
      <c r="F33" s="65" t="s">
        <v>822</v>
      </c>
      <c r="G33" s="56"/>
      <c r="H33" s="76" t="str">
        <f>Tabla410[[#This Row],[P1]] &amp; "|" &amp; $E$1 &amp; "|" &amp; Tabla410[[#This Row],[Sexo]] &amp; "|" &amp; Tabla410[[#This Row],[Entidad]]</f>
        <v>PI|Acoso sexual|Mujer|Yucatán</v>
      </c>
      <c r="I33" s="77" t="str">
        <f>Tabla410[[#This Row],[P2]] &amp; "|" &amp; $E$1 &amp; "|" &amp; Tabla410[[#This Row],[Sexo]] &amp; "|" &amp; Tabla410[[#This Row],[Entidad]]</f>
        <v>PS|Acoso sexual|Mujer|Yucatán</v>
      </c>
      <c r="J33" s="78">
        <f>VLOOKUP($E$1,Tabla5[[#All],[name]:[id_1]],2,FALSE)</f>
        <v>6</v>
      </c>
      <c r="K33" s="78">
        <f>VLOOKUP($B$1,Tabla6[[#All],[name]:[id_2]],2)</f>
        <v>18</v>
      </c>
      <c r="L33" s="78">
        <f>VLOOKUP(Tabla410[[#This Row],[Sexo]],Tabla8[[#All],[name]:[gender_id]],2,FALSE)</f>
        <v>1</v>
      </c>
      <c r="M33" s="78" t="str">
        <f>IF(LEN(Tabla410[[#This Row],[centros]])&gt;0,VLOOKUP(Tabla410[[#This Row],[centros]],Tabla2[[#All],[Centros]:[ID]],2,FALSE),"NULL")</f>
        <v>NULL</v>
      </c>
      <c r="N33" s="78">
        <f>VLOOKUP(Tabla410[[#This Row],[Entidad]],Tabla3[[#All],[name]:[ID_2]],2,FALSE)</f>
        <v>31</v>
      </c>
      <c r="O33" s="78">
        <f>IFERROR(VLOOKUP(Tabla410[[#This Row],[CLAVE PI]], Tabla10[], 10, FALSE), 0)</f>
        <v>0</v>
      </c>
      <c r="P33" s="79">
        <f>IFERROR(VLOOKUP(Tabla410[[#This Row],[CLAVE PS]], Tabla10[], 10, FALSE), 0)</f>
        <v>0</v>
      </c>
      <c r="Q33" s="30" t="str">
        <f t="shared" si="0"/>
        <v>INSERT INTO indicator_category_details (category_id, year_id, gender_id, center_id, state_id, PI, PS, status) VALUES (6, 18, 1, NULL, 31, 0, 0, 1);</v>
      </c>
    </row>
    <row r="34" spans="1:17" ht="15" customHeight="1" thickBot="1" x14ac:dyDescent="0.3">
      <c r="A34" s="54"/>
      <c r="B34" s="67" t="s">
        <v>1046</v>
      </c>
      <c r="C34" s="40" t="s">
        <v>1050</v>
      </c>
      <c r="D34" s="68"/>
      <c r="E34" s="68" t="s">
        <v>1042</v>
      </c>
      <c r="F34" s="69" t="s">
        <v>827</v>
      </c>
      <c r="G34" s="58"/>
      <c r="H34" s="83" t="str">
        <f>Tabla410[[#This Row],[P1]] &amp; "|" &amp; $E$1 &amp; "|" &amp; Tabla410[[#This Row],[Sexo]] &amp; "|" &amp; Tabla410[[#This Row],[Entidad]]</f>
        <v>PI|Acoso sexual|Mujer|Zacatecas</v>
      </c>
      <c r="I34" s="84" t="str">
        <f>Tabla410[[#This Row],[P2]] &amp; "|" &amp; $E$1 &amp; "|" &amp; Tabla410[[#This Row],[Sexo]] &amp; "|" &amp; Tabla410[[#This Row],[Entidad]]</f>
        <v>PS|Acoso sexual|Mujer|Zacatecas</v>
      </c>
      <c r="J34" s="85">
        <f>VLOOKUP($E$1,Tabla5[[#All],[name]:[id_1]],2,FALSE)</f>
        <v>6</v>
      </c>
      <c r="K34" s="85">
        <f>VLOOKUP($B$1,Tabla6[[#All],[name]:[id_2]],2)</f>
        <v>18</v>
      </c>
      <c r="L34" s="85">
        <f>VLOOKUP(Tabla410[[#This Row],[Sexo]],Tabla8[[#All],[name]:[gender_id]],2,FALSE)</f>
        <v>1</v>
      </c>
      <c r="M34" s="85" t="str">
        <f>IF(LEN(Tabla410[[#This Row],[centros]])&gt;0,VLOOKUP(Tabla410[[#This Row],[centros]],Tabla2[[#All],[Centros]:[ID]],2,FALSE),"NULL")</f>
        <v>NULL</v>
      </c>
      <c r="N34" s="85">
        <f>VLOOKUP(Tabla410[[#This Row],[Entidad]],Tabla3[[#All],[name]:[ID_2]],2,FALSE)</f>
        <v>32</v>
      </c>
      <c r="O34" s="85">
        <f>IFERROR(VLOOKUP(Tabla410[[#This Row],[CLAVE PI]], Tabla10[], 10, FALSE), 0)</f>
        <v>0</v>
      </c>
      <c r="P34" s="86">
        <f>IFERROR(VLOOKUP(Tabla410[[#This Row],[CLAVE PS]], Tabla10[], 10, FALSE), 0)</f>
        <v>0</v>
      </c>
      <c r="Q34" s="32" t="str">
        <f t="shared" si="0"/>
        <v>INSERT INTO indicator_category_details (category_id, year_id, gender_id, center_id, state_id, PI, PS, status) VALUES (6, 18, 1, NULL, 32, 0, 0, 1);</v>
      </c>
    </row>
    <row r="35" spans="1:17" ht="15.75" x14ac:dyDescent="0.25">
      <c r="A35" s="34"/>
      <c r="B35" s="38" t="s">
        <v>1046</v>
      </c>
      <c r="C35" s="38" t="s">
        <v>1050</v>
      </c>
      <c r="D35" s="29"/>
      <c r="E35" s="29" t="s">
        <v>1043</v>
      </c>
      <c r="F35" s="29" t="s">
        <v>518</v>
      </c>
      <c r="G35" s="4"/>
      <c r="H35" s="76" t="str">
        <f>Tabla410[[#This Row],[P1]] &amp; "|" &amp; $E$1 &amp; "|" &amp; Tabla410[[#This Row],[Sexo]] &amp; "|" &amp; Tabla410[[#This Row],[Entidad]]</f>
        <v>PI|Acoso sexual|Hombre|Aguascalientes</v>
      </c>
      <c r="I35" s="77" t="str">
        <f>Tabla410[[#This Row],[P2]] &amp; "|" &amp; $E$1 &amp; "|" &amp; Tabla410[[#This Row],[Sexo]] &amp; "|" &amp; Tabla410[[#This Row],[Entidad]]</f>
        <v>PS|Acoso sexual|Hombre|Aguascalientes</v>
      </c>
      <c r="J35" s="78">
        <f>VLOOKUP($E$1,Tabla5[[#All],[name]:[id_1]],2,FALSE)</f>
        <v>6</v>
      </c>
      <c r="K35" s="78">
        <f>VLOOKUP($B$1,Tabla6[[#All],[name]:[id_2]],2)</f>
        <v>18</v>
      </c>
      <c r="L35" s="78">
        <f>VLOOKUP(Tabla410[[#This Row],[Sexo]],Tabla8[[#All],[name]:[gender_id]],2,FALSE)</f>
        <v>2</v>
      </c>
      <c r="M35" s="78" t="str">
        <f>IF(LEN(Tabla410[[#This Row],[centros]])&gt;0,VLOOKUP(Tabla410[[#This Row],[centros]],Tabla2[[#All],[Centros]:[ID]],2,FALSE),"NULL")</f>
        <v>NULL</v>
      </c>
      <c r="N35" s="78">
        <f>VLOOKUP(Tabla410[[#This Row],[Entidad]],Tabla3[[#All],[name]:[ID_2]],2,FALSE)</f>
        <v>1</v>
      </c>
      <c r="O35" s="78">
        <f>IFERROR(VLOOKUP(Tabla410[[#This Row],[CLAVE PI]], Tabla10[], 10, FALSE), 0)</f>
        <v>0</v>
      </c>
      <c r="P35" s="79">
        <f>IFERROR(VLOOKUP(Tabla410[[#This Row],[CLAVE PS]], Tabla10[], 10, FALSE), 0)</f>
        <v>0</v>
      </c>
      <c r="Q35" s="30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18, 2, NULL, 1, 0, 0, 1);</v>
      </c>
    </row>
    <row r="36" spans="1:17" ht="15.75" x14ac:dyDescent="0.25">
      <c r="A36" s="34"/>
      <c r="B36" s="39" t="s">
        <v>1046</v>
      </c>
      <c r="C36" s="39" t="s">
        <v>1050</v>
      </c>
      <c r="D36" s="29"/>
      <c r="E36" s="3" t="s">
        <v>1043</v>
      </c>
      <c r="F36" s="3" t="s">
        <v>519</v>
      </c>
      <c r="G36" s="4"/>
      <c r="H36" s="76" t="str">
        <f>Tabla410[[#This Row],[P1]] &amp; "|" &amp; $E$1 &amp; "|" &amp; Tabla410[[#This Row],[Sexo]] &amp; "|" &amp; Tabla410[[#This Row],[Entidad]]</f>
        <v>PI|Acoso sexual|Hombre|Baja California</v>
      </c>
      <c r="I36" s="77" t="str">
        <f>Tabla410[[#This Row],[P2]] &amp; "|" &amp; $E$1 &amp; "|" &amp; Tabla410[[#This Row],[Sexo]] &amp; "|" &amp; Tabla410[[#This Row],[Entidad]]</f>
        <v>PS|Acoso sexual|Hombre|Baja California</v>
      </c>
      <c r="J36" s="78">
        <f>VLOOKUP($E$1,Tabla5[[#All],[name]:[id_1]],2,FALSE)</f>
        <v>6</v>
      </c>
      <c r="K36" s="78">
        <f>VLOOKUP($B$1,Tabla6[[#All],[name]:[id_2]],2)</f>
        <v>18</v>
      </c>
      <c r="L36" s="78">
        <f>VLOOKUP(Tabla410[[#This Row],[Sexo]],Tabla8[[#All],[name]:[gender_id]],2,FALSE)</f>
        <v>2</v>
      </c>
      <c r="M36" s="78" t="str">
        <f>IF(LEN(Tabla410[[#This Row],[centros]])&gt;0,VLOOKUP(Tabla410[[#This Row],[centros]],Tabla2[[#All],[Centros]:[ID]],2,FALSE),"NULL")</f>
        <v>NULL</v>
      </c>
      <c r="N36" s="78">
        <f>VLOOKUP(Tabla410[[#This Row],[Entidad]],Tabla3[[#All],[name]:[ID_2]],2,FALSE)</f>
        <v>2</v>
      </c>
      <c r="O36" s="78">
        <f>IFERROR(VLOOKUP(Tabla410[[#This Row],[CLAVE PI]], Tabla10[], 10, FALSE), 0)</f>
        <v>0</v>
      </c>
      <c r="P36" s="79">
        <f>IFERROR(VLOOKUP(Tabla410[[#This Row],[CLAVE PS]], Tabla10[], 10, FALSE), 0)</f>
        <v>0</v>
      </c>
      <c r="Q36" s="30" t="str">
        <f t="shared" si="1"/>
        <v>INSERT INTO indicator_category_details (category_id, year_id, gender_id, center_id, state_id, PI, PS, status) VALUES (6, 18, 2, NULL, 2, 0, 0, 1);</v>
      </c>
    </row>
    <row r="37" spans="1:17" ht="15.75" x14ac:dyDescent="0.25">
      <c r="A37" s="34"/>
      <c r="B37" s="39" t="s">
        <v>1046</v>
      </c>
      <c r="C37" s="39" t="s">
        <v>1050</v>
      </c>
      <c r="D37" s="29"/>
      <c r="E37" s="3" t="s">
        <v>1043</v>
      </c>
      <c r="F37" s="3" t="s">
        <v>528</v>
      </c>
      <c r="G37" s="4"/>
      <c r="H37" s="76" t="str">
        <f>Tabla410[[#This Row],[P1]] &amp; "|" &amp; $E$1 &amp; "|" &amp; Tabla410[[#This Row],[Sexo]] &amp; "|" &amp; Tabla410[[#This Row],[Entidad]]</f>
        <v>PI|Acoso sexual|Hombre|Baja California Sur</v>
      </c>
      <c r="I37" s="77" t="str">
        <f>Tabla410[[#This Row],[P2]] &amp; "|" &amp; $E$1 &amp; "|" &amp; Tabla410[[#This Row],[Sexo]] &amp; "|" &amp; Tabla410[[#This Row],[Entidad]]</f>
        <v>PS|Acoso sexual|Hombre|Baja California Sur</v>
      </c>
      <c r="J37" s="78">
        <f>VLOOKUP($E$1,Tabla5[[#All],[name]:[id_1]],2,FALSE)</f>
        <v>6</v>
      </c>
      <c r="K37" s="78">
        <f>VLOOKUP($B$1,Tabla6[[#All],[name]:[id_2]],2)</f>
        <v>18</v>
      </c>
      <c r="L37" s="78">
        <f>VLOOKUP(Tabla410[[#This Row],[Sexo]],Tabla8[[#All],[name]:[gender_id]],2,FALSE)</f>
        <v>2</v>
      </c>
      <c r="M37" s="78" t="str">
        <f>IF(LEN(Tabla410[[#This Row],[centros]])&gt;0,VLOOKUP(Tabla410[[#This Row],[centros]],Tabla2[[#All],[Centros]:[ID]],2,FALSE),"NULL")</f>
        <v>NULL</v>
      </c>
      <c r="N37" s="78">
        <f>VLOOKUP(Tabla410[[#This Row],[Entidad]],Tabla3[[#All],[name]:[ID_2]],2,FALSE)</f>
        <v>3</v>
      </c>
      <c r="O37" s="78">
        <f>IFERROR(VLOOKUP(Tabla410[[#This Row],[CLAVE PI]], Tabla10[], 10, FALSE), 0)</f>
        <v>10</v>
      </c>
      <c r="P37" s="79">
        <f>IFERROR(VLOOKUP(Tabla410[[#This Row],[CLAVE PS]], Tabla10[], 10, FALSE), 0)</f>
        <v>0</v>
      </c>
      <c r="Q37" s="30" t="str">
        <f t="shared" si="1"/>
        <v>INSERT INTO indicator_category_details (category_id, year_id, gender_id, center_id, state_id, PI, PS, status) VALUES (6, 18, 2, NULL, 3, 10, 0, 1);</v>
      </c>
    </row>
    <row r="38" spans="1:17" ht="15.75" x14ac:dyDescent="0.25">
      <c r="A38" s="34"/>
      <c r="B38" s="39" t="s">
        <v>1046</v>
      </c>
      <c r="C38" s="39" t="s">
        <v>1050</v>
      </c>
      <c r="D38" s="29"/>
      <c r="E38" s="3" t="s">
        <v>1043</v>
      </c>
      <c r="F38" s="3" t="s">
        <v>534</v>
      </c>
      <c r="G38" s="4"/>
      <c r="H38" s="76" t="str">
        <f>Tabla410[[#This Row],[P1]] &amp; "|" &amp; $E$1 &amp; "|" &amp; Tabla410[[#This Row],[Sexo]] &amp; "|" &amp; Tabla410[[#This Row],[Entidad]]</f>
        <v>PI|Acoso sexual|Hombre|Campeche</v>
      </c>
      <c r="I38" s="77" t="str">
        <f>Tabla410[[#This Row],[P2]] &amp; "|" &amp; $E$1 &amp; "|" &amp; Tabla410[[#This Row],[Sexo]] &amp; "|" &amp; Tabla410[[#This Row],[Entidad]]</f>
        <v>PS|Acoso sexual|Hombre|Campeche</v>
      </c>
      <c r="J38" s="78">
        <f>VLOOKUP($E$1,Tabla5[[#All],[name]:[id_1]],2,FALSE)</f>
        <v>6</v>
      </c>
      <c r="K38" s="78">
        <f>VLOOKUP($B$1,Tabla6[[#All],[name]:[id_2]],2)</f>
        <v>18</v>
      </c>
      <c r="L38" s="78">
        <f>VLOOKUP(Tabla410[[#This Row],[Sexo]],Tabla8[[#All],[name]:[gender_id]],2,FALSE)</f>
        <v>2</v>
      </c>
      <c r="M38" s="78" t="str">
        <f>IF(LEN(Tabla410[[#This Row],[centros]])&gt;0,VLOOKUP(Tabla410[[#This Row],[centros]],Tabla2[[#All],[Centros]:[ID]],2,FALSE),"NULL")</f>
        <v>NULL</v>
      </c>
      <c r="N38" s="78">
        <f>VLOOKUP(Tabla410[[#This Row],[Entidad]],Tabla3[[#All],[name]:[ID_2]],2,FALSE)</f>
        <v>4</v>
      </c>
      <c r="O38" s="78">
        <f>IFERROR(VLOOKUP(Tabla410[[#This Row],[CLAVE PI]], Tabla10[], 10, FALSE), 0)</f>
        <v>0</v>
      </c>
      <c r="P38" s="79">
        <f>IFERROR(VLOOKUP(Tabla410[[#This Row],[CLAVE PS]], Tabla10[], 10, FALSE), 0)</f>
        <v>0</v>
      </c>
      <c r="Q38" s="30" t="str">
        <f t="shared" si="1"/>
        <v>INSERT INTO indicator_category_details (category_id, year_id, gender_id, center_id, state_id, PI, PS, status) VALUES (6, 18, 2, NULL, 4, 0, 0, 1);</v>
      </c>
    </row>
    <row r="39" spans="1:17" ht="15.75" x14ac:dyDescent="0.25">
      <c r="A39" s="34"/>
      <c r="B39" s="39" t="s">
        <v>1046</v>
      </c>
      <c r="C39" s="39" t="s">
        <v>1050</v>
      </c>
      <c r="D39" s="29"/>
      <c r="E39" s="3" t="s">
        <v>1043</v>
      </c>
      <c r="F39" s="3" t="s">
        <v>553</v>
      </c>
      <c r="G39" s="4"/>
      <c r="H39" s="76" t="str">
        <f>Tabla410[[#This Row],[P1]] &amp; "|" &amp; $E$1 &amp; "|" &amp; Tabla410[[#This Row],[Sexo]] &amp; "|" &amp; Tabla410[[#This Row],[Entidad]]</f>
        <v>PI|Acoso sexual|Hombre|Chiapas</v>
      </c>
      <c r="I39" s="77" t="str">
        <f>Tabla410[[#This Row],[P2]] &amp; "|" &amp; $E$1 &amp; "|" &amp; Tabla410[[#This Row],[Sexo]] &amp; "|" &amp; Tabla410[[#This Row],[Entidad]]</f>
        <v>PS|Acoso sexual|Hombre|Chiapas</v>
      </c>
      <c r="J39" s="78">
        <f>VLOOKUP($E$1,Tabla5[[#All],[name]:[id_1]],2,FALSE)</f>
        <v>6</v>
      </c>
      <c r="K39" s="78">
        <f>VLOOKUP($B$1,Tabla6[[#All],[name]:[id_2]],2)</f>
        <v>18</v>
      </c>
      <c r="L39" s="78">
        <f>VLOOKUP(Tabla410[[#This Row],[Sexo]],Tabla8[[#All],[name]:[gender_id]],2,FALSE)</f>
        <v>2</v>
      </c>
      <c r="M39" s="78" t="str">
        <f>IF(LEN(Tabla410[[#This Row],[centros]])&gt;0,VLOOKUP(Tabla410[[#This Row],[centros]],Tabla2[[#All],[Centros]:[ID]],2,FALSE),"NULL")</f>
        <v>NULL</v>
      </c>
      <c r="N39" s="78">
        <f>VLOOKUP(Tabla410[[#This Row],[Entidad]],Tabla3[[#All],[name]:[ID_2]],2,FALSE)</f>
        <v>5</v>
      </c>
      <c r="O39" s="78">
        <f>IFERROR(VLOOKUP(Tabla410[[#This Row],[CLAVE PI]], Tabla10[], 10, FALSE), 0)</f>
        <v>4</v>
      </c>
      <c r="P39" s="79">
        <f>IFERROR(VLOOKUP(Tabla410[[#This Row],[CLAVE PS]], Tabla10[], 10, FALSE), 0)</f>
        <v>0</v>
      </c>
      <c r="Q39" s="30" t="str">
        <f t="shared" si="1"/>
        <v>INSERT INTO indicator_category_details (category_id, year_id, gender_id, center_id, state_id, PI, PS, status) VALUES (6, 18, 2, NULL, 5, 4, 0, 1);</v>
      </c>
    </row>
    <row r="40" spans="1:17" ht="15.75" x14ac:dyDescent="0.25">
      <c r="A40" s="34"/>
      <c r="B40" s="39" t="s">
        <v>1046</v>
      </c>
      <c r="C40" s="39" t="s">
        <v>1050</v>
      </c>
      <c r="D40" s="29"/>
      <c r="E40" s="3" t="s">
        <v>1043</v>
      </c>
      <c r="F40" s="3" t="s">
        <v>570</v>
      </c>
      <c r="G40" s="4"/>
      <c r="H40" s="76" t="str">
        <f>Tabla410[[#This Row],[P1]] &amp; "|" &amp; $E$1 &amp; "|" &amp; Tabla410[[#This Row],[Sexo]] &amp; "|" &amp; Tabla410[[#This Row],[Entidad]]</f>
        <v>PI|Acoso sexual|Hombre|Chihuahua</v>
      </c>
      <c r="I40" s="77" t="str">
        <f>Tabla410[[#This Row],[P2]] &amp; "|" &amp; $E$1 &amp; "|" &amp; Tabla410[[#This Row],[Sexo]] &amp; "|" &amp; Tabla410[[#This Row],[Entidad]]</f>
        <v>PS|Acoso sexual|Hombre|Chihuahua</v>
      </c>
      <c r="J40" s="78">
        <f>VLOOKUP($E$1,Tabla5[[#All],[name]:[id_1]],2,FALSE)</f>
        <v>6</v>
      </c>
      <c r="K40" s="78">
        <f>VLOOKUP($B$1,Tabla6[[#All],[name]:[id_2]],2)</f>
        <v>18</v>
      </c>
      <c r="L40" s="78">
        <f>VLOOKUP(Tabla410[[#This Row],[Sexo]],Tabla8[[#All],[name]:[gender_id]],2,FALSE)</f>
        <v>2</v>
      </c>
      <c r="M40" s="78" t="str">
        <f>IF(LEN(Tabla410[[#This Row],[centros]])&gt;0,VLOOKUP(Tabla410[[#This Row],[centros]],Tabla2[[#All],[Centros]:[ID]],2,FALSE),"NULL")</f>
        <v>NULL</v>
      </c>
      <c r="N40" s="78">
        <f>VLOOKUP(Tabla410[[#This Row],[Entidad]],Tabla3[[#All],[name]:[ID_2]],2,FALSE)</f>
        <v>6</v>
      </c>
      <c r="O40" s="78">
        <f>IFERROR(VLOOKUP(Tabla410[[#This Row],[CLAVE PI]], Tabla10[], 10, FALSE), 0)</f>
        <v>40</v>
      </c>
      <c r="P40" s="79">
        <f>IFERROR(VLOOKUP(Tabla410[[#This Row],[CLAVE PS]], Tabla10[], 10, FALSE), 0)</f>
        <v>0</v>
      </c>
      <c r="Q40" s="30" t="str">
        <f t="shared" si="1"/>
        <v>INSERT INTO indicator_category_details (category_id, year_id, gender_id, center_id, state_id, PI, PS, status) VALUES (6, 18, 2, NULL, 6, 40, 0, 1);</v>
      </c>
    </row>
    <row r="41" spans="1:17" ht="15.75" x14ac:dyDescent="0.25">
      <c r="A41" s="34"/>
      <c r="B41" s="39" t="s">
        <v>1046</v>
      </c>
      <c r="C41" s="39" t="s">
        <v>1050</v>
      </c>
      <c r="D41" s="29"/>
      <c r="E41" s="3" t="s">
        <v>1043</v>
      </c>
      <c r="F41" s="3" t="s">
        <v>582</v>
      </c>
      <c r="G41" s="4"/>
      <c r="H41" s="76" t="str">
        <f>Tabla410[[#This Row],[P1]] &amp; "|" &amp; $E$1 &amp; "|" &amp; Tabla410[[#This Row],[Sexo]] &amp; "|" &amp; Tabla410[[#This Row],[Entidad]]</f>
        <v>PI|Acoso sexual|Hombre|Ciudad de México</v>
      </c>
      <c r="I41" s="77" t="str">
        <f>Tabla410[[#This Row],[P2]] &amp; "|" &amp; $E$1 &amp; "|" &amp; Tabla410[[#This Row],[Sexo]] &amp; "|" &amp; Tabla410[[#This Row],[Entidad]]</f>
        <v>PS|Acoso sexual|Hombre|Ciudad de México</v>
      </c>
      <c r="J41" s="78">
        <f>VLOOKUP($E$1,Tabla5[[#All],[name]:[id_1]],2,FALSE)</f>
        <v>6</v>
      </c>
      <c r="K41" s="78">
        <f>VLOOKUP($B$1,Tabla6[[#All],[name]:[id_2]],2)</f>
        <v>18</v>
      </c>
      <c r="L41" s="78">
        <f>VLOOKUP(Tabla410[[#This Row],[Sexo]],Tabla8[[#All],[name]:[gender_id]],2,FALSE)</f>
        <v>2</v>
      </c>
      <c r="M41" s="78" t="str">
        <f>IF(LEN(Tabla410[[#This Row],[centros]])&gt;0,VLOOKUP(Tabla410[[#This Row],[centros]],Tabla2[[#All],[Centros]:[ID]],2,FALSE),"NULL")</f>
        <v>NULL</v>
      </c>
      <c r="N41" s="78">
        <f>VLOOKUP(Tabla410[[#This Row],[Entidad]],Tabla3[[#All],[name]:[ID_2]],2,FALSE)</f>
        <v>7</v>
      </c>
      <c r="O41" s="78">
        <f>IFERROR(VLOOKUP(Tabla410[[#This Row],[CLAVE PI]], Tabla10[], 10, FALSE), 0)</f>
        <v>20</v>
      </c>
      <c r="P41" s="79">
        <f>IFERROR(VLOOKUP(Tabla410[[#This Row],[CLAVE PS]], Tabla10[], 10, FALSE), 0)</f>
        <v>0</v>
      </c>
      <c r="Q41" s="30" t="str">
        <f t="shared" si="1"/>
        <v>INSERT INTO indicator_category_details (category_id, year_id, gender_id, center_id, state_id, PI, PS, status) VALUES (6, 18, 2, NULL, 7, 20, 0, 1);</v>
      </c>
    </row>
    <row r="42" spans="1:17" ht="15.75" x14ac:dyDescent="0.25">
      <c r="A42" s="34"/>
      <c r="B42" s="39" t="s">
        <v>1046</v>
      </c>
      <c r="C42" s="39" t="s">
        <v>1050</v>
      </c>
      <c r="D42" s="29"/>
      <c r="E42" s="3" t="s">
        <v>1043</v>
      </c>
      <c r="F42" s="3" t="s">
        <v>538</v>
      </c>
      <c r="G42" s="4"/>
      <c r="H42" s="76" t="str">
        <f>Tabla410[[#This Row],[P1]] &amp; "|" &amp; $E$1 &amp; "|" &amp; Tabla410[[#This Row],[Sexo]] &amp; "|" &amp; Tabla410[[#This Row],[Entidad]]</f>
        <v>PI|Acoso sexual|Hombre|Coahuila de Zaragoza</v>
      </c>
      <c r="I42" s="77" t="str">
        <f>Tabla410[[#This Row],[P2]] &amp; "|" &amp; $E$1 &amp; "|" &amp; Tabla410[[#This Row],[Sexo]] &amp; "|" &amp; Tabla410[[#This Row],[Entidad]]</f>
        <v>PS|Acoso sexual|Hombre|Coahuila de Zaragoza</v>
      </c>
      <c r="J42" s="78">
        <f>VLOOKUP($E$1,Tabla5[[#All],[name]:[id_1]],2,FALSE)</f>
        <v>6</v>
      </c>
      <c r="K42" s="78">
        <f>VLOOKUP($B$1,Tabla6[[#All],[name]:[id_2]],2)</f>
        <v>18</v>
      </c>
      <c r="L42" s="78">
        <f>VLOOKUP(Tabla410[[#This Row],[Sexo]],Tabla8[[#All],[name]:[gender_id]],2,FALSE)</f>
        <v>2</v>
      </c>
      <c r="M42" s="78" t="str">
        <f>IF(LEN(Tabla410[[#This Row],[centros]])&gt;0,VLOOKUP(Tabla410[[#This Row],[centros]],Tabla2[[#All],[Centros]:[ID]],2,FALSE),"NULL")</f>
        <v>NULL</v>
      </c>
      <c r="N42" s="78">
        <f>VLOOKUP(Tabla410[[#This Row],[Entidad]],Tabla3[[#All],[name]:[ID_2]],2,FALSE)</f>
        <v>8</v>
      </c>
      <c r="O42" s="78">
        <f>IFERROR(VLOOKUP(Tabla410[[#This Row],[CLAVE PI]], Tabla10[], 10, FALSE), 0)</f>
        <v>13</v>
      </c>
      <c r="P42" s="79">
        <f>IFERROR(VLOOKUP(Tabla410[[#This Row],[CLAVE PS]], Tabla10[], 10, FALSE), 0)</f>
        <v>0</v>
      </c>
      <c r="Q42" s="30" t="str">
        <f t="shared" si="1"/>
        <v>INSERT INTO indicator_category_details (category_id, year_id, gender_id, center_id, state_id, PI, PS, status) VALUES (6, 18, 2, NULL, 8, 13, 0, 1);</v>
      </c>
    </row>
    <row r="43" spans="1:17" ht="15.75" x14ac:dyDescent="0.25">
      <c r="A43" s="34"/>
      <c r="B43" s="39" t="s">
        <v>1046</v>
      </c>
      <c r="C43" s="39" t="s">
        <v>1050</v>
      </c>
      <c r="D43" s="29"/>
      <c r="E43" s="3" t="s">
        <v>1043</v>
      </c>
      <c r="F43" s="3" t="s">
        <v>547</v>
      </c>
      <c r="G43" s="4"/>
      <c r="H43" s="76" t="str">
        <f>Tabla410[[#This Row],[P1]] &amp; "|" &amp; $E$1 &amp; "|" &amp; Tabla410[[#This Row],[Sexo]] &amp; "|" &amp; Tabla410[[#This Row],[Entidad]]</f>
        <v>PI|Acoso sexual|Hombre|Colima</v>
      </c>
      <c r="I43" s="77" t="str">
        <f>Tabla410[[#This Row],[P2]] &amp; "|" &amp; $E$1 &amp; "|" &amp; Tabla410[[#This Row],[Sexo]] &amp; "|" &amp; Tabla410[[#This Row],[Entidad]]</f>
        <v>PS|Acoso sexual|Hombre|Colima</v>
      </c>
      <c r="J43" s="78">
        <f>VLOOKUP($E$1,Tabla5[[#All],[name]:[id_1]],2,FALSE)</f>
        <v>6</v>
      </c>
      <c r="K43" s="78">
        <f>VLOOKUP($B$1,Tabla6[[#All],[name]:[id_2]],2)</f>
        <v>18</v>
      </c>
      <c r="L43" s="78">
        <f>VLOOKUP(Tabla410[[#This Row],[Sexo]],Tabla8[[#All],[name]:[gender_id]],2,FALSE)</f>
        <v>2</v>
      </c>
      <c r="M43" s="78" t="str">
        <f>IF(LEN(Tabla410[[#This Row],[centros]])&gt;0,VLOOKUP(Tabla410[[#This Row],[centros]],Tabla2[[#All],[Centros]:[ID]],2,FALSE),"NULL")</f>
        <v>NULL</v>
      </c>
      <c r="N43" s="78">
        <f>VLOOKUP(Tabla410[[#This Row],[Entidad]],Tabla3[[#All],[name]:[ID_2]],2,FALSE)</f>
        <v>9</v>
      </c>
      <c r="O43" s="78">
        <f>IFERROR(VLOOKUP(Tabla410[[#This Row],[CLAVE PI]], Tabla10[], 10, FALSE), 0)</f>
        <v>0</v>
      </c>
      <c r="P43" s="79">
        <f>IFERROR(VLOOKUP(Tabla410[[#This Row],[CLAVE PS]], Tabla10[], 10, FALSE), 0)</f>
        <v>0</v>
      </c>
      <c r="Q43" s="30" t="str">
        <f t="shared" si="1"/>
        <v>INSERT INTO indicator_category_details (category_id, year_id, gender_id, center_id, state_id, PI, PS, status) VALUES (6, 18, 2, NULL, 9, 0, 0, 1);</v>
      </c>
    </row>
    <row r="44" spans="1:17" ht="15.75" x14ac:dyDescent="0.25">
      <c r="A44" s="34"/>
      <c r="B44" s="39" t="s">
        <v>1046</v>
      </c>
      <c r="C44" s="39" t="s">
        <v>1050</v>
      </c>
      <c r="D44" s="29"/>
      <c r="E44" s="3" t="s">
        <v>1043</v>
      </c>
      <c r="F44" s="3" t="s">
        <v>600</v>
      </c>
      <c r="G44" s="4"/>
      <c r="H44" s="76" t="str">
        <f>Tabla410[[#This Row],[P1]] &amp; "|" &amp; $E$1 &amp; "|" &amp; Tabla410[[#This Row],[Sexo]] &amp; "|" &amp; Tabla410[[#This Row],[Entidad]]</f>
        <v>PI|Acoso sexual|Hombre|Durango</v>
      </c>
      <c r="I44" s="77" t="str">
        <f>Tabla410[[#This Row],[P2]] &amp; "|" &amp; $E$1 &amp; "|" &amp; Tabla410[[#This Row],[Sexo]] &amp; "|" &amp; Tabla410[[#This Row],[Entidad]]</f>
        <v>PS|Acoso sexual|Hombre|Durango</v>
      </c>
      <c r="J44" s="78">
        <f>VLOOKUP($E$1,Tabla5[[#All],[name]:[id_1]],2,FALSE)</f>
        <v>6</v>
      </c>
      <c r="K44" s="78">
        <f>VLOOKUP($B$1,Tabla6[[#All],[name]:[id_2]],2)</f>
        <v>18</v>
      </c>
      <c r="L44" s="78">
        <f>VLOOKUP(Tabla410[[#This Row],[Sexo]],Tabla8[[#All],[name]:[gender_id]],2,FALSE)</f>
        <v>2</v>
      </c>
      <c r="M44" s="78" t="str">
        <f>IF(LEN(Tabla410[[#This Row],[centros]])&gt;0,VLOOKUP(Tabla410[[#This Row],[centros]],Tabla2[[#All],[Centros]:[ID]],2,FALSE),"NULL")</f>
        <v>NULL</v>
      </c>
      <c r="N44" s="78">
        <f>VLOOKUP(Tabla410[[#This Row],[Entidad]],Tabla3[[#All],[name]:[ID_2]],2,FALSE)</f>
        <v>10</v>
      </c>
      <c r="O44" s="78">
        <f>IFERROR(VLOOKUP(Tabla410[[#This Row],[CLAVE PI]], Tabla10[], 10, FALSE), 0)</f>
        <v>0</v>
      </c>
      <c r="P44" s="79">
        <f>IFERROR(VLOOKUP(Tabla410[[#This Row],[CLAVE PS]], Tabla10[], 10, FALSE), 0)</f>
        <v>0</v>
      </c>
      <c r="Q44" s="30" t="str">
        <f t="shared" si="1"/>
        <v>INSERT INTO indicator_category_details (category_id, year_id, gender_id, center_id, state_id, PI, PS, status) VALUES (6, 18, 2, NULL, 10, 0, 0, 1);</v>
      </c>
    </row>
    <row r="45" spans="1:17" ht="15.75" x14ac:dyDescent="0.25">
      <c r="A45" s="34"/>
      <c r="B45" s="39" t="s">
        <v>1046</v>
      </c>
      <c r="C45" s="39" t="s">
        <v>1050</v>
      </c>
      <c r="D45" s="29"/>
      <c r="E45" s="3" t="s">
        <v>1043</v>
      </c>
      <c r="F45" s="3" t="s">
        <v>606</v>
      </c>
      <c r="G45" s="4"/>
      <c r="H45" s="76" t="str">
        <f>Tabla410[[#This Row],[P1]] &amp; "|" &amp; $E$1 &amp; "|" &amp; Tabla410[[#This Row],[Sexo]] &amp; "|" &amp; Tabla410[[#This Row],[Entidad]]</f>
        <v>PI|Acoso sexual|Hombre|Guanajuato</v>
      </c>
      <c r="I45" s="77" t="str">
        <f>Tabla410[[#This Row],[P2]] &amp; "|" &amp; $E$1 &amp; "|" &amp; Tabla410[[#This Row],[Sexo]] &amp; "|" &amp; Tabla410[[#This Row],[Entidad]]</f>
        <v>PS|Acoso sexual|Hombre|Guanajuato</v>
      </c>
      <c r="J45" s="78">
        <f>VLOOKUP($E$1,Tabla5[[#All],[name]:[id_1]],2,FALSE)</f>
        <v>6</v>
      </c>
      <c r="K45" s="78">
        <f>VLOOKUP($B$1,Tabla6[[#All],[name]:[id_2]],2)</f>
        <v>18</v>
      </c>
      <c r="L45" s="78">
        <f>VLOOKUP(Tabla410[[#This Row],[Sexo]],Tabla8[[#All],[name]:[gender_id]],2,FALSE)</f>
        <v>2</v>
      </c>
      <c r="M45" s="78" t="str">
        <f>IF(LEN(Tabla410[[#This Row],[centros]])&gt;0,VLOOKUP(Tabla410[[#This Row],[centros]],Tabla2[[#All],[Centros]:[ID]],2,FALSE),"NULL")</f>
        <v>NULL</v>
      </c>
      <c r="N45" s="78">
        <f>VLOOKUP(Tabla410[[#This Row],[Entidad]],Tabla3[[#All],[name]:[ID_2]],2,FALSE)</f>
        <v>11</v>
      </c>
      <c r="O45" s="78">
        <f>IFERROR(VLOOKUP(Tabla410[[#This Row],[CLAVE PI]], Tabla10[], 10, FALSE), 0)</f>
        <v>8</v>
      </c>
      <c r="P45" s="79">
        <f>IFERROR(VLOOKUP(Tabla410[[#This Row],[CLAVE PS]], Tabla10[], 10, FALSE), 0)</f>
        <v>0</v>
      </c>
      <c r="Q45" s="30" t="str">
        <f t="shared" si="1"/>
        <v>INSERT INTO indicator_category_details (category_id, year_id, gender_id, center_id, state_id, PI, PS, status) VALUES (6, 18, 2, NULL, 11, 8, 0, 1);</v>
      </c>
    </row>
    <row r="46" spans="1:17" ht="15.75" x14ac:dyDescent="0.25">
      <c r="A46" s="34"/>
      <c r="B46" s="39" t="s">
        <v>1046</v>
      </c>
      <c r="C46" s="39" t="s">
        <v>1050</v>
      </c>
      <c r="D46" s="29"/>
      <c r="E46" s="3" t="s">
        <v>1043</v>
      </c>
      <c r="F46" s="3" t="s">
        <v>619</v>
      </c>
      <c r="G46" s="4"/>
      <c r="H46" s="76" t="str">
        <f>Tabla410[[#This Row],[P1]] &amp; "|" &amp; $E$1 &amp; "|" &amp; Tabla410[[#This Row],[Sexo]] &amp; "|" &amp; Tabla410[[#This Row],[Entidad]]</f>
        <v>PI|Acoso sexual|Hombre|Guerrero</v>
      </c>
      <c r="I46" s="77" t="str">
        <f>Tabla410[[#This Row],[P2]] &amp; "|" &amp; $E$1 &amp; "|" &amp; Tabla410[[#This Row],[Sexo]] &amp; "|" &amp; Tabla410[[#This Row],[Entidad]]</f>
        <v>PS|Acoso sexual|Hombre|Guerrero</v>
      </c>
      <c r="J46" s="78">
        <f>VLOOKUP($E$1,Tabla5[[#All],[name]:[id_1]],2,FALSE)</f>
        <v>6</v>
      </c>
      <c r="K46" s="78">
        <f>VLOOKUP($B$1,Tabla6[[#All],[name]:[id_2]],2)</f>
        <v>18</v>
      </c>
      <c r="L46" s="78">
        <f>VLOOKUP(Tabla410[[#This Row],[Sexo]],Tabla8[[#All],[name]:[gender_id]],2,FALSE)</f>
        <v>2</v>
      </c>
      <c r="M46" s="78" t="str">
        <f>IF(LEN(Tabla410[[#This Row],[centros]])&gt;0,VLOOKUP(Tabla410[[#This Row],[centros]],Tabla2[[#All],[Centros]:[ID]],2,FALSE),"NULL")</f>
        <v>NULL</v>
      </c>
      <c r="N46" s="78">
        <f>VLOOKUP(Tabla410[[#This Row],[Entidad]],Tabla3[[#All],[name]:[ID_2]],2,FALSE)</f>
        <v>12</v>
      </c>
      <c r="O46" s="78">
        <f>IFERROR(VLOOKUP(Tabla410[[#This Row],[CLAVE PI]], Tabla10[], 10, FALSE), 0)</f>
        <v>2</v>
      </c>
      <c r="P46" s="79">
        <f>IFERROR(VLOOKUP(Tabla410[[#This Row],[CLAVE PS]], Tabla10[], 10, FALSE), 0)</f>
        <v>0</v>
      </c>
      <c r="Q46" s="30" t="str">
        <f t="shared" si="1"/>
        <v>INSERT INTO indicator_category_details (category_id, year_id, gender_id, center_id, state_id, PI, PS, status) VALUES (6, 18, 2, NULL, 12, 2, 0, 1);</v>
      </c>
    </row>
    <row r="47" spans="1:17" ht="15.75" x14ac:dyDescent="0.25">
      <c r="A47" s="34"/>
      <c r="B47" s="39" t="s">
        <v>1046</v>
      </c>
      <c r="C47" s="39" t="s">
        <v>1050</v>
      </c>
      <c r="D47" s="29"/>
      <c r="E47" s="3" t="s">
        <v>1043</v>
      </c>
      <c r="F47" s="3" t="s">
        <v>633</v>
      </c>
      <c r="G47" s="4"/>
      <c r="H47" s="76" t="str">
        <f>Tabla410[[#This Row],[P1]] &amp; "|" &amp; $E$1 &amp; "|" &amp; Tabla410[[#This Row],[Sexo]] &amp; "|" &amp; Tabla410[[#This Row],[Entidad]]</f>
        <v>PI|Acoso sexual|Hombre|Hidalgo</v>
      </c>
      <c r="I47" s="77" t="str">
        <f>Tabla410[[#This Row],[P2]] &amp; "|" &amp; $E$1 &amp; "|" &amp; Tabla410[[#This Row],[Sexo]] &amp; "|" &amp; Tabla410[[#This Row],[Entidad]]</f>
        <v>PS|Acoso sexual|Hombre|Hidalgo</v>
      </c>
      <c r="J47" s="78">
        <f>VLOOKUP($E$1,Tabla5[[#All],[name]:[id_1]],2,FALSE)</f>
        <v>6</v>
      </c>
      <c r="K47" s="78">
        <f>VLOOKUP($B$1,Tabla6[[#All],[name]:[id_2]],2)</f>
        <v>18</v>
      </c>
      <c r="L47" s="78">
        <f>VLOOKUP(Tabla410[[#This Row],[Sexo]],Tabla8[[#All],[name]:[gender_id]],2,FALSE)</f>
        <v>2</v>
      </c>
      <c r="M47" s="78" t="str">
        <f>IF(LEN(Tabla410[[#This Row],[centros]])&gt;0,VLOOKUP(Tabla410[[#This Row],[centros]],Tabla2[[#All],[Centros]:[ID]],2,FALSE),"NULL")</f>
        <v>NULL</v>
      </c>
      <c r="N47" s="78">
        <f>VLOOKUP(Tabla410[[#This Row],[Entidad]],Tabla3[[#All],[name]:[ID_2]],2,FALSE)</f>
        <v>13</v>
      </c>
      <c r="O47" s="78">
        <f>IFERROR(VLOOKUP(Tabla410[[#This Row],[CLAVE PI]], Tabla10[], 10, FALSE), 0)</f>
        <v>4</v>
      </c>
      <c r="P47" s="79">
        <f>IFERROR(VLOOKUP(Tabla410[[#This Row],[CLAVE PS]], Tabla10[], 10, FALSE), 0)</f>
        <v>0</v>
      </c>
      <c r="Q47" s="30" t="str">
        <f t="shared" si="1"/>
        <v>INSERT INTO indicator_category_details (category_id, year_id, gender_id, center_id, state_id, PI, PS, status) VALUES (6, 18, 2, NULL, 13, 4, 0, 1);</v>
      </c>
    </row>
    <row r="48" spans="1:17" ht="15.75" x14ac:dyDescent="0.25">
      <c r="A48" s="34"/>
      <c r="B48" s="39" t="s">
        <v>1046</v>
      </c>
      <c r="C48" s="39" t="s">
        <v>1050</v>
      </c>
      <c r="D48" s="29"/>
      <c r="E48" s="3" t="s">
        <v>1043</v>
      </c>
      <c r="F48" s="3" t="s">
        <v>647</v>
      </c>
      <c r="G48" s="4"/>
      <c r="H48" s="76" t="str">
        <f>Tabla410[[#This Row],[P1]] &amp; "|" &amp; $E$1 &amp; "|" &amp; Tabla410[[#This Row],[Sexo]] &amp; "|" &amp; Tabla410[[#This Row],[Entidad]]</f>
        <v>PI|Acoso sexual|Hombre|Jalisco</v>
      </c>
      <c r="I48" s="77" t="str">
        <f>Tabla410[[#This Row],[P2]] &amp; "|" &amp; $E$1 &amp; "|" &amp; Tabla410[[#This Row],[Sexo]] &amp; "|" &amp; Tabla410[[#This Row],[Entidad]]</f>
        <v>PS|Acoso sexual|Hombre|Jalisco</v>
      </c>
      <c r="J48" s="78">
        <f>VLOOKUP($E$1,Tabla5[[#All],[name]:[id_1]],2,FALSE)</f>
        <v>6</v>
      </c>
      <c r="K48" s="78">
        <f>VLOOKUP($B$1,Tabla6[[#All],[name]:[id_2]],2)</f>
        <v>18</v>
      </c>
      <c r="L48" s="78">
        <f>VLOOKUP(Tabla410[[#This Row],[Sexo]],Tabla8[[#All],[name]:[gender_id]],2,FALSE)</f>
        <v>2</v>
      </c>
      <c r="M48" s="78" t="str">
        <f>IF(LEN(Tabla410[[#This Row],[centros]])&gt;0,VLOOKUP(Tabla410[[#This Row],[centros]],Tabla2[[#All],[Centros]:[ID]],2,FALSE),"NULL")</f>
        <v>NULL</v>
      </c>
      <c r="N48" s="78">
        <f>VLOOKUP(Tabla410[[#This Row],[Entidad]],Tabla3[[#All],[name]:[ID_2]],2,FALSE)</f>
        <v>14</v>
      </c>
      <c r="O48" s="78">
        <f>IFERROR(VLOOKUP(Tabla410[[#This Row],[CLAVE PI]], Tabla10[], 10, FALSE), 0)</f>
        <v>3</v>
      </c>
      <c r="P48" s="79">
        <f>IFERROR(VLOOKUP(Tabla410[[#This Row],[CLAVE PS]], Tabla10[], 10, FALSE), 0)</f>
        <v>0</v>
      </c>
      <c r="Q48" s="30" t="str">
        <f t="shared" si="1"/>
        <v>INSERT INTO indicator_category_details (category_id, year_id, gender_id, center_id, state_id, PI, PS, status) VALUES (6, 18, 2, NULL, 14, 3, 0, 1);</v>
      </c>
    </row>
    <row r="49" spans="1:17" ht="15.75" x14ac:dyDescent="0.25">
      <c r="A49" s="34"/>
      <c r="B49" s="39" t="s">
        <v>1046</v>
      </c>
      <c r="C49" s="39" t="s">
        <v>1050</v>
      </c>
      <c r="D49" s="29"/>
      <c r="E49" s="3" t="s">
        <v>1043</v>
      </c>
      <c r="F49" s="3" t="s">
        <v>662</v>
      </c>
      <c r="G49" s="4"/>
      <c r="H49" s="76" t="str">
        <f>Tabla410[[#This Row],[P1]] &amp; "|" &amp; $E$1 &amp; "|" &amp; Tabla410[[#This Row],[Sexo]] &amp; "|" &amp; Tabla410[[#This Row],[Entidad]]</f>
        <v>PI|Acoso sexual|Hombre|México</v>
      </c>
      <c r="I49" s="77" t="str">
        <f>Tabla410[[#This Row],[P2]] &amp; "|" &amp; $E$1 &amp; "|" &amp; Tabla410[[#This Row],[Sexo]] &amp; "|" &amp; Tabla410[[#This Row],[Entidad]]</f>
        <v>PS|Acoso sexual|Hombre|México</v>
      </c>
      <c r="J49" s="78">
        <f>VLOOKUP($E$1,Tabla5[[#All],[name]:[id_1]],2,FALSE)</f>
        <v>6</v>
      </c>
      <c r="K49" s="78">
        <f>VLOOKUP($B$1,Tabla6[[#All],[name]:[id_2]],2)</f>
        <v>18</v>
      </c>
      <c r="L49" s="78">
        <f>VLOOKUP(Tabla410[[#This Row],[Sexo]],Tabla8[[#All],[name]:[gender_id]],2,FALSE)</f>
        <v>2</v>
      </c>
      <c r="M49" s="78" t="str">
        <f>IF(LEN(Tabla410[[#This Row],[centros]])&gt;0,VLOOKUP(Tabla410[[#This Row],[centros]],Tabla2[[#All],[Centros]:[ID]],2,FALSE),"NULL")</f>
        <v>NULL</v>
      </c>
      <c r="N49" s="78">
        <f>VLOOKUP(Tabla410[[#This Row],[Entidad]],Tabla3[[#All],[name]:[ID_2]],2,FALSE)</f>
        <v>15</v>
      </c>
      <c r="O49" s="78">
        <f>IFERROR(VLOOKUP(Tabla410[[#This Row],[CLAVE PI]], Tabla10[], 10, FALSE), 0)</f>
        <v>13</v>
      </c>
      <c r="P49" s="79">
        <f>IFERROR(VLOOKUP(Tabla410[[#This Row],[CLAVE PS]], Tabla10[], 10, FALSE), 0)</f>
        <v>0</v>
      </c>
      <c r="Q49" s="30" t="str">
        <f t="shared" si="1"/>
        <v>INSERT INTO indicator_category_details (category_id, year_id, gender_id, center_id, state_id, PI, PS, status) VALUES (6, 18, 2, NULL, 15, 13, 0, 1);</v>
      </c>
    </row>
    <row r="50" spans="1:17" ht="15.75" x14ac:dyDescent="0.25">
      <c r="A50" s="34"/>
      <c r="B50" s="39" t="s">
        <v>1046</v>
      </c>
      <c r="C50" s="39" t="s">
        <v>1050</v>
      </c>
      <c r="D50" s="29"/>
      <c r="E50" s="3" t="s">
        <v>1043</v>
      </c>
      <c r="F50" s="3" t="s">
        <v>685</v>
      </c>
      <c r="G50" s="4"/>
      <c r="H50" s="76" t="str">
        <f>Tabla410[[#This Row],[P1]] &amp; "|" &amp; $E$1 &amp; "|" &amp; Tabla410[[#This Row],[Sexo]] &amp; "|" &amp; Tabla410[[#This Row],[Entidad]]</f>
        <v>PI|Acoso sexual|Hombre|Michoacán de Ocampo</v>
      </c>
      <c r="I50" s="77" t="str">
        <f>Tabla410[[#This Row],[P2]] &amp; "|" &amp; $E$1 &amp; "|" &amp; Tabla410[[#This Row],[Sexo]] &amp; "|" &amp; Tabla410[[#This Row],[Entidad]]</f>
        <v>PS|Acoso sexual|Hombre|Michoacán de Ocampo</v>
      </c>
      <c r="J50" s="78">
        <f>VLOOKUP($E$1,Tabla5[[#All],[name]:[id_1]],2,FALSE)</f>
        <v>6</v>
      </c>
      <c r="K50" s="78">
        <f>VLOOKUP($B$1,Tabla6[[#All],[name]:[id_2]],2)</f>
        <v>18</v>
      </c>
      <c r="L50" s="78">
        <f>VLOOKUP(Tabla410[[#This Row],[Sexo]],Tabla8[[#All],[name]:[gender_id]],2,FALSE)</f>
        <v>2</v>
      </c>
      <c r="M50" s="78" t="str">
        <f>IF(LEN(Tabla410[[#This Row],[centros]])&gt;0,VLOOKUP(Tabla410[[#This Row],[centros]],Tabla2[[#All],[Centros]:[ID]],2,FALSE),"NULL")</f>
        <v>NULL</v>
      </c>
      <c r="N50" s="78">
        <f>VLOOKUP(Tabla410[[#This Row],[Entidad]],Tabla3[[#All],[name]:[ID_2]],2,FALSE)</f>
        <v>16</v>
      </c>
      <c r="O50" s="78">
        <f>IFERROR(VLOOKUP(Tabla410[[#This Row],[CLAVE PI]], Tabla10[], 10, FALSE), 0)</f>
        <v>0</v>
      </c>
      <c r="P50" s="79">
        <f>IFERROR(VLOOKUP(Tabla410[[#This Row],[CLAVE PS]], Tabla10[], 10, FALSE), 0)</f>
        <v>0</v>
      </c>
      <c r="Q50" s="30" t="str">
        <f t="shared" si="1"/>
        <v>INSERT INTO indicator_category_details (category_id, year_id, gender_id, center_id, state_id, PI, PS, status) VALUES (6, 18, 2, NULL, 16, 0, 0, 1);</v>
      </c>
    </row>
    <row r="51" spans="1:17" ht="15.75" x14ac:dyDescent="0.25">
      <c r="A51" s="34"/>
      <c r="B51" s="39" t="s">
        <v>1046</v>
      </c>
      <c r="C51" s="39" t="s">
        <v>1050</v>
      </c>
      <c r="D51" s="29"/>
      <c r="E51" s="3" t="s">
        <v>1043</v>
      </c>
      <c r="F51" s="3" t="s">
        <v>698</v>
      </c>
      <c r="G51" s="4"/>
      <c r="H51" s="76" t="str">
        <f>Tabla410[[#This Row],[P1]] &amp; "|" &amp; $E$1 &amp; "|" &amp; Tabla410[[#This Row],[Sexo]] &amp; "|" &amp; Tabla410[[#This Row],[Entidad]]</f>
        <v>PI|Acoso sexual|Hombre|Morelos</v>
      </c>
      <c r="I51" s="77" t="str">
        <f>Tabla410[[#This Row],[P2]] &amp; "|" &amp; $E$1 &amp; "|" &amp; Tabla410[[#This Row],[Sexo]] &amp; "|" &amp; Tabla410[[#This Row],[Entidad]]</f>
        <v>PS|Acoso sexual|Hombre|Morelos</v>
      </c>
      <c r="J51" s="78">
        <f>VLOOKUP($E$1,Tabla5[[#All],[name]:[id_1]],2,FALSE)</f>
        <v>6</v>
      </c>
      <c r="K51" s="78">
        <f>VLOOKUP($B$1,Tabla6[[#All],[name]:[id_2]],2)</f>
        <v>18</v>
      </c>
      <c r="L51" s="78">
        <f>VLOOKUP(Tabla410[[#This Row],[Sexo]],Tabla8[[#All],[name]:[gender_id]],2,FALSE)</f>
        <v>2</v>
      </c>
      <c r="M51" s="78" t="str">
        <f>IF(LEN(Tabla410[[#This Row],[centros]])&gt;0,VLOOKUP(Tabla410[[#This Row],[centros]],Tabla2[[#All],[Centros]:[ID]],2,FALSE),"NULL")</f>
        <v>NULL</v>
      </c>
      <c r="N51" s="78">
        <f>VLOOKUP(Tabla410[[#This Row],[Entidad]],Tabla3[[#All],[name]:[ID_2]],2,FALSE)</f>
        <v>17</v>
      </c>
      <c r="O51" s="78">
        <f>IFERROR(VLOOKUP(Tabla410[[#This Row],[CLAVE PI]], Tabla10[], 10, FALSE), 0)</f>
        <v>1</v>
      </c>
      <c r="P51" s="79">
        <f>IFERROR(VLOOKUP(Tabla410[[#This Row],[CLAVE PS]], Tabla10[], 10, FALSE), 0)</f>
        <v>0</v>
      </c>
      <c r="Q51" s="30" t="str">
        <f t="shared" si="1"/>
        <v>INSERT INTO indicator_category_details (category_id, year_id, gender_id, center_id, state_id, PI, PS, status) VALUES (6, 18, 2, NULL, 17, 1, 0, 1);</v>
      </c>
    </row>
    <row r="52" spans="1:17" ht="15.75" x14ac:dyDescent="0.25">
      <c r="A52" s="34"/>
      <c r="B52" s="39" t="s">
        <v>1046</v>
      </c>
      <c r="C52" s="39" t="s">
        <v>1050</v>
      </c>
      <c r="D52" s="29"/>
      <c r="E52" s="3" t="s">
        <v>1043</v>
      </c>
      <c r="F52" s="3" t="s">
        <v>705</v>
      </c>
      <c r="G52" s="4"/>
      <c r="H52" s="76" t="str">
        <f>Tabla410[[#This Row],[P1]] &amp; "|" &amp; $E$1 &amp; "|" &amp; Tabla410[[#This Row],[Sexo]] &amp; "|" &amp; Tabla410[[#This Row],[Entidad]]</f>
        <v>PI|Acoso sexual|Hombre|Nayarit</v>
      </c>
      <c r="I52" s="77" t="str">
        <f>Tabla410[[#This Row],[P2]] &amp; "|" &amp; $E$1 &amp; "|" &amp; Tabla410[[#This Row],[Sexo]] &amp; "|" &amp; Tabla410[[#This Row],[Entidad]]</f>
        <v>PS|Acoso sexual|Hombre|Nayarit</v>
      </c>
      <c r="J52" s="78">
        <f>VLOOKUP($E$1,Tabla5[[#All],[name]:[id_1]],2,FALSE)</f>
        <v>6</v>
      </c>
      <c r="K52" s="78">
        <f>VLOOKUP($B$1,Tabla6[[#All],[name]:[id_2]],2)</f>
        <v>18</v>
      </c>
      <c r="L52" s="78">
        <f>VLOOKUP(Tabla410[[#This Row],[Sexo]],Tabla8[[#All],[name]:[gender_id]],2,FALSE)</f>
        <v>2</v>
      </c>
      <c r="M52" s="78" t="str">
        <f>IF(LEN(Tabla410[[#This Row],[centros]])&gt;0,VLOOKUP(Tabla410[[#This Row],[centros]],Tabla2[[#All],[Centros]:[ID]],2,FALSE),"NULL")</f>
        <v>NULL</v>
      </c>
      <c r="N52" s="78">
        <f>VLOOKUP(Tabla410[[#This Row],[Entidad]],Tabla3[[#All],[name]:[ID_2]],2,FALSE)</f>
        <v>18</v>
      </c>
      <c r="O52" s="78">
        <f>IFERROR(VLOOKUP(Tabla410[[#This Row],[CLAVE PI]], Tabla10[], 10, FALSE), 0)</f>
        <v>5</v>
      </c>
      <c r="P52" s="79">
        <f>IFERROR(VLOOKUP(Tabla410[[#This Row],[CLAVE PS]], Tabla10[], 10, FALSE), 0)</f>
        <v>0</v>
      </c>
      <c r="Q52" s="30" t="str">
        <f t="shared" si="1"/>
        <v>INSERT INTO indicator_category_details (category_id, year_id, gender_id, center_id, state_id, PI, PS, status) VALUES (6, 18, 2, NULL, 18, 5, 0, 1);</v>
      </c>
    </row>
    <row r="53" spans="1:17" ht="15.75" x14ac:dyDescent="0.25">
      <c r="A53" s="34"/>
      <c r="B53" s="39" t="s">
        <v>1046</v>
      </c>
      <c r="C53" s="39" t="s">
        <v>1050</v>
      </c>
      <c r="D53" s="29"/>
      <c r="E53" s="3" t="s">
        <v>1043</v>
      </c>
      <c r="F53" s="3" t="s">
        <v>710</v>
      </c>
      <c r="G53" s="4"/>
      <c r="H53" s="76" t="str">
        <f>Tabla410[[#This Row],[P1]] &amp; "|" &amp; $E$1 &amp; "|" &amp; Tabla410[[#This Row],[Sexo]] &amp; "|" &amp; Tabla410[[#This Row],[Entidad]]</f>
        <v>PI|Acoso sexual|Hombre|Nuevo León</v>
      </c>
      <c r="I53" s="77" t="str">
        <f>Tabla410[[#This Row],[P2]] &amp; "|" &amp; $E$1 &amp; "|" &amp; Tabla410[[#This Row],[Sexo]] &amp; "|" &amp; Tabla410[[#This Row],[Entidad]]</f>
        <v>PS|Acoso sexual|Hombre|Nuevo León</v>
      </c>
      <c r="J53" s="78">
        <f>VLOOKUP($E$1,Tabla5[[#All],[name]:[id_1]],2,FALSE)</f>
        <v>6</v>
      </c>
      <c r="K53" s="78">
        <f>VLOOKUP($B$1,Tabla6[[#All],[name]:[id_2]],2)</f>
        <v>18</v>
      </c>
      <c r="L53" s="78">
        <f>VLOOKUP(Tabla410[[#This Row],[Sexo]],Tabla8[[#All],[name]:[gender_id]],2,FALSE)</f>
        <v>2</v>
      </c>
      <c r="M53" s="78" t="str">
        <f>IF(LEN(Tabla410[[#This Row],[centros]])&gt;0,VLOOKUP(Tabla410[[#This Row],[centros]],Tabla2[[#All],[Centros]:[ID]],2,FALSE),"NULL")</f>
        <v>NULL</v>
      </c>
      <c r="N53" s="78">
        <f>VLOOKUP(Tabla410[[#This Row],[Entidad]],Tabla3[[#All],[name]:[ID_2]],2,FALSE)</f>
        <v>19</v>
      </c>
      <c r="O53" s="78">
        <f>IFERROR(VLOOKUP(Tabla410[[#This Row],[CLAVE PI]], Tabla10[], 10, FALSE), 0)</f>
        <v>46</v>
      </c>
      <c r="P53" s="79">
        <f>IFERROR(VLOOKUP(Tabla410[[#This Row],[CLAVE PS]], Tabla10[], 10, FALSE), 0)</f>
        <v>0</v>
      </c>
      <c r="Q53" s="30" t="str">
        <f t="shared" si="1"/>
        <v>INSERT INTO indicator_category_details (category_id, year_id, gender_id, center_id, state_id, PI, PS, status) VALUES (6, 18, 2, NULL, 19, 46, 0, 1);</v>
      </c>
    </row>
    <row r="54" spans="1:17" ht="15.75" x14ac:dyDescent="0.25">
      <c r="A54" s="34"/>
      <c r="B54" s="39" t="s">
        <v>1046</v>
      </c>
      <c r="C54" s="39" t="s">
        <v>1050</v>
      </c>
      <c r="D54" s="29"/>
      <c r="E54" s="3" t="s">
        <v>1043</v>
      </c>
      <c r="F54" s="3" t="s">
        <v>716</v>
      </c>
      <c r="G54" s="4"/>
      <c r="H54" s="76" t="str">
        <f>Tabla410[[#This Row],[P1]] &amp; "|" &amp; $E$1 &amp; "|" &amp; Tabla410[[#This Row],[Sexo]] &amp; "|" &amp; Tabla410[[#This Row],[Entidad]]</f>
        <v>PI|Acoso sexual|Hombre|Oaxaca</v>
      </c>
      <c r="I54" s="77" t="str">
        <f>Tabla410[[#This Row],[P2]] &amp; "|" &amp; $E$1 &amp; "|" &amp; Tabla410[[#This Row],[Sexo]] &amp; "|" &amp; Tabla410[[#This Row],[Entidad]]</f>
        <v>PS|Acoso sexual|Hombre|Oaxaca</v>
      </c>
      <c r="J54" s="78">
        <f>VLOOKUP($E$1,Tabla5[[#All],[name]:[id_1]],2,FALSE)</f>
        <v>6</v>
      </c>
      <c r="K54" s="78">
        <f>VLOOKUP($B$1,Tabla6[[#All],[name]:[id_2]],2)</f>
        <v>18</v>
      </c>
      <c r="L54" s="78">
        <f>VLOOKUP(Tabla410[[#This Row],[Sexo]],Tabla8[[#All],[name]:[gender_id]],2,FALSE)</f>
        <v>2</v>
      </c>
      <c r="M54" s="78" t="str">
        <f>IF(LEN(Tabla410[[#This Row],[centros]])&gt;0,VLOOKUP(Tabla410[[#This Row],[centros]],Tabla2[[#All],[Centros]:[ID]],2,FALSE),"NULL")</f>
        <v>NULL</v>
      </c>
      <c r="N54" s="78">
        <f>VLOOKUP(Tabla410[[#This Row],[Entidad]],Tabla3[[#All],[name]:[ID_2]],2,FALSE)</f>
        <v>20</v>
      </c>
      <c r="O54" s="78">
        <f>IFERROR(VLOOKUP(Tabla410[[#This Row],[CLAVE PI]], Tabla10[], 10, FALSE), 0)</f>
        <v>7</v>
      </c>
      <c r="P54" s="79">
        <f>IFERROR(VLOOKUP(Tabla410[[#This Row],[CLAVE PS]], Tabla10[], 10, FALSE), 0)</f>
        <v>0</v>
      </c>
      <c r="Q54" s="30" t="str">
        <f t="shared" si="1"/>
        <v>INSERT INTO indicator_category_details (category_id, year_id, gender_id, center_id, state_id, PI, PS, status) VALUES (6, 18, 2, NULL, 20, 7, 0, 1);</v>
      </c>
    </row>
    <row r="55" spans="1:17" ht="15.75" x14ac:dyDescent="0.25">
      <c r="A55" s="34"/>
      <c r="B55" s="39" t="s">
        <v>1046</v>
      </c>
      <c r="C55" s="39" t="s">
        <v>1050</v>
      </c>
      <c r="D55" s="29"/>
      <c r="E55" s="3" t="s">
        <v>1043</v>
      </c>
      <c r="F55" s="3" t="s">
        <v>727</v>
      </c>
      <c r="G55" s="4"/>
      <c r="H55" s="76" t="str">
        <f>Tabla410[[#This Row],[P1]] &amp; "|" &amp; $E$1 &amp; "|" &amp; Tabla410[[#This Row],[Sexo]] &amp; "|" &amp; Tabla410[[#This Row],[Entidad]]</f>
        <v>PI|Acoso sexual|Hombre|Puebla</v>
      </c>
      <c r="I55" s="77" t="str">
        <f>Tabla410[[#This Row],[P2]] &amp; "|" &amp; $E$1 &amp; "|" &amp; Tabla410[[#This Row],[Sexo]] &amp; "|" &amp; Tabla410[[#This Row],[Entidad]]</f>
        <v>PS|Acoso sexual|Hombre|Puebla</v>
      </c>
      <c r="J55" s="78">
        <f>VLOOKUP($E$1,Tabla5[[#All],[name]:[id_1]],2,FALSE)</f>
        <v>6</v>
      </c>
      <c r="K55" s="78">
        <f>VLOOKUP($B$1,Tabla6[[#All],[name]:[id_2]],2)</f>
        <v>18</v>
      </c>
      <c r="L55" s="78">
        <f>VLOOKUP(Tabla410[[#This Row],[Sexo]],Tabla8[[#All],[name]:[gender_id]],2,FALSE)</f>
        <v>2</v>
      </c>
      <c r="M55" s="78" t="str">
        <f>IF(LEN(Tabla410[[#This Row],[centros]])&gt;0,VLOOKUP(Tabla410[[#This Row],[centros]],Tabla2[[#All],[Centros]:[ID]],2,FALSE),"NULL")</f>
        <v>NULL</v>
      </c>
      <c r="N55" s="78">
        <f>VLOOKUP(Tabla410[[#This Row],[Entidad]],Tabla3[[#All],[name]:[ID_2]],2,FALSE)</f>
        <v>21</v>
      </c>
      <c r="O55" s="78">
        <f>IFERROR(VLOOKUP(Tabla410[[#This Row],[CLAVE PI]], Tabla10[], 10, FALSE), 0)</f>
        <v>12</v>
      </c>
      <c r="P55" s="79">
        <f>IFERROR(VLOOKUP(Tabla410[[#This Row],[CLAVE PS]], Tabla10[], 10, FALSE), 0)</f>
        <v>0</v>
      </c>
      <c r="Q55" s="30" t="str">
        <f t="shared" si="1"/>
        <v>INSERT INTO indicator_category_details (category_id, year_id, gender_id, center_id, state_id, PI, PS, status) VALUES (6, 18, 2, NULL, 21, 12, 0, 1);</v>
      </c>
    </row>
    <row r="56" spans="1:17" ht="15.75" x14ac:dyDescent="0.25">
      <c r="A56" s="34"/>
      <c r="B56" s="39" t="s">
        <v>1046</v>
      </c>
      <c r="C56" s="39" t="s">
        <v>1050</v>
      </c>
      <c r="D56" s="29"/>
      <c r="E56" s="3" t="s">
        <v>1043</v>
      </c>
      <c r="F56" s="3" t="s">
        <v>731</v>
      </c>
      <c r="G56" s="4"/>
      <c r="H56" s="76" t="str">
        <f>Tabla410[[#This Row],[P1]] &amp; "|" &amp; $E$1 &amp; "|" &amp; Tabla410[[#This Row],[Sexo]] &amp; "|" &amp; Tabla410[[#This Row],[Entidad]]</f>
        <v>PI|Acoso sexual|Hombre|Querétaro</v>
      </c>
      <c r="I56" s="77" t="str">
        <f>Tabla410[[#This Row],[P2]] &amp; "|" &amp; $E$1 &amp; "|" &amp; Tabla410[[#This Row],[Sexo]] &amp; "|" &amp; Tabla410[[#This Row],[Entidad]]</f>
        <v>PS|Acoso sexual|Hombre|Querétaro</v>
      </c>
      <c r="J56" s="78">
        <f>VLOOKUP($E$1,Tabla5[[#All],[name]:[id_1]],2,FALSE)</f>
        <v>6</v>
      </c>
      <c r="K56" s="78">
        <f>VLOOKUP($B$1,Tabla6[[#All],[name]:[id_2]],2)</f>
        <v>18</v>
      </c>
      <c r="L56" s="78">
        <f>VLOOKUP(Tabla410[[#This Row],[Sexo]],Tabla8[[#All],[name]:[gender_id]],2,FALSE)</f>
        <v>2</v>
      </c>
      <c r="M56" s="78" t="str">
        <f>IF(LEN(Tabla410[[#This Row],[centros]])&gt;0,VLOOKUP(Tabla410[[#This Row],[centros]],Tabla2[[#All],[Centros]:[ID]],2,FALSE),"NULL")</f>
        <v>NULL</v>
      </c>
      <c r="N56" s="78">
        <f>VLOOKUP(Tabla410[[#This Row],[Entidad]],Tabla3[[#All],[name]:[ID_2]],2,FALSE)</f>
        <v>22</v>
      </c>
      <c r="O56" s="78">
        <f>IFERROR(VLOOKUP(Tabla410[[#This Row],[CLAVE PI]], Tabla10[], 10, FALSE), 0)</f>
        <v>8</v>
      </c>
      <c r="P56" s="79">
        <f>IFERROR(VLOOKUP(Tabla410[[#This Row],[CLAVE PS]], Tabla10[], 10, FALSE), 0)</f>
        <v>0</v>
      </c>
      <c r="Q56" s="30" t="str">
        <f t="shared" si="1"/>
        <v>INSERT INTO indicator_category_details (category_id, year_id, gender_id, center_id, state_id, PI, PS, status) VALUES (6, 18, 2, NULL, 22, 8, 0, 1);</v>
      </c>
    </row>
    <row r="57" spans="1:17" ht="15.75" x14ac:dyDescent="0.25">
      <c r="A57" s="34"/>
      <c r="B57" s="39" t="s">
        <v>1046</v>
      </c>
      <c r="C57" s="39" t="s">
        <v>1050</v>
      </c>
      <c r="D57" s="29"/>
      <c r="E57" s="3" t="s">
        <v>1043</v>
      </c>
      <c r="F57" s="3" t="s">
        <v>737</v>
      </c>
      <c r="G57" s="4"/>
      <c r="H57" s="76" t="str">
        <f>Tabla410[[#This Row],[P1]] &amp; "|" &amp; $E$1 &amp; "|" &amp; Tabla410[[#This Row],[Sexo]] &amp; "|" &amp; Tabla410[[#This Row],[Entidad]]</f>
        <v>PI|Acoso sexual|Hombre|Quintana Roo</v>
      </c>
      <c r="I57" s="77" t="str">
        <f>Tabla410[[#This Row],[P2]] &amp; "|" &amp; $E$1 &amp; "|" &amp; Tabla410[[#This Row],[Sexo]] &amp; "|" &amp; Tabla410[[#This Row],[Entidad]]</f>
        <v>PS|Acoso sexual|Hombre|Quintana Roo</v>
      </c>
      <c r="J57" s="78">
        <f>VLOOKUP($E$1,Tabla5[[#All],[name]:[id_1]],2,FALSE)</f>
        <v>6</v>
      </c>
      <c r="K57" s="78">
        <f>VLOOKUP($B$1,Tabla6[[#All],[name]:[id_2]],2)</f>
        <v>18</v>
      </c>
      <c r="L57" s="78">
        <f>VLOOKUP(Tabla410[[#This Row],[Sexo]],Tabla8[[#All],[name]:[gender_id]],2,FALSE)</f>
        <v>2</v>
      </c>
      <c r="M57" s="78" t="str">
        <f>IF(LEN(Tabla410[[#This Row],[centros]])&gt;0,VLOOKUP(Tabla410[[#This Row],[centros]],Tabla2[[#All],[Centros]:[ID]],2,FALSE),"NULL")</f>
        <v>NULL</v>
      </c>
      <c r="N57" s="78">
        <f>VLOOKUP(Tabla410[[#This Row],[Entidad]],Tabla3[[#All],[name]:[ID_2]],2,FALSE)</f>
        <v>23</v>
      </c>
      <c r="O57" s="78">
        <f>IFERROR(VLOOKUP(Tabla410[[#This Row],[CLAVE PI]], Tabla10[], 10, FALSE), 0)</f>
        <v>1</v>
      </c>
      <c r="P57" s="79">
        <f>IFERROR(VLOOKUP(Tabla410[[#This Row],[CLAVE PS]], Tabla10[], 10, FALSE), 0)</f>
        <v>0</v>
      </c>
      <c r="Q57" s="30" t="str">
        <f t="shared" si="1"/>
        <v>INSERT INTO indicator_category_details (category_id, year_id, gender_id, center_id, state_id, PI, PS, status) VALUES (6, 18, 2, NULL, 23, 1, 0, 1);</v>
      </c>
    </row>
    <row r="58" spans="1:17" ht="15.75" x14ac:dyDescent="0.25">
      <c r="A58" s="34"/>
      <c r="B58" s="39" t="s">
        <v>1046</v>
      </c>
      <c r="C58" s="39" t="s">
        <v>1050</v>
      </c>
      <c r="D58" s="29"/>
      <c r="E58" s="3" t="s">
        <v>1043</v>
      </c>
      <c r="F58" s="3" t="s">
        <v>741</v>
      </c>
      <c r="G58" s="4"/>
      <c r="H58" s="76" t="str">
        <f>Tabla410[[#This Row],[P1]] &amp; "|" &amp; $E$1 &amp; "|" &amp; Tabla410[[#This Row],[Sexo]] &amp; "|" &amp; Tabla410[[#This Row],[Entidad]]</f>
        <v>PI|Acoso sexual|Hombre|San Luis Potosí</v>
      </c>
      <c r="I58" s="77" t="str">
        <f>Tabla410[[#This Row],[P2]] &amp; "|" &amp; $E$1 &amp; "|" &amp; Tabla410[[#This Row],[Sexo]] &amp; "|" &amp; Tabla410[[#This Row],[Entidad]]</f>
        <v>PS|Acoso sexual|Hombre|San Luis Potosí</v>
      </c>
      <c r="J58" s="78">
        <f>VLOOKUP($E$1,Tabla5[[#All],[name]:[id_1]],2,FALSE)</f>
        <v>6</v>
      </c>
      <c r="K58" s="78">
        <f>VLOOKUP($B$1,Tabla6[[#All],[name]:[id_2]],2)</f>
        <v>18</v>
      </c>
      <c r="L58" s="78">
        <f>VLOOKUP(Tabla410[[#This Row],[Sexo]],Tabla8[[#All],[name]:[gender_id]],2,FALSE)</f>
        <v>2</v>
      </c>
      <c r="M58" s="78" t="str">
        <f>IF(LEN(Tabla410[[#This Row],[centros]])&gt;0,VLOOKUP(Tabla410[[#This Row],[centros]],Tabla2[[#All],[Centros]:[ID]],2,FALSE),"NULL")</f>
        <v>NULL</v>
      </c>
      <c r="N58" s="78">
        <f>VLOOKUP(Tabla410[[#This Row],[Entidad]],Tabla3[[#All],[name]:[ID_2]],2,FALSE)</f>
        <v>24</v>
      </c>
      <c r="O58" s="78">
        <f>IFERROR(VLOOKUP(Tabla410[[#This Row],[CLAVE PI]], Tabla10[], 10, FALSE), 0)</f>
        <v>2</v>
      </c>
      <c r="P58" s="79">
        <f>IFERROR(VLOOKUP(Tabla410[[#This Row],[CLAVE PS]], Tabla10[], 10, FALSE), 0)</f>
        <v>0</v>
      </c>
      <c r="Q58" s="30" t="str">
        <f t="shared" si="1"/>
        <v>INSERT INTO indicator_category_details (category_id, year_id, gender_id, center_id, state_id, PI, PS, status) VALUES (6, 18, 2, NULL, 24, 2, 0, 1);</v>
      </c>
    </row>
    <row r="59" spans="1:17" ht="15.75" x14ac:dyDescent="0.25">
      <c r="A59" s="34"/>
      <c r="B59" s="39" t="s">
        <v>1046</v>
      </c>
      <c r="C59" s="39" t="s">
        <v>1050</v>
      </c>
      <c r="D59" s="29"/>
      <c r="E59" s="3" t="s">
        <v>1043</v>
      </c>
      <c r="F59" s="3" t="s">
        <v>749</v>
      </c>
      <c r="G59" s="4"/>
      <c r="H59" s="76" t="str">
        <f>Tabla410[[#This Row],[P1]] &amp; "|" &amp; $E$1 &amp; "|" &amp; Tabla410[[#This Row],[Sexo]] &amp; "|" &amp; Tabla410[[#This Row],[Entidad]]</f>
        <v>PI|Acoso sexual|Hombre|Sinaloa</v>
      </c>
      <c r="I59" s="77" t="str">
        <f>Tabla410[[#This Row],[P2]] &amp; "|" &amp; $E$1 &amp; "|" &amp; Tabla410[[#This Row],[Sexo]] &amp; "|" &amp; Tabla410[[#This Row],[Entidad]]</f>
        <v>PS|Acoso sexual|Hombre|Sinaloa</v>
      </c>
      <c r="J59" s="78">
        <f>VLOOKUP($E$1,Tabla5[[#All],[name]:[id_1]],2,FALSE)</f>
        <v>6</v>
      </c>
      <c r="K59" s="78">
        <f>VLOOKUP($B$1,Tabla6[[#All],[name]:[id_2]],2)</f>
        <v>18</v>
      </c>
      <c r="L59" s="78">
        <f>VLOOKUP(Tabla410[[#This Row],[Sexo]],Tabla8[[#All],[name]:[gender_id]],2,FALSE)</f>
        <v>2</v>
      </c>
      <c r="M59" s="78" t="str">
        <f>IF(LEN(Tabla410[[#This Row],[centros]])&gt;0,VLOOKUP(Tabla410[[#This Row],[centros]],Tabla2[[#All],[Centros]:[ID]],2,FALSE),"NULL")</f>
        <v>NULL</v>
      </c>
      <c r="N59" s="78">
        <f>VLOOKUP(Tabla410[[#This Row],[Entidad]],Tabla3[[#All],[name]:[ID_2]],2,FALSE)</f>
        <v>25</v>
      </c>
      <c r="O59" s="78">
        <f>IFERROR(VLOOKUP(Tabla410[[#This Row],[CLAVE PI]], Tabla10[], 10, FALSE), 0)</f>
        <v>1</v>
      </c>
      <c r="P59" s="79">
        <f>IFERROR(VLOOKUP(Tabla410[[#This Row],[CLAVE PS]], Tabla10[], 10, FALSE), 0)</f>
        <v>0</v>
      </c>
      <c r="Q59" s="30" t="str">
        <f t="shared" si="1"/>
        <v>INSERT INTO indicator_category_details (category_id, year_id, gender_id, center_id, state_id, PI, PS, status) VALUES (6, 18, 2, NULL, 25, 1, 0, 1);</v>
      </c>
    </row>
    <row r="60" spans="1:17" ht="15.75" x14ac:dyDescent="0.25">
      <c r="A60" s="34"/>
      <c r="B60" s="39" t="s">
        <v>1046</v>
      </c>
      <c r="C60" s="39" t="s">
        <v>1050</v>
      </c>
      <c r="D60" s="29"/>
      <c r="E60" s="3" t="s">
        <v>1043</v>
      </c>
      <c r="F60" s="3" t="s">
        <v>755</v>
      </c>
      <c r="G60" s="4"/>
      <c r="H60" s="76" t="str">
        <f>Tabla410[[#This Row],[P1]] &amp; "|" &amp; $E$1 &amp; "|" &amp; Tabla410[[#This Row],[Sexo]] &amp; "|" &amp; Tabla410[[#This Row],[Entidad]]</f>
        <v>PI|Acoso sexual|Hombre|Sonora</v>
      </c>
      <c r="I60" s="77" t="str">
        <f>Tabla410[[#This Row],[P2]] &amp; "|" &amp; $E$1 &amp; "|" &amp; Tabla410[[#This Row],[Sexo]] &amp; "|" &amp; Tabla410[[#This Row],[Entidad]]</f>
        <v>PS|Acoso sexual|Hombre|Sonora</v>
      </c>
      <c r="J60" s="78">
        <f>VLOOKUP($E$1,Tabla5[[#All],[name]:[id_1]],2,FALSE)</f>
        <v>6</v>
      </c>
      <c r="K60" s="78">
        <f>VLOOKUP($B$1,Tabla6[[#All],[name]:[id_2]],2)</f>
        <v>18</v>
      </c>
      <c r="L60" s="78">
        <f>VLOOKUP(Tabla410[[#This Row],[Sexo]],Tabla8[[#All],[name]:[gender_id]],2,FALSE)</f>
        <v>2</v>
      </c>
      <c r="M60" s="78" t="str">
        <f>IF(LEN(Tabla410[[#This Row],[centros]])&gt;0,VLOOKUP(Tabla410[[#This Row],[centros]],Tabla2[[#All],[Centros]:[ID]],2,FALSE),"NULL")</f>
        <v>NULL</v>
      </c>
      <c r="N60" s="78">
        <f>VLOOKUP(Tabla410[[#This Row],[Entidad]],Tabla3[[#All],[name]:[ID_2]],2,FALSE)</f>
        <v>26</v>
      </c>
      <c r="O60" s="78">
        <f>IFERROR(VLOOKUP(Tabla410[[#This Row],[CLAVE PI]], Tabla10[], 10, FALSE), 0)</f>
        <v>29</v>
      </c>
      <c r="P60" s="79">
        <f>IFERROR(VLOOKUP(Tabla410[[#This Row],[CLAVE PS]], Tabla10[], 10, FALSE), 0)</f>
        <v>0</v>
      </c>
      <c r="Q60" s="30" t="str">
        <f t="shared" si="1"/>
        <v>INSERT INTO indicator_category_details (category_id, year_id, gender_id, center_id, state_id, PI, PS, status) VALUES (6, 18, 2, NULL, 26, 29, 0, 1);</v>
      </c>
    </row>
    <row r="61" spans="1:17" ht="15.75" x14ac:dyDescent="0.25">
      <c r="A61" s="34"/>
      <c r="B61" s="39" t="s">
        <v>1046</v>
      </c>
      <c r="C61" s="39" t="s">
        <v>1050</v>
      </c>
      <c r="D61" s="29"/>
      <c r="E61" s="3" t="s">
        <v>1043</v>
      </c>
      <c r="F61" s="3" t="s">
        <v>775</v>
      </c>
      <c r="G61" s="4"/>
      <c r="H61" s="76" t="str">
        <f>Tabla410[[#This Row],[P1]] &amp; "|" &amp; $E$1 &amp; "|" &amp; Tabla410[[#This Row],[Sexo]] &amp; "|" &amp; Tabla410[[#This Row],[Entidad]]</f>
        <v>PI|Acoso sexual|Hombre|Tabasco</v>
      </c>
      <c r="I61" s="77" t="str">
        <f>Tabla410[[#This Row],[P2]] &amp; "|" &amp; $E$1 &amp; "|" &amp; Tabla410[[#This Row],[Sexo]] &amp; "|" &amp; Tabla410[[#This Row],[Entidad]]</f>
        <v>PS|Acoso sexual|Hombre|Tabasco</v>
      </c>
      <c r="J61" s="78">
        <f>VLOOKUP($E$1,Tabla5[[#All],[name]:[id_1]],2,FALSE)</f>
        <v>6</v>
      </c>
      <c r="K61" s="78">
        <f>VLOOKUP($B$1,Tabla6[[#All],[name]:[id_2]],2)</f>
        <v>18</v>
      </c>
      <c r="L61" s="78">
        <f>VLOOKUP(Tabla410[[#This Row],[Sexo]],Tabla8[[#All],[name]:[gender_id]],2,FALSE)</f>
        <v>2</v>
      </c>
      <c r="M61" s="78" t="str">
        <f>IF(LEN(Tabla410[[#This Row],[centros]])&gt;0,VLOOKUP(Tabla410[[#This Row],[centros]],Tabla2[[#All],[Centros]:[ID]],2,FALSE),"NULL")</f>
        <v>NULL</v>
      </c>
      <c r="N61" s="78">
        <f>VLOOKUP(Tabla410[[#This Row],[Entidad]],Tabla3[[#All],[name]:[ID_2]],2,FALSE)</f>
        <v>27</v>
      </c>
      <c r="O61" s="78">
        <f>IFERROR(VLOOKUP(Tabla410[[#This Row],[CLAVE PI]], Tabla10[], 10, FALSE), 0)</f>
        <v>0</v>
      </c>
      <c r="P61" s="79">
        <f>IFERROR(VLOOKUP(Tabla410[[#This Row],[CLAVE PS]], Tabla10[], 10, FALSE), 0)</f>
        <v>0</v>
      </c>
      <c r="Q61" s="30" t="str">
        <f t="shared" si="1"/>
        <v>INSERT INTO indicator_category_details (category_id, year_id, gender_id, center_id, state_id, PI, PS, status) VALUES (6, 18, 2, NULL, 27, 0, 0, 1);</v>
      </c>
    </row>
    <row r="62" spans="1:17" ht="15.75" x14ac:dyDescent="0.25">
      <c r="A62" s="34"/>
      <c r="B62" s="39" t="s">
        <v>1046</v>
      </c>
      <c r="C62" s="39" t="s">
        <v>1050</v>
      </c>
      <c r="D62" s="29"/>
      <c r="E62" s="3" t="s">
        <v>1043</v>
      </c>
      <c r="F62" s="3" t="s">
        <v>785</v>
      </c>
      <c r="G62" s="4"/>
      <c r="H62" s="76" t="str">
        <f>Tabla410[[#This Row],[P1]] &amp; "|" &amp; $E$1 &amp; "|" &amp; Tabla410[[#This Row],[Sexo]] &amp; "|" &amp; Tabla410[[#This Row],[Entidad]]</f>
        <v>PI|Acoso sexual|Hombre|Tamaulipas</v>
      </c>
      <c r="I62" s="77" t="str">
        <f>Tabla410[[#This Row],[P2]] &amp; "|" &amp; $E$1 &amp; "|" &amp; Tabla410[[#This Row],[Sexo]] &amp; "|" &amp; Tabla410[[#This Row],[Entidad]]</f>
        <v>PS|Acoso sexual|Hombre|Tamaulipas</v>
      </c>
      <c r="J62" s="78">
        <f>VLOOKUP($E$1,Tabla5[[#All],[name]:[id_1]],2,FALSE)</f>
        <v>6</v>
      </c>
      <c r="K62" s="78">
        <f>VLOOKUP($B$1,Tabla6[[#All],[name]:[id_2]],2)</f>
        <v>18</v>
      </c>
      <c r="L62" s="78">
        <f>VLOOKUP(Tabla410[[#This Row],[Sexo]],Tabla8[[#All],[name]:[gender_id]],2,FALSE)</f>
        <v>2</v>
      </c>
      <c r="M62" s="78" t="str">
        <f>IF(LEN(Tabla410[[#This Row],[centros]])&gt;0,VLOOKUP(Tabla410[[#This Row],[centros]],Tabla2[[#All],[Centros]:[ID]],2,FALSE),"NULL")</f>
        <v>NULL</v>
      </c>
      <c r="N62" s="78">
        <f>VLOOKUP(Tabla410[[#This Row],[Entidad]],Tabla3[[#All],[name]:[ID_2]],2,FALSE)</f>
        <v>28</v>
      </c>
      <c r="O62" s="78">
        <f>IFERROR(VLOOKUP(Tabla410[[#This Row],[CLAVE PI]], Tabla10[], 10, FALSE), 0)</f>
        <v>0</v>
      </c>
      <c r="P62" s="79">
        <f>IFERROR(VLOOKUP(Tabla410[[#This Row],[CLAVE PS]], Tabla10[], 10, FALSE), 0)</f>
        <v>0</v>
      </c>
      <c r="Q62" s="30" t="str">
        <f t="shared" si="1"/>
        <v>INSERT INTO indicator_category_details (category_id, year_id, gender_id, center_id, state_id, PI, PS, status) VALUES (6, 18, 2, NULL, 28, 0, 0, 1);</v>
      </c>
    </row>
    <row r="63" spans="1:17" ht="15.75" x14ac:dyDescent="0.25">
      <c r="A63" s="34"/>
      <c r="B63" s="39" t="s">
        <v>1046</v>
      </c>
      <c r="C63" s="39" t="s">
        <v>1050</v>
      </c>
      <c r="D63" s="29"/>
      <c r="E63" s="3" t="s">
        <v>1043</v>
      </c>
      <c r="F63" s="3" t="s">
        <v>797</v>
      </c>
      <c r="G63" s="4"/>
      <c r="H63" s="76" t="str">
        <f>Tabla410[[#This Row],[P1]] &amp; "|" &amp; $E$1 &amp; "|" &amp; Tabla410[[#This Row],[Sexo]] &amp; "|" &amp; Tabla410[[#This Row],[Entidad]]</f>
        <v>PI|Acoso sexual|Hombre|Tlaxcala</v>
      </c>
      <c r="I63" s="77" t="str">
        <f>Tabla410[[#This Row],[P2]] &amp; "|" &amp; $E$1 &amp; "|" &amp; Tabla410[[#This Row],[Sexo]] &amp; "|" &amp; Tabla410[[#This Row],[Entidad]]</f>
        <v>PS|Acoso sexual|Hombre|Tlaxcala</v>
      </c>
      <c r="J63" s="78">
        <f>VLOOKUP($E$1,Tabla5[[#All],[name]:[id_1]],2,FALSE)</f>
        <v>6</v>
      </c>
      <c r="K63" s="78">
        <f>VLOOKUP($B$1,Tabla6[[#All],[name]:[id_2]],2)</f>
        <v>18</v>
      </c>
      <c r="L63" s="78">
        <f>VLOOKUP(Tabla410[[#This Row],[Sexo]],Tabla8[[#All],[name]:[gender_id]],2,FALSE)</f>
        <v>2</v>
      </c>
      <c r="M63" s="78" t="str">
        <f>IF(LEN(Tabla410[[#This Row],[centros]])&gt;0,VLOOKUP(Tabla410[[#This Row],[centros]],Tabla2[[#All],[Centros]:[ID]],2,FALSE),"NULL")</f>
        <v>NULL</v>
      </c>
      <c r="N63" s="78">
        <f>VLOOKUP(Tabla410[[#This Row],[Entidad]],Tabla3[[#All],[name]:[ID_2]],2,FALSE)</f>
        <v>29</v>
      </c>
      <c r="O63" s="78">
        <f>IFERROR(VLOOKUP(Tabla410[[#This Row],[CLAVE PI]], Tabla10[], 10, FALSE), 0)</f>
        <v>1</v>
      </c>
      <c r="P63" s="79">
        <f>IFERROR(VLOOKUP(Tabla410[[#This Row],[CLAVE PS]], Tabla10[], 10, FALSE), 0)</f>
        <v>0</v>
      </c>
      <c r="Q63" s="30" t="str">
        <f t="shared" si="1"/>
        <v>INSERT INTO indicator_category_details (category_id, year_id, gender_id, center_id, state_id, PI, PS, status) VALUES (6, 18, 2, NULL, 29, 1, 0, 1);</v>
      </c>
    </row>
    <row r="64" spans="1:17" ht="15.75" x14ac:dyDescent="0.25">
      <c r="A64" s="34"/>
      <c r="B64" s="39" t="s">
        <v>1046</v>
      </c>
      <c r="C64" s="39" t="s">
        <v>1050</v>
      </c>
      <c r="D64" s="29"/>
      <c r="E64" s="3" t="s">
        <v>1043</v>
      </c>
      <c r="F64" s="3" t="s">
        <v>802</v>
      </c>
      <c r="G64" s="4"/>
      <c r="H64" s="76" t="str">
        <f>Tabla410[[#This Row],[P1]] &amp; "|" &amp; $E$1 &amp; "|" &amp; Tabla410[[#This Row],[Sexo]] &amp; "|" &amp; Tabla410[[#This Row],[Entidad]]</f>
        <v>PI|Acoso sexual|Hombre|Veracruz de Ignacio de la Llave</v>
      </c>
      <c r="I64" s="77" t="str">
        <f>Tabla410[[#This Row],[P2]] &amp; "|" &amp; $E$1 &amp; "|" &amp; Tabla410[[#This Row],[Sexo]] &amp; "|" &amp; Tabla410[[#This Row],[Entidad]]</f>
        <v>PS|Acoso sexual|Hombre|Veracruz de Ignacio de la Llave</v>
      </c>
      <c r="J64" s="78">
        <f>VLOOKUP($E$1,Tabla5[[#All],[name]:[id_1]],2,FALSE)</f>
        <v>6</v>
      </c>
      <c r="K64" s="78">
        <f>VLOOKUP($B$1,Tabla6[[#All],[name]:[id_2]],2)</f>
        <v>18</v>
      </c>
      <c r="L64" s="78">
        <f>VLOOKUP(Tabla410[[#This Row],[Sexo]],Tabla8[[#All],[name]:[gender_id]],2,FALSE)</f>
        <v>2</v>
      </c>
      <c r="M64" s="78" t="str">
        <f>IF(LEN(Tabla410[[#This Row],[centros]])&gt;0,VLOOKUP(Tabla410[[#This Row],[centros]],Tabla2[[#All],[Centros]:[ID]],2,FALSE),"NULL")</f>
        <v>NULL</v>
      </c>
      <c r="N64" s="78">
        <f>VLOOKUP(Tabla410[[#This Row],[Entidad]],Tabla3[[#All],[name]:[ID_2]],2,FALSE)</f>
        <v>30</v>
      </c>
      <c r="O64" s="78">
        <f>IFERROR(VLOOKUP(Tabla410[[#This Row],[CLAVE PI]], Tabla10[], 10, FALSE), 0)</f>
        <v>14</v>
      </c>
      <c r="P64" s="79">
        <f>IFERROR(VLOOKUP(Tabla410[[#This Row],[CLAVE PS]], Tabla10[], 10, FALSE), 0)</f>
        <v>0</v>
      </c>
      <c r="Q64" s="30" t="str">
        <f t="shared" si="1"/>
        <v>INSERT INTO indicator_category_details (category_id, year_id, gender_id, center_id, state_id, PI, PS, status) VALUES (6, 18, 2, NULL, 30, 14, 0, 1);</v>
      </c>
    </row>
    <row r="65" spans="1:17" ht="15.75" x14ac:dyDescent="0.25">
      <c r="A65" s="34"/>
      <c r="B65" s="39" t="s">
        <v>1046</v>
      </c>
      <c r="C65" s="39" t="s">
        <v>1050</v>
      </c>
      <c r="D65" s="29"/>
      <c r="E65" s="3" t="s">
        <v>1043</v>
      </c>
      <c r="F65" s="3" t="s">
        <v>822</v>
      </c>
      <c r="G65" s="4"/>
      <c r="H65" s="76" t="str">
        <f>Tabla410[[#This Row],[P1]] &amp; "|" &amp; $E$1 &amp; "|" &amp; Tabla410[[#This Row],[Sexo]] &amp; "|" &amp; Tabla410[[#This Row],[Entidad]]</f>
        <v>PI|Acoso sexual|Hombre|Yucatán</v>
      </c>
      <c r="I65" s="77" t="str">
        <f>Tabla410[[#This Row],[P2]] &amp; "|" &amp; $E$1 &amp; "|" &amp; Tabla410[[#This Row],[Sexo]] &amp; "|" &amp; Tabla410[[#This Row],[Entidad]]</f>
        <v>PS|Acoso sexual|Hombre|Yucatán</v>
      </c>
      <c r="J65" s="78">
        <f>VLOOKUP($E$1,Tabla5[[#All],[name]:[id_1]],2,FALSE)</f>
        <v>6</v>
      </c>
      <c r="K65" s="78">
        <f>VLOOKUP($B$1,Tabla6[[#All],[name]:[id_2]],2)</f>
        <v>18</v>
      </c>
      <c r="L65" s="78">
        <f>VLOOKUP(Tabla410[[#This Row],[Sexo]],Tabla8[[#All],[name]:[gender_id]],2,FALSE)</f>
        <v>2</v>
      </c>
      <c r="M65" s="78" t="str">
        <f>IF(LEN(Tabla410[[#This Row],[centros]])&gt;0,VLOOKUP(Tabla410[[#This Row],[centros]],Tabla2[[#All],[Centros]:[ID]],2,FALSE),"NULL")</f>
        <v>NULL</v>
      </c>
      <c r="N65" s="78">
        <f>VLOOKUP(Tabla410[[#This Row],[Entidad]],Tabla3[[#All],[name]:[ID_2]],2,FALSE)</f>
        <v>31</v>
      </c>
      <c r="O65" s="78">
        <f>IFERROR(VLOOKUP(Tabla410[[#This Row],[CLAVE PI]], Tabla10[], 10, FALSE), 0)</f>
        <v>2</v>
      </c>
      <c r="P65" s="79">
        <f>IFERROR(VLOOKUP(Tabla410[[#This Row],[CLAVE PS]], Tabla10[], 10, FALSE), 0)</f>
        <v>0</v>
      </c>
      <c r="Q65" s="30" t="str">
        <f t="shared" si="1"/>
        <v>INSERT INTO indicator_category_details (category_id, year_id, gender_id, center_id, state_id, PI, PS, status) VALUES (6, 18, 2, NULL, 31, 2, 0, 1);</v>
      </c>
    </row>
    <row r="66" spans="1:17" ht="15.75" x14ac:dyDescent="0.25">
      <c r="A66" s="34"/>
      <c r="B66" s="41" t="s">
        <v>1046</v>
      </c>
      <c r="C66" s="41" t="s">
        <v>1050</v>
      </c>
      <c r="D66" s="29"/>
      <c r="E66" s="3" t="s">
        <v>1043</v>
      </c>
      <c r="F66" s="11" t="s">
        <v>827</v>
      </c>
      <c r="G66" s="12"/>
      <c r="H66" s="80" t="str">
        <f>Tabla410[[#This Row],[P1]] &amp; "|" &amp; $E$1 &amp; "|" &amp; Tabla410[[#This Row],[Sexo]] &amp; "|" &amp; Tabla410[[#This Row],[Entidad]]</f>
        <v>PI|Acoso sexual|Hombre|Zacatecas</v>
      </c>
      <c r="I66" s="81" t="str">
        <f>Tabla410[[#This Row],[P2]] &amp; "|" &amp; $E$1 &amp; "|" &amp; Tabla410[[#This Row],[Sexo]] &amp; "|" &amp; Tabla410[[#This Row],[Entidad]]</f>
        <v>PS|Acoso sexual|Hombre|Zacatecas</v>
      </c>
      <c r="J66" s="82">
        <f>VLOOKUP($E$1,Tabla5[[#All],[name]:[id_1]],2,FALSE)</f>
        <v>6</v>
      </c>
      <c r="K66" s="82">
        <f>VLOOKUP($B$1,Tabla6[[#All],[name]:[id_2]],2)</f>
        <v>18</v>
      </c>
      <c r="L66" s="82">
        <f>VLOOKUP(Tabla410[[#This Row],[Sexo]],Tabla8[[#All],[name]:[gender_id]],2,FALSE)</f>
        <v>2</v>
      </c>
      <c r="M66" s="82" t="str">
        <f>IF(LEN(Tabla410[[#This Row],[centros]])&gt;0,VLOOKUP(Tabla410[[#This Row],[centros]],Tabla2[[#All],[Centros]:[ID]],2,FALSE),"NULL")</f>
        <v>NULL</v>
      </c>
      <c r="N66" s="82">
        <f>VLOOKUP(Tabla410[[#This Row],[Entidad]],Tabla3[[#All],[name]:[ID_2]],2,FALSE)</f>
        <v>32</v>
      </c>
      <c r="O66" s="82">
        <f>IFERROR(VLOOKUP(Tabla410[[#This Row],[CLAVE PI]], Tabla10[], 10, FALSE), 0)</f>
        <v>6</v>
      </c>
      <c r="P66" s="87">
        <f>IFERROR(VLOOKUP(Tabla410[[#This Row],[CLAVE PS]], Tabla10[], 10, FALSE), 0)</f>
        <v>0</v>
      </c>
      <c r="Q66" s="31" t="str">
        <f t="shared" si="1"/>
        <v>INSERT INTO indicator_category_details (category_id, year_id, gender_id, center_id, state_id, PI, PS, status) VALUES (6, 18, 2, NULL, 32, 6, 0, 1);</v>
      </c>
    </row>
  </sheetData>
  <mergeCells count="3">
    <mergeCell ref="O1:P1"/>
    <mergeCell ref="B1:C1"/>
    <mergeCell ref="E1:F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Miguel Trinidad Gómez Hernandez</cp:lastModifiedBy>
  <dcterms:created xsi:type="dcterms:W3CDTF">2015-06-05T18:19:34Z</dcterms:created>
  <dcterms:modified xsi:type="dcterms:W3CDTF">2026-04-29T01:20:04Z</dcterms:modified>
</cp:coreProperties>
</file>
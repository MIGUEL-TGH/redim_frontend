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ERVER\Documents\REDIM_1\data\"/>
    </mc:Choice>
  </mc:AlternateContent>
  <xr:revisionPtr revIDLastSave="0" documentId="13_ncr:1_{E79E40C2-0D1E-485B-B9D4-04D890091A66}" xr6:coauthVersionLast="47" xr6:coauthVersionMax="47" xr10:uidLastSave="{00000000-0000-0000-0000-000000000000}"/>
  <bookViews>
    <workbookView xWindow="-120" yWindow="-120" windowWidth="29040" windowHeight="15840" activeTab="9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16" l="1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J3" i="16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I3" i="16"/>
  <c r="I4" i="16"/>
  <c r="I5" i="16"/>
  <c r="I6" i="16"/>
  <c r="I10" i="16"/>
  <c r="I11" i="16"/>
  <c r="I7" i="16"/>
  <c r="I8" i="16"/>
  <c r="I9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H3" i="16"/>
  <c r="H4" i="16"/>
  <c r="H5" i="16"/>
  <c r="H6" i="16"/>
  <c r="H10" i="16"/>
  <c r="H11" i="16"/>
  <c r="H7" i="16"/>
  <c r="H8" i="16"/>
  <c r="H9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A3" i="17"/>
  <c r="A2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N34" i="16"/>
  <c r="L34" i="16"/>
  <c r="J34" i="16"/>
  <c r="K34" i="16"/>
  <c r="N33" i="16"/>
  <c r="L33" i="16"/>
  <c r="J33" i="16"/>
  <c r="K33" i="16"/>
  <c r="N32" i="16"/>
  <c r="L32" i="16"/>
  <c r="J32" i="16"/>
  <c r="K32" i="16"/>
  <c r="N31" i="16"/>
  <c r="L31" i="16"/>
  <c r="J31" i="16"/>
  <c r="K31" i="16"/>
  <c r="N30" i="16"/>
  <c r="L30" i="16"/>
  <c r="J30" i="16"/>
  <c r="K30" i="16"/>
  <c r="N29" i="16"/>
  <c r="L29" i="16"/>
  <c r="J29" i="16"/>
  <c r="K29" i="16"/>
  <c r="N28" i="16"/>
  <c r="L28" i="16"/>
  <c r="J28" i="16"/>
  <c r="K28" i="16"/>
  <c r="N27" i="16"/>
  <c r="L27" i="16"/>
  <c r="J27" i="16"/>
  <c r="K27" i="16"/>
  <c r="N26" i="16"/>
  <c r="L26" i="16"/>
  <c r="J26" i="16"/>
  <c r="K26" i="16"/>
  <c r="N25" i="16"/>
  <c r="L25" i="16"/>
  <c r="J25" i="16"/>
  <c r="K25" i="16"/>
  <c r="N24" i="16"/>
  <c r="L24" i="16"/>
  <c r="J24" i="16"/>
  <c r="K24" i="16"/>
  <c r="N23" i="16"/>
  <c r="L23" i="16"/>
  <c r="J23" i="16"/>
  <c r="K23" i="16"/>
  <c r="N22" i="16"/>
  <c r="L22" i="16"/>
  <c r="J22" i="16"/>
  <c r="K22" i="16"/>
  <c r="N21" i="16"/>
  <c r="L21" i="16"/>
  <c r="J21" i="16"/>
  <c r="K21" i="16"/>
  <c r="N20" i="16"/>
  <c r="L20" i="16"/>
  <c r="J20" i="16"/>
  <c r="K20" i="16"/>
  <c r="N19" i="16"/>
  <c r="L19" i="16"/>
  <c r="J19" i="16"/>
  <c r="K19" i="16"/>
  <c r="N18" i="16"/>
  <c r="L18" i="16"/>
  <c r="J18" i="16"/>
  <c r="K18" i="16"/>
  <c r="N17" i="16"/>
  <c r="L17" i="16"/>
  <c r="J17" i="16"/>
  <c r="K17" i="16"/>
  <c r="N16" i="16"/>
  <c r="L16" i="16"/>
  <c r="J16" i="16"/>
  <c r="K16" i="16"/>
  <c r="N15" i="16"/>
  <c r="L15" i="16"/>
  <c r="J15" i="16"/>
  <c r="K15" i="16"/>
  <c r="N14" i="16"/>
  <c r="L14" i="16"/>
  <c r="J14" i="16"/>
  <c r="K14" i="16"/>
  <c r="N13" i="16"/>
  <c r="L13" i="16"/>
  <c r="J13" i="16"/>
  <c r="K13" i="16"/>
  <c r="N12" i="16"/>
  <c r="L12" i="16"/>
  <c r="J12" i="16"/>
  <c r="K12" i="16"/>
  <c r="N9" i="16"/>
  <c r="L9" i="16"/>
  <c r="J9" i="16"/>
  <c r="K9" i="16"/>
  <c r="N8" i="16"/>
  <c r="L8" i="16"/>
  <c r="J8" i="16"/>
  <c r="K8" i="16"/>
  <c r="N7" i="16"/>
  <c r="L7" i="16"/>
  <c r="J7" i="16"/>
  <c r="K7" i="16"/>
  <c r="N11" i="16"/>
  <c r="L11" i="16"/>
  <c r="J11" i="16"/>
  <c r="K11" i="16"/>
  <c r="N10" i="16"/>
  <c r="L10" i="16"/>
  <c r="J10" i="16"/>
  <c r="K10" i="16"/>
  <c r="N6" i="16"/>
  <c r="L6" i="16"/>
  <c r="J6" i="16"/>
  <c r="K6" i="16"/>
  <c r="N5" i="16"/>
  <c r="L5" i="16"/>
  <c r="J5" i="16"/>
  <c r="K5" i="16"/>
  <c r="N4" i="16"/>
  <c r="L4" i="16"/>
  <c r="J4" i="16"/>
  <c r="K4" i="16"/>
  <c r="N3" i="16"/>
  <c r="K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P23" i="7" s="1"/>
  <c r="L24" i="7"/>
  <c r="L25" i="7"/>
  <c r="L26" i="7"/>
  <c r="L27" i="7"/>
  <c r="P27" i="7" s="1"/>
  <c r="L28" i="7"/>
  <c r="L29" i="7"/>
  <c r="L30" i="7"/>
  <c r="L31" i="7"/>
  <c r="P31" i="7" s="1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40" i="16" l="1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Q40" i="16" s="1"/>
  <c r="O36" i="16"/>
  <c r="Q36" i="16" s="1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Q63" i="16" s="1"/>
  <c r="O59" i="16"/>
  <c r="Q59" i="16" s="1"/>
  <c r="O55" i="16"/>
  <c r="Q55" i="16" s="1"/>
  <c r="O51" i="16"/>
  <c r="O47" i="16"/>
  <c r="Q47" i="16" s="1"/>
  <c r="O43" i="16"/>
  <c r="Q43" i="16" s="1"/>
  <c r="O39" i="16"/>
  <c r="Q39" i="16" s="1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Q66" i="16" s="1"/>
  <c r="O62" i="16"/>
  <c r="Q62" i="16" s="1"/>
  <c r="O58" i="16"/>
  <c r="O54" i="16"/>
  <c r="O50" i="16"/>
  <c r="Q50" i="16" s="1"/>
  <c r="O46" i="16"/>
  <c r="O42" i="16"/>
  <c r="O3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3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38" i="16" l="1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<sst xmlns="http://schemas.openxmlformats.org/spreadsheetml/2006/main" count="4447" uniqueCount="1055">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</sst>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/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6" xfId="0" applyFont="1" applyBorder="1" applyAlignment="1">
      <alignment vertical="center"/>
    </xf>
    <xf numFmtId="0" fontId="0" fillId="0" borderId="27" xfId="0" applyBorder="1" applyAlignment="1">
      <alignment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8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1" fillId="0" borderId="0" xfId="0" applyFont="1"/>
    <xf numFmtId="0" fontId="3" fillId="0" borderId="32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4" fillId="3" borderId="32" xfId="0" applyFont="1" applyFill="1" applyBorder="1" applyAlignment="1">
      <alignment vertical="center"/>
    </xf>
    <xf numFmtId="0" fontId="0" fillId="3" borderId="33" xfId="0" applyFill="1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2"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1:L129" totalsRowShown="0" headerRowBorderDxfId="24">
  <autoFilter ref="A1:L129" xr:uid="{EAC00C4E-73F1-4642-8118-20AD61557C35}"/>
  <tableColumns count="12">
    <tableColumn id="11" xr3:uid="{19713AA2-F325-47E1-A12C-4A21FD0E56CB}" name="clave" dataDxfId="23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22"/>
    <tableColumn id="1" xr3:uid="{020B40CA-F4A7-468D-87B2-7AD625927556}" name="Año" dataDxfId="2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20" headerRowBorderDxfId="19" tableBorderDxfId="18" totalsRowBorderDxfId="17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16"/>
    <tableColumn id="7" xr3:uid="{331A649C-88C6-439B-9544-91B76EFFB31D}" name="P1" dataDxfId="15"/>
    <tableColumn id="2" xr3:uid="{0F9E1E44-85C7-46E0-810E-F6CCB4FCD38B}" name="P2" dataDxfId="14"/>
    <tableColumn id="3" xr3:uid="{3C360704-A620-4712-9DFB-D18F18E1FFAA}" name="Agrupación" dataDxfId="13"/>
    <tableColumn id="4" xr3:uid="{B9C9E24E-431A-4E02-BD27-D9E2FED9D866}" name="Sexo" dataDxfId="12"/>
    <tableColumn id="5" xr3:uid="{A5539537-BC8F-4361-A685-E9D9E0D8D391}" name="Entidad" dataDxfId="11"/>
    <tableColumn id="6" xr3:uid="{7CF3C25D-B790-43EE-86CC-A8FE6753FAE7}" name="centros" dataDxfId="10"/>
    <tableColumn id="12" xr3:uid="{F98FBCDE-6892-487E-9494-975576D9AC0F}" name="CLAVE PI" dataDxfId="9">
      <calculatedColumnFormula>Tabla410[[#This Row],[P1]] &amp; "|" &amp;Tabla410[[#This Row],[Agrupación]] &amp; "|" &amp; Tabla410[[#This Row],[Sexo]] &amp; "|" &amp; Tabla410[[#This Row],[Entidad]]</calculatedColumnFormula>
    </tableColumn>
    <tableColumn id="13" xr3:uid="{45D84198-86DD-489A-80EB-6C69661FFB46}" name="CLAVE PS" dataDxfId="8">
      <calculatedColumnFormula>Tabla410[[#This Row],[P2]] &amp; "|" &amp;Tabla410[[#This Row],[Agrupación]] &amp; "|" &amp; Tabla410[[#This Row],[Sexo]] &amp; "|" &amp; Tabla410[[#This Row],[Entidad]]</calculatedColumnFormula>
    </tableColumn>
    <tableColumn id="19" xr3:uid="{1F439AF8-7D30-4309-B5ED-942819B0E864}" name="category_id" dataDxfId="7">
      <calculatedColumnFormula>VLOOKUP(Tabla410[[#This Row],[Agrupación]],Tabla5[[#All],[name]:[id_1]],2,FALSE)</calculatedColumnFormula>
    </tableColumn>
    <tableColumn id="17" xr3:uid="{4E0CDD5E-747E-42EB-82D7-D375E8508F69}" name="year_id" dataDxfId="6">
      <calculatedColumnFormula>VLOOKUP(Tabla410[[#This Row],[Año]],Tabla6[[#All],[name]:[id_2]],2)</calculatedColumnFormula>
    </tableColumn>
    <tableColumn id="18" xr3:uid="{0F028C54-C26A-4FB1-AD19-C4819ED71F29}" name="gender_id" dataDxfId="5">
      <calculatedColumnFormula>VLOOKUP(Tabla410[[#This Row],[Sexo]],Tabla8[[#All],[name]:[gender_id]],2,FALSE)</calculatedColumnFormula>
    </tableColumn>
    <tableColumn id="22" xr3:uid="{127CB7B9-68C0-4B60-B118-CF52F42DA41C}" name="center_id" dataDxfId="4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3">
      <calculatedColumnFormula>VLOOKUP(Tabla410[[#This Row],[Entidad]],Tabla3[[#All],[name]:[ID_2]],2,FALSE)</calculatedColumnFormula>
    </tableColumn>
    <tableColumn id="8" xr3:uid="{04CA0156-0EBF-49BA-A619-A63810C9E4E0}" name="PI" dataDxfId="2">
      <calculatedColumnFormula>IFERROR(VLOOKUP(Tabla410[[#This Row],[CLAVE PI]], Tabla10[], 10, FALSE), 0)</calculatedColumnFormula>
    </tableColumn>
    <tableColumn id="9" xr3:uid="{9948CB1D-EA2E-464A-9025-644D9051E5F1}" name="PS" dataDxfId="1">
      <calculatedColumnFormula>IFERROR(VLOOKUP(Tabla410[[#This Row],[CLAVE PS]], Tabla10[], 10, FALSE), 0)</calculatedColumnFormula>
    </tableColumn>
    <tableColumn id="11" xr3:uid="{1158E333-374D-491A-AFD7-0959D2BB943E}" name="QUERY" dataDxfId="0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18"/>
  <sheetViews>
    <sheetView workbookViewId="0">
      <selection activeCell="G2" sqref="G2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51">
        <v>1</v>
      </c>
      <c r="C2" s="51" t="s">
        <v>14</v>
      </c>
      <c r="D2">
        <v>1</v>
      </c>
      <c r="G2">
        <v>384</v>
      </c>
    </row>
    <row r="3" spans="1:7" x14ac:dyDescent="0.25">
      <c r="A3" s="51">
        <v>2</v>
      </c>
      <c r="C3" s="51" t="s">
        <v>16</v>
      </c>
      <c r="D3">
        <v>2</v>
      </c>
      <c r="G3">
        <v>378</v>
      </c>
    </row>
    <row r="4" spans="1:7" x14ac:dyDescent="0.25">
      <c r="A4">
        <v>3</v>
      </c>
      <c r="C4" s="51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51" t="s">
        <v>17</v>
      </c>
      <c r="D6">
        <v>5</v>
      </c>
      <c r="G6">
        <v>320</v>
      </c>
    </row>
    <row r="7" spans="1:7" x14ac:dyDescent="0.25">
      <c r="A7">
        <v>6</v>
      </c>
      <c r="C7" s="51" t="s">
        <v>20</v>
      </c>
      <c r="D7">
        <v>6</v>
      </c>
    </row>
    <row r="8" spans="1:7" x14ac:dyDescent="0.25">
      <c r="A8">
        <v>7</v>
      </c>
      <c r="D8">
        <v>7</v>
      </c>
    </row>
    <row r="9" spans="1:7" x14ac:dyDescent="0.25">
      <c r="A9">
        <v>8</v>
      </c>
      <c r="D9">
        <v>8</v>
      </c>
    </row>
    <row r="10" spans="1:7" x14ac:dyDescent="0.25">
      <c r="A10">
        <v>9</v>
      </c>
      <c r="D10">
        <v>9</v>
      </c>
    </row>
    <row r="11" spans="1:7" x14ac:dyDescent="0.25">
      <c r="A11">
        <v>10</v>
      </c>
      <c r="D11">
        <v>10</v>
      </c>
    </row>
    <row r="12" spans="1:7" x14ac:dyDescent="0.25">
      <c r="A12">
        <v>11</v>
      </c>
      <c r="D12">
        <v>11</v>
      </c>
    </row>
    <row r="13" spans="1:7" x14ac:dyDescent="0.25">
      <c r="A13">
        <v>12</v>
      </c>
      <c r="D13">
        <v>12</v>
      </c>
    </row>
    <row r="14" spans="1:7" x14ac:dyDescent="0.25">
      <c r="A14">
        <v>13</v>
      </c>
      <c r="D14">
        <v>13</v>
      </c>
    </row>
    <row r="15" spans="1:7" x14ac:dyDescent="0.25">
      <c r="A15">
        <v>14</v>
      </c>
      <c r="D15">
        <v>14</v>
      </c>
    </row>
    <row r="16" spans="1:7" x14ac:dyDescent="0.25">
      <c r="A16">
        <v>15</v>
      </c>
      <c r="D16">
        <v>15</v>
      </c>
    </row>
    <row r="17" spans="1:4" x14ac:dyDescent="0.25">
      <c r="A17">
        <v>16</v>
      </c>
      <c r="D17">
        <v>16</v>
      </c>
    </row>
    <row r="18" spans="1:4" x14ac:dyDescent="0.25">
      <c r="A18">
        <v>17</v>
      </c>
      <c r="D18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topLeftCell="F1" workbookViewId="0">
      <selection activeCell="P2" sqref="P2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29"/>
  <sheetViews>
    <sheetView workbookViewId="0">
      <selection activeCell="C2" sqref="C2"/>
    </sheetView>
  </sheetViews>
  <sheetFormatPr baseColWidth="10" defaultRowHeight="15" x14ac:dyDescent="0.25"/>
  <cols>
    <col min="1" max="1" width="22" customWidth="1"/>
    <col min="2" max="3" width="9.85546875" customWidth="1"/>
    <col min="4" max="4" width="47.5703125" customWidth="1"/>
    <col min="5" max="5" width="21.140625" customWidth="1"/>
    <col min="6" max="6" width="12.140625" customWidth="1"/>
    <col min="7" max="7" width="29.85546875" customWidth="1"/>
    <col min="9" max="12" width="15.7109375" customWidth="1"/>
  </cols>
  <sheetData>
    <row r="1" spans="1:12" ht="15.75" thickBot="1" x14ac:dyDescent="0.3">
      <c r="A1" s="24" t="s">
        <v>1047</v>
      </c>
      <c r="B1" s="25" t="s">
        <v>1051</v>
      </c>
      <c r="C1" s="26" t="s">
        <v>1019</v>
      </c>
      <c r="D1" s="27" t="s">
        <v>1020</v>
      </c>
      <c r="E1" s="27" t="s">
        <v>1045</v>
      </c>
      <c r="F1" s="27" t="s">
        <v>1022</v>
      </c>
      <c r="G1" s="27" t="s">
        <v>1023</v>
      </c>
      <c r="H1" s="27" t="s">
        <v>1044</v>
      </c>
      <c r="I1" s="27" t="s">
        <v>24</v>
      </c>
      <c r="J1" s="27" t="s">
        <v>1024</v>
      </c>
      <c r="K1" s="27" t="s">
        <v>1025</v>
      </c>
      <c r="L1" s="25" t="s">
        <v>1026</v>
      </c>
    </row>
    <row r="2" spans="1:12" x14ac:dyDescent="0.25">
      <c r="A2" s="65" t="str">
        <f>Tabla10[[#This Row],[TIPO_P]] &amp; "|" &amp;Tabla10[[#This Row],[Agrupación]] &amp; "|" &amp; Tabla10[[#This Row],[Sexo]] &amp; "|" &amp; Tabla10[[#This Row],[Entidad]]</f>
        <v>PS|||</v>
      </c>
      <c r="B2" s="66" t="s">
        <v>1050</v>
      </c>
      <c r="C2" s="28"/>
      <c r="D2" s="29"/>
      <c r="E2" s="29"/>
      <c r="F2" s="29"/>
      <c r="G2" s="29"/>
      <c r="H2" s="29"/>
      <c r="I2" s="29"/>
      <c r="J2" s="29"/>
      <c r="K2" s="29"/>
      <c r="L2" s="20"/>
    </row>
    <row r="3" spans="1:12" x14ac:dyDescent="0.25">
      <c r="A3" s="67" t="str">
        <f>Tabla10[[#This Row],[TIPO_P]] &amp; "|" &amp;Tabla10[[#This Row],[Agrupación]] &amp; "|" &amp; Tabla10[[#This Row],[Sexo]] &amp; "|" &amp; Tabla10[[#This Row],[Entidad]]</f>
        <v>PS|||</v>
      </c>
      <c r="B3" s="68" t="s">
        <v>1050</v>
      </c>
      <c r="C3" s="16"/>
      <c r="L3" s="30"/>
    </row>
    <row r="4" spans="1:12" x14ac:dyDescent="0.25">
      <c r="A4" s="67" t="str">
        <f>Tabla10[[#This Row],[TIPO_P]] &amp; "|" &amp;Tabla10[[#This Row],[Agrupación]] &amp; "|" &amp; Tabla10[[#This Row],[Sexo]] &amp; "|" &amp; Tabla10[[#This Row],[Entidad]]</f>
        <v>PS|||</v>
      </c>
      <c r="B4" s="68" t="s">
        <v>1050</v>
      </c>
      <c r="C4" s="16"/>
      <c r="L4" s="30"/>
    </row>
    <row r="5" spans="1:12" x14ac:dyDescent="0.25">
      <c r="A5" s="67" t="str">
        <f>Tabla10[[#This Row],[TIPO_P]] &amp; "|" &amp;Tabla10[[#This Row],[Agrupación]] &amp; "|" &amp; Tabla10[[#This Row],[Sexo]] &amp; "|" &amp; Tabla10[[#This Row],[Entidad]]</f>
        <v>PS|||</v>
      </c>
      <c r="B5" s="68" t="s">
        <v>1050</v>
      </c>
      <c r="C5" s="16"/>
      <c r="L5" s="30"/>
    </row>
    <row r="6" spans="1:12" x14ac:dyDescent="0.25">
      <c r="A6" s="67" t="str">
        <f>Tabla10[[#This Row],[TIPO_P]] &amp; "|" &amp;Tabla10[[#This Row],[Agrupación]] &amp; "|" &amp; Tabla10[[#This Row],[Sexo]] &amp; "|" &amp; Tabla10[[#This Row],[Entidad]]</f>
        <v>PS|||</v>
      </c>
      <c r="B6" s="68" t="s">
        <v>1050</v>
      </c>
      <c r="C6" s="16"/>
      <c r="L6" s="30"/>
    </row>
    <row r="7" spans="1:12" x14ac:dyDescent="0.25">
      <c r="A7" s="67" t="str">
        <f>Tabla10[[#This Row],[TIPO_P]] &amp; "|" &amp;Tabla10[[#This Row],[Agrupación]] &amp; "|" &amp; Tabla10[[#This Row],[Sexo]] &amp; "|" &amp; Tabla10[[#This Row],[Entidad]]</f>
        <v>PS|||</v>
      </c>
      <c r="B7" s="68" t="s">
        <v>1050</v>
      </c>
      <c r="C7" s="16"/>
      <c r="L7" s="30"/>
    </row>
    <row r="8" spans="1:12" x14ac:dyDescent="0.25">
      <c r="A8" s="67" t="str">
        <f>Tabla10[[#This Row],[TIPO_P]] &amp; "|" &amp;Tabla10[[#This Row],[Agrupación]] &amp; "|" &amp; Tabla10[[#This Row],[Sexo]] &amp; "|" &amp; Tabla10[[#This Row],[Entidad]]</f>
        <v>PS|||</v>
      </c>
      <c r="B8" s="68" t="s">
        <v>1050</v>
      </c>
      <c r="C8" s="16"/>
      <c r="L8" s="30"/>
    </row>
    <row r="9" spans="1:12" x14ac:dyDescent="0.25">
      <c r="A9" s="67" t="str">
        <f>Tabla10[[#This Row],[TIPO_P]] &amp; "|" &amp;Tabla10[[#This Row],[Agrupación]] &amp; "|" &amp; Tabla10[[#This Row],[Sexo]] &amp; "|" &amp; Tabla10[[#This Row],[Entidad]]</f>
        <v>PS|||</v>
      </c>
      <c r="B9" s="68" t="s">
        <v>1050</v>
      </c>
      <c r="C9" s="16"/>
      <c r="L9" s="30"/>
    </row>
    <row r="10" spans="1:12" x14ac:dyDescent="0.25">
      <c r="A10" s="67" t="str">
        <f>Tabla10[[#This Row],[TIPO_P]] &amp; "|" &amp;Tabla10[[#This Row],[Agrupación]] &amp; "|" &amp; Tabla10[[#This Row],[Sexo]] &amp; "|" &amp; Tabla10[[#This Row],[Entidad]]</f>
        <v>PS|||</v>
      </c>
      <c r="B10" s="68" t="s">
        <v>1050</v>
      </c>
      <c r="C10" s="16"/>
      <c r="L10" s="30"/>
    </row>
    <row r="11" spans="1:12" x14ac:dyDescent="0.25">
      <c r="A11" s="67" t="str">
        <f>Tabla10[[#This Row],[TIPO_P]] &amp; "|" &amp;Tabla10[[#This Row],[Agrupación]] &amp; "|" &amp; Tabla10[[#This Row],[Sexo]] &amp; "|" &amp; Tabla10[[#This Row],[Entidad]]</f>
        <v>PS|||</v>
      </c>
      <c r="B11" s="68" t="s">
        <v>1050</v>
      </c>
      <c r="C11" s="16"/>
      <c r="L11" s="30"/>
    </row>
    <row r="12" spans="1:12" x14ac:dyDescent="0.25">
      <c r="A12" s="67" t="str">
        <f>Tabla10[[#This Row],[TIPO_P]] &amp; "|" &amp;Tabla10[[#This Row],[Agrupación]] &amp; "|" &amp; Tabla10[[#This Row],[Sexo]] &amp; "|" &amp; Tabla10[[#This Row],[Entidad]]</f>
        <v>PS|||</v>
      </c>
      <c r="B12" s="68" t="s">
        <v>1050</v>
      </c>
      <c r="C12" s="16"/>
      <c r="L12" s="30"/>
    </row>
    <row r="13" spans="1:12" x14ac:dyDescent="0.25">
      <c r="A13" s="67" t="str">
        <f>Tabla10[[#This Row],[TIPO_P]] &amp; "|" &amp;Tabla10[[#This Row],[Agrupación]] &amp; "|" &amp; Tabla10[[#This Row],[Sexo]] &amp; "|" &amp; Tabla10[[#This Row],[Entidad]]</f>
        <v>PS|||</v>
      </c>
      <c r="B13" s="68" t="s">
        <v>1050</v>
      </c>
      <c r="C13" s="16"/>
      <c r="L13" s="30"/>
    </row>
    <row r="14" spans="1:12" x14ac:dyDescent="0.25">
      <c r="A14" s="67" t="str">
        <f>Tabla10[[#This Row],[TIPO_P]] &amp; "|" &amp;Tabla10[[#This Row],[Agrupación]] &amp; "|" &amp; Tabla10[[#This Row],[Sexo]] &amp; "|" &amp; Tabla10[[#This Row],[Entidad]]</f>
        <v>PS|||</v>
      </c>
      <c r="B14" s="68" t="s">
        <v>1050</v>
      </c>
      <c r="C14" s="16"/>
      <c r="L14" s="30"/>
    </row>
    <row r="15" spans="1:12" x14ac:dyDescent="0.25">
      <c r="A15" s="67" t="str">
        <f>Tabla10[[#This Row],[TIPO_P]] &amp; "|" &amp;Tabla10[[#This Row],[Agrupación]] &amp; "|" &amp; Tabla10[[#This Row],[Sexo]] &amp; "|" &amp; Tabla10[[#This Row],[Entidad]]</f>
        <v>PS|||</v>
      </c>
      <c r="B15" s="68" t="s">
        <v>1050</v>
      </c>
      <c r="C15" s="16"/>
      <c r="L15" s="30"/>
    </row>
    <row r="16" spans="1:12" x14ac:dyDescent="0.25">
      <c r="A16" s="67" t="str">
        <f>Tabla10[[#This Row],[TIPO_P]] &amp; "|" &amp;Tabla10[[#This Row],[Agrupación]] &amp; "|" &amp; Tabla10[[#This Row],[Sexo]] &amp; "|" &amp; Tabla10[[#This Row],[Entidad]]</f>
        <v>PS|||</v>
      </c>
      <c r="B16" s="68" t="s">
        <v>1050</v>
      </c>
      <c r="C16" s="16"/>
      <c r="L16" s="30"/>
    </row>
    <row r="17" spans="1:12" x14ac:dyDescent="0.25">
      <c r="A17" s="67" t="str">
        <f>Tabla10[[#This Row],[TIPO_P]] &amp; "|" &amp;Tabla10[[#This Row],[Agrupación]] &amp; "|" &amp; Tabla10[[#This Row],[Sexo]] &amp; "|" &amp; Tabla10[[#This Row],[Entidad]]</f>
        <v>PS|||</v>
      </c>
      <c r="B17" s="68" t="s">
        <v>1050</v>
      </c>
      <c r="C17" s="16"/>
      <c r="L17" s="30"/>
    </row>
    <row r="18" spans="1:12" x14ac:dyDescent="0.25">
      <c r="A18" s="67" t="str">
        <f>Tabla10[[#This Row],[TIPO_P]] &amp; "|" &amp;Tabla10[[#This Row],[Agrupación]] &amp; "|" &amp; Tabla10[[#This Row],[Sexo]] &amp; "|" &amp; Tabla10[[#This Row],[Entidad]]</f>
        <v>PS|||</v>
      </c>
      <c r="B18" s="68" t="s">
        <v>1050</v>
      </c>
      <c r="C18" s="16"/>
      <c r="L18" s="30"/>
    </row>
    <row r="19" spans="1:12" x14ac:dyDescent="0.25">
      <c r="A19" s="67" t="str">
        <f>Tabla10[[#This Row],[TIPO_P]] &amp; "|" &amp;Tabla10[[#This Row],[Agrupación]] &amp; "|" &amp; Tabla10[[#This Row],[Sexo]] &amp; "|" &amp; Tabla10[[#This Row],[Entidad]]</f>
        <v>PS|||</v>
      </c>
      <c r="B19" s="68" t="s">
        <v>1050</v>
      </c>
      <c r="C19" s="16"/>
      <c r="L19" s="30"/>
    </row>
    <row r="20" spans="1:12" x14ac:dyDescent="0.25">
      <c r="A20" s="67" t="str">
        <f>Tabla10[[#This Row],[TIPO_P]] &amp; "|" &amp;Tabla10[[#This Row],[Agrupación]] &amp; "|" &amp; Tabla10[[#This Row],[Sexo]] &amp; "|" &amp; Tabla10[[#This Row],[Entidad]]</f>
        <v>PS|||</v>
      </c>
      <c r="B20" s="68" t="s">
        <v>1050</v>
      </c>
      <c r="C20" s="16"/>
      <c r="L20" s="30"/>
    </row>
    <row r="21" spans="1:12" x14ac:dyDescent="0.25">
      <c r="A21" s="67" t="str">
        <f>Tabla10[[#This Row],[TIPO_P]] &amp; "|" &amp;Tabla10[[#This Row],[Agrupación]] &amp; "|" &amp; Tabla10[[#This Row],[Sexo]] &amp; "|" &amp; Tabla10[[#This Row],[Entidad]]</f>
        <v>PS|||</v>
      </c>
      <c r="B21" s="68" t="s">
        <v>1050</v>
      </c>
      <c r="C21" s="16"/>
      <c r="L21" s="30"/>
    </row>
    <row r="22" spans="1:12" x14ac:dyDescent="0.25">
      <c r="A22" s="67" t="str">
        <f>Tabla10[[#This Row],[TIPO_P]] &amp; "|" &amp;Tabla10[[#This Row],[Agrupación]] &amp; "|" &amp; Tabla10[[#This Row],[Sexo]] &amp; "|" &amp; Tabla10[[#This Row],[Entidad]]</f>
        <v>PS|||</v>
      </c>
      <c r="B22" s="68" t="s">
        <v>1050</v>
      </c>
      <c r="C22" s="16"/>
      <c r="L22" s="30"/>
    </row>
    <row r="23" spans="1:12" x14ac:dyDescent="0.25">
      <c r="A23" s="67" t="str">
        <f>Tabla10[[#This Row],[TIPO_P]] &amp; "|" &amp;Tabla10[[#This Row],[Agrupación]] &amp; "|" &amp; Tabla10[[#This Row],[Sexo]] &amp; "|" &amp; Tabla10[[#This Row],[Entidad]]</f>
        <v>PS|||</v>
      </c>
      <c r="B23" s="68" t="s">
        <v>1050</v>
      </c>
      <c r="C23" s="16"/>
      <c r="L23" s="30"/>
    </row>
    <row r="24" spans="1:12" x14ac:dyDescent="0.25">
      <c r="A24" s="67" t="str">
        <f>Tabla10[[#This Row],[TIPO_P]] &amp; "|" &amp;Tabla10[[#This Row],[Agrupación]] &amp; "|" &amp; Tabla10[[#This Row],[Sexo]] &amp; "|" &amp; Tabla10[[#This Row],[Entidad]]</f>
        <v>PS|||</v>
      </c>
      <c r="B24" s="68" t="s">
        <v>1050</v>
      </c>
      <c r="C24" s="16"/>
      <c r="L24" s="30"/>
    </row>
    <row r="25" spans="1:12" x14ac:dyDescent="0.25">
      <c r="A25" s="67" t="str">
        <f>Tabla10[[#This Row],[TIPO_P]] &amp; "|" &amp;Tabla10[[#This Row],[Agrupación]] &amp; "|" &amp; Tabla10[[#This Row],[Sexo]] &amp; "|" &amp; Tabla10[[#This Row],[Entidad]]</f>
        <v>PS|||</v>
      </c>
      <c r="B25" s="68" t="s">
        <v>1050</v>
      </c>
      <c r="C25" s="16"/>
      <c r="L25" s="30"/>
    </row>
    <row r="26" spans="1:12" x14ac:dyDescent="0.25">
      <c r="A26" s="67" t="str">
        <f>Tabla10[[#This Row],[TIPO_P]] &amp; "|" &amp;Tabla10[[#This Row],[Agrupación]] &amp; "|" &amp; Tabla10[[#This Row],[Sexo]] &amp; "|" &amp; Tabla10[[#This Row],[Entidad]]</f>
        <v>PS|||</v>
      </c>
      <c r="B26" s="68" t="s">
        <v>1050</v>
      </c>
      <c r="C26" s="16"/>
      <c r="L26" s="30"/>
    </row>
    <row r="27" spans="1:12" x14ac:dyDescent="0.25">
      <c r="A27" s="67" t="str">
        <f>Tabla10[[#This Row],[TIPO_P]] &amp; "|" &amp;Tabla10[[#This Row],[Agrupación]] &amp; "|" &amp; Tabla10[[#This Row],[Sexo]] &amp; "|" &amp; Tabla10[[#This Row],[Entidad]]</f>
        <v>PS|||</v>
      </c>
      <c r="B27" s="68" t="s">
        <v>1050</v>
      </c>
      <c r="C27" s="16"/>
      <c r="L27" s="30"/>
    </row>
    <row r="28" spans="1:12" x14ac:dyDescent="0.25">
      <c r="A28" s="67" t="str">
        <f>Tabla10[[#This Row],[TIPO_P]] &amp; "|" &amp;Tabla10[[#This Row],[Agrupación]] &amp; "|" &amp; Tabla10[[#This Row],[Sexo]] &amp; "|" &amp; Tabla10[[#This Row],[Entidad]]</f>
        <v>PS|||</v>
      </c>
      <c r="B28" s="68" t="s">
        <v>1050</v>
      </c>
      <c r="C28" s="16"/>
      <c r="L28" s="30"/>
    </row>
    <row r="29" spans="1:12" x14ac:dyDescent="0.25">
      <c r="A29" s="67" t="str">
        <f>Tabla10[[#This Row],[TIPO_P]] &amp; "|" &amp;Tabla10[[#This Row],[Agrupación]] &amp; "|" &amp; Tabla10[[#This Row],[Sexo]] &amp; "|" &amp; Tabla10[[#This Row],[Entidad]]</f>
        <v>PS|||</v>
      </c>
      <c r="B29" s="68" t="s">
        <v>1050</v>
      </c>
      <c r="C29" s="16"/>
      <c r="L29" s="30"/>
    </row>
    <row r="30" spans="1:12" x14ac:dyDescent="0.25">
      <c r="A30" s="67" t="str">
        <f>Tabla10[[#This Row],[TIPO_P]] &amp; "|" &amp;Tabla10[[#This Row],[Agrupación]] &amp; "|" &amp; Tabla10[[#This Row],[Sexo]] &amp; "|" &amp; Tabla10[[#This Row],[Entidad]]</f>
        <v>PS|||</v>
      </c>
      <c r="B30" s="68" t="s">
        <v>1050</v>
      </c>
      <c r="C30" s="16"/>
      <c r="L30" s="30"/>
    </row>
    <row r="31" spans="1:12" x14ac:dyDescent="0.25">
      <c r="A31" s="67" t="str">
        <f>Tabla10[[#This Row],[TIPO_P]] &amp; "|" &amp;Tabla10[[#This Row],[Agrupación]] &amp; "|" &amp; Tabla10[[#This Row],[Sexo]] &amp; "|" &amp; Tabla10[[#This Row],[Entidad]]</f>
        <v>PS|||</v>
      </c>
      <c r="B31" s="68" t="s">
        <v>1050</v>
      </c>
      <c r="C31" s="16"/>
      <c r="L31" s="30"/>
    </row>
    <row r="32" spans="1:12" x14ac:dyDescent="0.25">
      <c r="A32" s="67" t="str">
        <f>Tabla10[[#This Row],[TIPO_P]] &amp; "|" &amp;Tabla10[[#This Row],[Agrupación]] &amp; "|" &amp; Tabla10[[#This Row],[Sexo]] &amp; "|" &amp; Tabla10[[#This Row],[Entidad]]</f>
        <v>PS|||</v>
      </c>
      <c r="B32" s="68" t="s">
        <v>1050</v>
      </c>
      <c r="C32" s="16"/>
      <c r="L32" s="30"/>
    </row>
    <row r="33" spans="1:12" x14ac:dyDescent="0.25">
      <c r="A33" s="67" t="str">
        <f>Tabla10[[#This Row],[TIPO_P]] &amp; "|" &amp;Tabla10[[#This Row],[Agrupación]] &amp; "|" &amp; Tabla10[[#This Row],[Sexo]] &amp; "|" &amp; Tabla10[[#This Row],[Entidad]]</f>
        <v>PS|||</v>
      </c>
      <c r="B33" s="68" t="s">
        <v>1050</v>
      </c>
      <c r="C33" s="16"/>
      <c r="L33" s="30"/>
    </row>
    <row r="34" spans="1:12" x14ac:dyDescent="0.25">
      <c r="A34" s="67" t="str">
        <f>Tabla10[[#This Row],[TIPO_P]] &amp; "|" &amp;Tabla10[[#This Row],[Agrupación]] &amp; "|" &amp; Tabla10[[#This Row],[Sexo]] &amp; "|" &amp; Tabla10[[#This Row],[Entidad]]</f>
        <v>PS|||</v>
      </c>
      <c r="B34" s="68" t="s">
        <v>1050</v>
      </c>
      <c r="C34" s="16"/>
      <c r="L34" s="30"/>
    </row>
    <row r="35" spans="1:12" x14ac:dyDescent="0.25">
      <c r="A35" s="67" t="str">
        <f>Tabla10[[#This Row],[TIPO_P]] &amp; "|" &amp;Tabla10[[#This Row],[Agrupación]] &amp; "|" &amp; Tabla10[[#This Row],[Sexo]] &amp; "|" &amp; Tabla10[[#This Row],[Entidad]]</f>
        <v>PS|||</v>
      </c>
      <c r="B35" s="68" t="s">
        <v>1050</v>
      </c>
      <c r="C35" s="16"/>
      <c r="L35" s="30"/>
    </row>
    <row r="36" spans="1:12" x14ac:dyDescent="0.25">
      <c r="A36" s="67" t="str">
        <f>Tabla10[[#This Row],[TIPO_P]] &amp; "|" &amp;Tabla10[[#This Row],[Agrupación]] &amp; "|" &amp; Tabla10[[#This Row],[Sexo]] &amp; "|" &amp; Tabla10[[#This Row],[Entidad]]</f>
        <v>PS|||</v>
      </c>
      <c r="B36" s="68" t="s">
        <v>1050</v>
      </c>
      <c r="C36" s="16"/>
      <c r="L36" s="30"/>
    </row>
    <row r="37" spans="1:12" x14ac:dyDescent="0.25">
      <c r="A37" s="67" t="str">
        <f>Tabla10[[#This Row],[TIPO_P]] &amp; "|" &amp;Tabla10[[#This Row],[Agrupación]] &amp; "|" &amp; Tabla10[[#This Row],[Sexo]] &amp; "|" &amp; Tabla10[[#This Row],[Entidad]]</f>
        <v>PS|||</v>
      </c>
      <c r="B37" s="68" t="s">
        <v>1050</v>
      </c>
      <c r="C37" s="16"/>
      <c r="L37" s="30"/>
    </row>
    <row r="38" spans="1:12" x14ac:dyDescent="0.25">
      <c r="A38" s="67" t="str">
        <f>Tabla10[[#This Row],[TIPO_P]] &amp; "|" &amp;Tabla10[[#This Row],[Agrupación]] &amp; "|" &amp; Tabla10[[#This Row],[Sexo]] &amp; "|" &amp; Tabla10[[#This Row],[Entidad]]</f>
        <v>PS|||</v>
      </c>
      <c r="B38" s="68" t="s">
        <v>1050</v>
      </c>
      <c r="C38" s="16"/>
      <c r="L38" s="30"/>
    </row>
    <row r="39" spans="1:12" x14ac:dyDescent="0.25">
      <c r="A39" s="67" t="str">
        <f>Tabla10[[#This Row],[TIPO_P]] &amp; "|" &amp;Tabla10[[#This Row],[Agrupación]] &amp; "|" &amp; Tabla10[[#This Row],[Sexo]] &amp; "|" &amp; Tabla10[[#This Row],[Entidad]]</f>
        <v>PS|||</v>
      </c>
      <c r="B39" s="68" t="s">
        <v>1050</v>
      </c>
      <c r="C39" s="16"/>
      <c r="L39" s="30"/>
    </row>
    <row r="40" spans="1:12" x14ac:dyDescent="0.25">
      <c r="A40" s="67" t="str">
        <f>Tabla10[[#This Row],[TIPO_P]] &amp; "|" &amp;Tabla10[[#This Row],[Agrupación]] &amp; "|" &amp; Tabla10[[#This Row],[Sexo]] &amp; "|" &amp; Tabla10[[#This Row],[Entidad]]</f>
        <v>PS|||</v>
      </c>
      <c r="B40" s="68" t="s">
        <v>1050</v>
      </c>
      <c r="C40" s="16"/>
      <c r="L40" s="30"/>
    </row>
    <row r="41" spans="1:12" x14ac:dyDescent="0.25">
      <c r="A41" s="67" t="str">
        <f>Tabla10[[#This Row],[TIPO_P]] &amp; "|" &amp;Tabla10[[#This Row],[Agrupación]] &amp; "|" &amp; Tabla10[[#This Row],[Sexo]] &amp; "|" &amp; Tabla10[[#This Row],[Entidad]]</f>
        <v>PS|||</v>
      </c>
      <c r="B41" s="68" t="s">
        <v>1050</v>
      </c>
      <c r="C41" s="16"/>
      <c r="L41" s="30"/>
    </row>
    <row r="42" spans="1:12" x14ac:dyDescent="0.25">
      <c r="A42" s="67" t="str">
        <f>Tabla10[[#This Row],[TIPO_P]] &amp; "|" &amp;Tabla10[[#This Row],[Agrupación]] &amp; "|" &amp; Tabla10[[#This Row],[Sexo]] &amp; "|" &amp; Tabla10[[#This Row],[Entidad]]</f>
        <v>PS|||</v>
      </c>
      <c r="B42" s="68" t="s">
        <v>1050</v>
      </c>
      <c r="C42" s="16"/>
      <c r="L42" s="30"/>
    </row>
    <row r="43" spans="1:12" x14ac:dyDescent="0.25">
      <c r="A43" s="67" t="str">
        <f>Tabla10[[#This Row],[TIPO_P]] &amp; "|" &amp;Tabla10[[#This Row],[Agrupación]] &amp; "|" &amp; Tabla10[[#This Row],[Sexo]] &amp; "|" &amp; Tabla10[[#This Row],[Entidad]]</f>
        <v>PS|||</v>
      </c>
      <c r="B43" s="68" t="s">
        <v>1050</v>
      </c>
      <c r="C43" s="16"/>
      <c r="L43" s="30"/>
    </row>
    <row r="44" spans="1:12" x14ac:dyDescent="0.25">
      <c r="A44" s="67" t="str">
        <f>Tabla10[[#This Row],[TIPO_P]] &amp; "|" &amp;Tabla10[[#This Row],[Agrupación]] &amp; "|" &amp; Tabla10[[#This Row],[Sexo]] &amp; "|" &amp; Tabla10[[#This Row],[Entidad]]</f>
        <v>PS|||</v>
      </c>
      <c r="B44" s="68" t="s">
        <v>1050</v>
      </c>
      <c r="C44" s="16"/>
      <c r="L44" s="30"/>
    </row>
    <row r="45" spans="1:12" x14ac:dyDescent="0.25">
      <c r="A45" s="67" t="str">
        <f>Tabla10[[#This Row],[TIPO_P]] &amp; "|" &amp;Tabla10[[#This Row],[Agrupación]] &amp; "|" &amp; Tabla10[[#This Row],[Sexo]] &amp; "|" &amp; Tabla10[[#This Row],[Entidad]]</f>
        <v>PS|||</v>
      </c>
      <c r="B45" s="68" t="s">
        <v>1050</v>
      </c>
      <c r="C45" s="16"/>
      <c r="L45" s="30"/>
    </row>
    <row r="46" spans="1:12" x14ac:dyDescent="0.25">
      <c r="A46" s="67" t="str">
        <f>Tabla10[[#This Row],[TIPO_P]] &amp; "|" &amp;Tabla10[[#This Row],[Agrupación]] &amp; "|" &amp; Tabla10[[#This Row],[Sexo]] &amp; "|" &amp; Tabla10[[#This Row],[Entidad]]</f>
        <v>PS|||</v>
      </c>
      <c r="B46" s="68" t="s">
        <v>1050</v>
      </c>
      <c r="C46" s="16"/>
      <c r="L46" s="30"/>
    </row>
    <row r="47" spans="1:12" x14ac:dyDescent="0.25">
      <c r="A47" s="67" t="str">
        <f>Tabla10[[#This Row],[TIPO_P]] &amp; "|" &amp;Tabla10[[#This Row],[Agrupación]] &amp; "|" &amp; Tabla10[[#This Row],[Sexo]] &amp; "|" &amp; Tabla10[[#This Row],[Entidad]]</f>
        <v>PS|||</v>
      </c>
      <c r="B47" s="68" t="s">
        <v>1050</v>
      </c>
      <c r="C47" s="16"/>
      <c r="L47" s="30"/>
    </row>
    <row r="48" spans="1:12" x14ac:dyDescent="0.25">
      <c r="A48" s="67" t="str">
        <f>Tabla10[[#This Row],[TIPO_P]] &amp; "|" &amp;Tabla10[[#This Row],[Agrupación]] &amp; "|" &amp; Tabla10[[#This Row],[Sexo]] &amp; "|" &amp; Tabla10[[#This Row],[Entidad]]</f>
        <v>PS|||</v>
      </c>
      <c r="B48" s="68" t="s">
        <v>1050</v>
      </c>
      <c r="C48" s="16"/>
      <c r="L48" s="30"/>
    </row>
    <row r="49" spans="1:12" x14ac:dyDescent="0.25">
      <c r="A49" s="67" t="str">
        <f>Tabla10[[#This Row],[TIPO_P]] &amp; "|" &amp;Tabla10[[#This Row],[Agrupación]] &amp; "|" &amp; Tabla10[[#This Row],[Sexo]] &amp; "|" &amp; Tabla10[[#This Row],[Entidad]]</f>
        <v>PS|||</v>
      </c>
      <c r="B49" s="68" t="s">
        <v>1050</v>
      </c>
      <c r="C49" s="16"/>
      <c r="L49" s="30"/>
    </row>
    <row r="50" spans="1:12" x14ac:dyDescent="0.25">
      <c r="A50" s="67" t="str">
        <f>Tabla10[[#This Row],[TIPO_P]] &amp; "|" &amp;Tabla10[[#This Row],[Agrupación]] &amp; "|" &amp; Tabla10[[#This Row],[Sexo]] &amp; "|" &amp; Tabla10[[#This Row],[Entidad]]</f>
        <v>PS|||</v>
      </c>
      <c r="B50" s="68" t="s">
        <v>1050</v>
      </c>
      <c r="C50" s="16"/>
      <c r="L50" s="30"/>
    </row>
    <row r="51" spans="1:12" x14ac:dyDescent="0.25">
      <c r="A51" s="67" t="str">
        <f>Tabla10[[#This Row],[TIPO_P]] &amp; "|" &amp;Tabla10[[#This Row],[Agrupación]] &amp; "|" &amp; Tabla10[[#This Row],[Sexo]] &amp; "|" &amp; Tabla10[[#This Row],[Entidad]]</f>
        <v>PS|||</v>
      </c>
      <c r="B51" s="68" t="s">
        <v>1050</v>
      </c>
      <c r="C51" s="16"/>
      <c r="L51" s="30"/>
    </row>
    <row r="52" spans="1:12" x14ac:dyDescent="0.25">
      <c r="A52" s="67" t="str">
        <f>Tabla10[[#This Row],[TIPO_P]] &amp; "|" &amp;Tabla10[[#This Row],[Agrupación]] &amp; "|" &amp; Tabla10[[#This Row],[Sexo]] &amp; "|" &amp; Tabla10[[#This Row],[Entidad]]</f>
        <v>PS|||</v>
      </c>
      <c r="B52" s="68" t="s">
        <v>1050</v>
      </c>
      <c r="C52" s="16"/>
      <c r="L52" s="30"/>
    </row>
    <row r="53" spans="1:12" x14ac:dyDescent="0.25">
      <c r="A53" s="67" t="str">
        <f>Tabla10[[#This Row],[TIPO_P]] &amp; "|" &amp;Tabla10[[#This Row],[Agrupación]] &amp; "|" &amp; Tabla10[[#This Row],[Sexo]] &amp; "|" &amp; Tabla10[[#This Row],[Entidad]]</f>
        <v>PS|||</v>
      </c>
      <c r="B53" s="68" t="s">
        <v>1050</v>
      </c>
      <c r="C53" s="16"/>
      <c r="L53" s="30"/>
    </row>
    <row r="54" spans="1:12" x14ac:dyDescent="0.25">
      <c r="A54" s="67" t="str">
        <f>Tabla10[[#This Row],[TIPO_P]] &amp; "|" &amp;Tabla10[[#This Row],[Agrupación]] &amp; "|" &amp; Tabla10[[#This Row],[Sexo]] &amp; "|" &amp; Tabla10[[#This Row],[Entidad]]</f>
        <v>PS|||</v>
      </c>
      <c r="B54" s="68" t="s">
        <v>1050</v>
      </c>
      <c r="C54" s="16"/>
      <c r="L54" s="30"/>
    </row>
    <row r="55" spans="1:12" x14ac:dyDescent="0.25">
      <c r="A55" s="67" t="str">
        <f>Tabla10[[#This Row],[TIPO_P]] &amp; "|" &amp;Tabla10[[#This Row],[Agrupación]] &amp; "|" &amp; Tabla10[[#This Row],[Sexo]] &amp; "|" &amp; Tabla10[[#This Row],[Entidad]]</f>
        <v>PS|||</v>
      </c>
      <c r="B55" s="68" t="s">
        <v>1050</v>
      </c>
      <c r="C55" s="16"/>
      <c r="L55" s="30"/>
    </row>
    <row r="56" spans="1:12" x14ac:dyDescent="0.25">
      <c r="A56" s="67" t="str">
        <f>Tabla10[[#This Row],[TIPO_P]] &amp; "|" &amp;Tabla10[[#This Row],[Agrupación]] &amp; "|" &amp; Tabla10[[#This Row],[Sexo]] &amp; "|" &amp; Tabla10[[#This Row],[Entidad]]</f>
        <v>PS|||</v>
      </c>
      <c r="B56" s="68" t="s">
        <v>1050</v>
      </c>
      <c r="C56" s="16"/>
      <c r="L56" s="30"/>
    </row>
    <row r="57" spans="1:12" x14ac:dyDescent="0.25">
      <c r="A57" s="67" t="str">
        <f>Tabla10[[#This Row],[TIPO_P]] &amp; "|" &amp;Tabla10[[#This Row],[Agrupación]] &amp; "|" &amp; Tabla10[[#This Row],[Sexo]] &amp; "|" &amp; Tabla10[[#This Row],[Entidad]]</f>
        <v>PS|||</v>
      </c>
      <c r="B57" s="68" t="s">
        <v>1050</v>
      </c>
      <c r="C57" s="16"/>
      <c r="L57" s="30"/>
    </row>
    <row r="58" spans="1:12" x14ac:dyDescent="0.25">
      <c r="A58" s="67" t="str">
        <f>Tabla10[[#This Row],[TIPO_P]] &amp; "|" &amp;Tabla10[[#This Row],[Agrupación]] &amp; "|" &amp; Tabla10[[#This Row],[Sexo]] &amp; "|" &amp; Tabla10[[#This Row],[Entidad]]</f>
        <v>PS|||</v>
      </c>
      <c r="B58" s="68" t="s">
        <v>1050</v>
      </c>
      <c r="C58" s="16"/>
      <c r="L58" s="30"/>
    </row>
    <row r="59" spans="1:12" x14ac:dyDescent="0.25">
      <c r="A59" s="67" t="str">
        <f>Tabla10[[#This Row],[TIPO_P]] &amp; "|" &amp;Tabla10[[#This Row],[Agrupación]] &amp; "|" &amp; Tabla10[[#This Row],[Sexo]] &amp; "|" &amp; Tabla10[[#This Row],[Entidad]]</f>
        <v>PS|||</v>
      </c>
      <c r="B59" s="68" t="s">
        <v>1050</v>
      </c>
      <c r="C59" s="16"/>
      <c r="L59" s="30"/>
    </row>
    <row r="60" spans="1:12" x14ac:dyDescent="0.25">
      <c r="A60" s="67" t="str">
        <f>Tabla10[[#This Row],[TIPO_P]] &amp; "|" &amp;Tabla10[[#This Row],[Agrupación]] &amp; "|" &amp; Tabla10[[#This Row],[Sexo]] &amp; "|" &amp; Tabla10[[#This Row],[Entidad]]</f>
        <v>PS|||</v>
      </c>
      <c r="B60" s="68" t="s">
        <v>1050</v>
      </c>
      <c r="C60" s="16"/>
      <c r="L60" s="30"/>
    </row>
    <row r="61" spans="1:12" x14ac:dyDescent="0.25">
      <c r="A61" s="67" t="str">
        <f>Tabla10[[#This Row],[TIPO_P]] &amp; "|" &amp;Tabla10[[#This Row],[Agrupación]] &amp; "|" &amp; Tabla10[[#This Row],[Sexo]] &amp; "|" &amp; Tabla10[[#This Row],[Entidad]]</f>
        <v>PS|||</v>
      </c>
      <c r="B61" s="68" t="s">
        <v>1050</v>
      </c>
      <c r="C61" s="16"/>
      <c r="L61" s="30"/>
    </row>
    <row r="62" spans="1:12" x14ac:dyDescent="0.25">
      <c r="A62" s="67" t="str">
        <f>Tabla10[[#This Row],[TIPO_P]] &amp; "|" &amp;Tabla10[[#This Row],[Agrupación]] &amp; "|" &amp; Tabla10[[#This Row],[Sexo]] &amp; "|" &amp; Tabla10[[#This Row],[Entidad]]</f>
        <v>PS|||</v>
      </c>
      <c r="B62" s="68" t="s">
        <v>1050</v>
      </c>
      <c r="C62" s="16"/>
      <c r="L62" s="30"/>
    </row>
    <row r="63" spans="1:12" x14ac:dyDescent="0.25">
      <c r="A63" s="67" t="str">
        <f>Tabla10[[#This Row],[TIPO_P]] &amp; "|" &amp;Tabla10[[#This Row],[Agrupación]] &amp; "|" &amp; Tabla10[[#This Row],[Sexo]] &amp; "|" &amp; Tabla10[[#This Row],[Entidad]]</f>
        <v>PS|||</v>
      </c>
      <c r="B63" s="68" t="s">
        <v>1050</v>
      </c>
      <c r="C63" s="16"/>
      <c r="L63" s="30"/>
    </row>
    <row r="64" spans="1:12" x14ac:dyDescent="0.25">
      <c r="A64" s="67" t="str">
        <f>Tabla10[[#This Row],[TIPO_P]] &amp; "|" &amp;Tabla10[[#This Row],[Agrupación]] &amp; "|" &amp; Tabla10[[#This Row],[Sexo]] &amp; "|" &amp; Tabla10[[#This Row],[Entidad]]</f>
        <v>PS|||</v>
      </c>
      <c r="B64" s="68" t="s">
        <v>1050</v>
      </c>
      <c r="C64" s="16"/>
      <c r="L64" s="30"/>
    </row>
    <row r="65" spans="1:12" ht="15.75" thickBot="1" x14ac:dyDescent="0.3">
      <c r="A65" s="69" t="str">
        <f>Tabla10[[#This Row],[TIPO_P]] &amp; "|" &amp;Tabla10[[#This Row],[Agrupación]] &amp; "|" &amp; Tabla10[[#This Row],[Sexo]] &amp; "|" &amp; Tabla10[[#This Row],[Entidad]]</f>
        <v>PS|||</v>
      </c>
      <c r="B65" s="70" t="s">
        <v>1050</v>
      </c>
      <c r="C65" s="16"/>
      <c r="L65" s="30"/>
    </row>
    <row r="66" spans="1:12" x14ac:dyDescent="0.25">
      <c r="A66" s="67" t="str">
        <f>Tabla10[[#This Row],[TIPO_P]] &amp; "|" &amp;Tabla10[[#This Row],[Agrupación]] &amp; "|" &amp; Tabla10[[#This Row],[Sexo]] &amp; "|" &amp; Tabla10[[#This Row],[Entidad]]</f>
        <v>PI|||</v>
      </c>
      <c r="B66" s="68" t="s">
        <v>1046</v>
      </c>
      <c r="C66" s="71"/>
      <c r="D66" s="29"/>
      <c r="E66" s="29"/>
      <c r="F66" s="29"/>
      <c r="G66" s="29"/>
      <c r="H66" s="29"/>
      <c r="I66" s="29"/>
      <c r="J66" s="29"/>
      <c r="K66" s="29"/>
      <c r="L66" s="20"/>
    </row>
    <row r="67" spans="1:12" x14ac:dyDescent="0.25">
      <c r="A67" s="67" t="str">
        <f>Tabla10[[#This Row],[TIPO_P]] &amp; "|" &amp;Tabla10[[#This Row],[Agrupación]] &amp; "|" &amp; Tabla10[[#This Row],[Sexo]] &amp; "|" &amp; Tabla10[[#This Row],[Entidad]]</f>
        <v>PI|||</v>
      </c>
      <c r="B67" s="68" t="s">
        <v>1046</v>
      </c>
      <c r="C67" s="72"/>
      <c r="L67" s="30"/>
    </row>
    <row r="68" spans="1:12" x14ac:dyDescent="0.25">
      <c r="A68" s="67" t="str">
        <f>Tabla10[[#This Row],[TIPO_P]] &amp; "|" &amp;Tabla10[[#This Row],[Agrupación]] &amp; "|" &amp; Tabla10[[#This Row],[Sexo]] &amp; "|" &amp; Tabla10[[#This Row],[Entidad]]</f>
        <v>PI|||</v>
      </c>
      <c r="B68" s="68" t="s">
        <v>1046</v>
      </c>
      <c r="C68" s="72"/>
      <c r="L68" s="30"/>
    </row>
    <row r="69" spans="1:12" x14ac:dyDescent="0.25">
      <c r="A69" s="67" t="str">
        <f>Tabla10[[#This Row],[TIPO_P]] &amp; "|" &amp;Tabla10[[#This Row],[Agrupación]] &amp; "|" &amp; Tabla10[[#This Row],[Sexo]] &amp; "|" &amp; Tabla10[[#This Row],[Entidad]]</f>
        <v>PI|||</v>
      </c>
      <c r="B69" s="68" t="s">
        <v>1046</v>
      </c>
      <c r="C69" s="72"/>
      <c r="L69" s="30"/>
    </row>
    <row r="70" spans="1:12" x14ac:dyDescent="0.25">
      <c r="A70" s="67" t="str">
        <f>Tabla10[[#This Row],[TIPO_P]] &amp; "|" &amp;Tabla10[[#This Row],[Agrupación]] &amp; "|" &amp; Tabla10[[#This Row],[Sexo]] &amp; "|" &amp; Tabla10[[#This Row],[Entidad]]</f>
        <v>PI|||</v>
      </c>
      <c r="B70" s="68" t="s">
        <v>1046</v>
      </c>
      <c r="C70" s="72"/>
      <c r="L70" s="30"/>
    </row>
    <row r="71" spans="1:12" x14ac:dyDescent="0.25">
      <c r="A71" s="67" t="str">
        <f>Tabla10[[#This Row],[TIPO_P]] &amp; "|" &amp;Tabla10[[#This Row],[Agrupación]] &amp; "|" &amp; Tabla10[[#This Row],[Sexo]] &amp; "|" &amp; Tabla10[[#This Row],[Entidad]]</f>
        <v>PI|||</v>
      </c>
      <c r="B71" s="68" t="s">
        <v>1046</v>
      </c>
      <c r="C71" s="72"/>
      <c r="L71" s="30"/>
    </row>
    <row r="72" spans="1:12" x14ac:dyDescent="0.25">
      <c r="A72" s="67" t="str">
        <f>Tabla10[[#This Row],[TIPO_P]] &amp; "|" &amp;Tabla10[[#This Row],[Agrupación]] &amp; "|" &amp; Tabla10[[#This Row],[Sexo]] &amp; "|" &amp; Tabla10[[#This Row],[Entidad]]</f>
        <v>PI|||</v>
      </c>
      <c r="B72" s="68" t="s">
        <v>1046</v>
      </c>
      <c r="C72" s="72"/>
      <c r="L72" s="30"/>
    </row>
    <row r="73" spans="1:12" x14ac:dyDescent="0.25">
      <c r="A73" s="67" t="str">
        <f>Tabla10[[#This Row],[TIPO_P]] &amp; "|" &amp;Tabla10[[#This Row],[Agrupación]] &amp; "|" &amp; Tabla10[[#This Row],[Sexo]] &amp; "|" &amp; Tabla10[[#This Row],[Entidad]]</f>
        <v>PI|||</v>
      </c>
      <c r="B73" s="68" t="s">
        <v>1046</v>
      </c>
      <c r="C73" s="72"/>
      <c r="L73" s="30"/>
    </row>
    <row r="74" spans="1:12" x14ac:dyDescent="0.25">
      <c r="A74" s="67" t="str">
        <f>Tabla10[[#This Row],[TIPO_P]] &amp; "|" &amp;Tabla10[[#This Row],[Agrupación]] &amp; "|" &amp; Tabla10[[#This Row],[Sexo]] &amp; "|" &amp; Tabla10[[#This Row],[Entidad]]</f>
        <v>PI|||</v>
      </c>
      <c r="B74" s="68" t="s">
        <v>1046</v>
      </c>
      <c r="C74" s="72"/>
      <c r="L74" s="30"/>
    </row>
    <row r="75" spans="1:12" x14ac:dyDescent="0.25">
      <c r="A75" s="67" t="str">
        <f>Tabla10[[#This Row],[TIPO_P]] &amp; "|" &amp;Tabla10[[#This Row],[Agrupación]] &amp; "|" &amp; Tabla10[[#This Row],[Sexo]] &amp; "|" &amp; Tabla10[[#This Row],[Entidad]]</f>
        <v>PI|||</v>
      </c>
      <c r="B75" s="68" t="s">
        <v>1046</v>
      </c>
      <c r="C75" s="72"/>
      <c r="L75" s="30"/>
    </row>
    <row r="76" spans="1:12" x14ac:dyDescent="0.25">
      <c r="A76" s="67" t="str">
        <f>Tabla10[[#This Row],[TIPO_P]] &amp; "|" &amp;Tabla10[[#This Row],[Agrupación]] &amp; "|" &amp; Tabla10[[#This Row],[Sexo]] &amp; "|" &amp; Tabla10[[#This Row],[Entidad]]</f>
        <v>PI|||</v>
      </c>
      <c r="B76" s="68" t="s">
        <v>1046</v>
      </c>
      <c r="C76" s="72"/>
      <c r="L76" s="30"/>
    </row>
    <row r="77" spans="1:12" x14ac:dyDescent="0.25">
      <c r="A77" s="67" t="str">
        <f>Tabla10[[#This Row],[TIPO_P]] &amp; "|" &amp;Tabla10[[#This Row],[Agrupación]] &amp; "|" &amp; Tabla10[[#This Row],[Sexo]] &amp; "|" &amp; Tabla10[[#This Row],[Entidad]]</f>
        <v>PI|||</v>
      </c>
      <c r="B77" s="68" t="s">
        <v>1046</v>
      </c>
      <c r="C77" s="72"/>
      <c r="L77" s="30"/>
    </row>
    <row r="78" spans="1:12" x14ac:dyDescent="0.25">
      <c r="A78" s="67" t="str">
        <f>Tabla10[[#This Row],[TIPO_P]] &amp; "|" &amp;Tabla10[[#This Row],[Agrupación]] &amp; "|" &amp; Tabla10[[#This Row],[Sexo]] &amp; "|" &amp; Tabla10[[#This Row],[Entidad]]</f>
        <v>PI|||</v>
      </c>
      <c r="B78" s="68" t="s">
        <v>1046</v>
      </c>
      <c r="C78" s="72"/>
      <c r="L78" s="30"/>
    </row>
    <row r="79" spans="1:12" x14ac:dyDescent="0.25">
      <c r="A79" s="67" t="str">
        <f>Tabla10[[#This Row],[TIPO_P]] &amp; "|" &amp;Tabla10[[#This Row],[Agrupación]] &amp; "|" &amp; Tabla10[[#This Row],[Sexo]] &amp; "|" &amp; Tabla10[[#This Row],[Entidad]]</f>
        <v>PI|||</v>
      </c>
      <c r="B79" s="68" t="s">
        <v>1046</v>
      </c>
      <c r="C79" s="72"/>
      <c r="L79" s="30"/>
    </row>
    <row r="80" spans="1:12" x14ac:dyDescent="0.25">
      <c r="A80" s="67" t="str">
        <f>Tabla10[[#This Row],[TIPO_P]] &amp; "|" &amp;Tabla10[[#This Row],[Agrupación]] &amp; "|" &amp; Tabla10[[#This Row],[Sexo]] &amp; "|" &amp; Tabla10[[#This Row],[Entidad]]</f>
        <v>PI|||</v>
      </c>
      <c r="B80" s="68" t="s">
        <v>1046</v>
      </c>
      <c r="C80" s="72"/>
      <c r="L80" s="30"/>
    </row>
    <row r="81" spans="1:12" x14ac:dyDescent="0.25">
      <c r="A81" s="67" t="str">
        <f>Tabla10[[#This Row],[TIPO_P]] &amp; "|" &amp;Tabla10[[#This Row],[Agrupación]] &amp; "|" &amp; Tabla10[[#This Row],[Sexo]] &amp; "|" &amp; Tabla10[[#This Row],[Entidad]]</f>
        <v>PI|||</v>
      </c>
      <c r="B81" s="68" t="s">
        <v>1046</v>
      </c>
      <c r="C81" s="72"/>
      <c r="L81" s="30"/>
    </row>
    <row r="82" spans="1:12" x14ac:dyDescent="0.25">
      <c r="A82" s="67" t="str">
        <f>Tabla10[[#This Row],[TIPO_P]] &amp; "|" &amp;Tabla10[[#This Row],[Agrupación]] &amp; "|" &amp; Tabla10[[#This Row],[Sexo]] &amp; "|" &amp; Tabla10[[#This Row],[Entidad]]</f>
        <v>PI|||</v>
      </c>
      <c r="B82" s="68" t="s">
        <v>1046</v>
      </c>
      <c r="C82" s="72"/>
      <c r="L82" s="30"/>
    </row>
    <row r="83" spans="1:12" x14ac:dyDescent="0.25">
      <c r="A83" s="67" t="str">
        <f>Tabla10[[#This Row],[TIPO_P]] &amp; "|" &amp;Tabla10[[#This Row],[Agrupación]] &amp; "|" &amp; Tabla10[[#This Row],[Sexo]] &amp; "|" &amp; Tabla10[[#This Row],[Entidad]]</f>
        <v>PI|||</v>
      </c>
      <c r="B83" s="68" t="s">
        <v>1046</v>
      </c>
      <c r="C83" s="72"/>
      <c r="L83" s="30"/>
    </row>
    <row r="84" spans="1:12" x14ac:dyDescent="0.25">
      <c r="A84" s="67" t="str">
        <f>Tabla10[[#This Row],[TIPO_P]] &amp; "|" &amp;Tabla10[[#This Row],[Agrupación]] &amp; "|" &amp; Tabla10[[#This Row],[Sexo]] &amp; "|" &amp; Tabla10[[#This Row],[Entidad]]</f>
        <v>PI|||</v>
      </c>
      <c r="B84" s="68" t="s">
        <v>1046</v>
      </c>
      <c r="C84" s="72"/>
      <c r="L84" s="30"/>
    </row>
    <row r="85" spans="1:12" x14ac:dyDescent="0.25">
      <c r="A85" s="67" t="str">
        <f>Tabla10[[#This Row],[TIPO_P]] &amp; "|" &amp;Tabla10[[#This Row],[Agrupación]] &amp; "|" &amp; Tabla10[[#This Row],[Sexo]] &amp; "|" &amp; Tabla10[[#This Row],[Entidad]]</f>
        <v>PI|||</v>
      </c>
      <c r="B85" s="68" t="s">
        <v>1046</v>
      </c>
      <c r="C85" s="72"/>
      <c r="L85" s="30"/>
    </row>
    <row r="86" spans="1:12" x14ac:dyDescent="0.25">
      <c r="A86" s="67" t="str">
        <f>Tabla10[[#This Row],[TIPO_P]] &amp; "|" &amp;Tabla10[[#This Row],[Agrupación]] &amp; "|" &amp; Tabla10[[#This Row],[Sexo]] &amp; "|" &amp; Tabla10[[#This Row],[Entidad]]</f>
        <v>PI|||</v>
      </c>
      <c r="B86" s="68" t="s">
        <v>1046</v>
      </c>
      <c r="C86" s="72"/>
      <c r="L86" s="30"/>
    </row>
    <row r="87" spans="1:12" x14ac:dyDescent="0.25">
      <c r="A87" s="67" t="str">
        <f>Tabla10[[#This Row],[TIPO_P]] &amp; "|" &amp;Tabla10[[#This Row],[Agrupación]] &amp; "|" &amp; Tabla10[[#This Row],[Sexo]] &amp; "|" &amp; Tabla10[[#This Row],[Entidad]]</f>
        <v>PI|||</v>
      </c>
      <c r="B87" s="68" t="s">
        <v>1046</v>
      </c>
      <c r="C87" s="72"/>
      <c r="L87" s="30"/>
    </row>
    <row r="88" spans="1:12" x14ac:dyDescent="0.25">
      <c r="A88" s="67" t="str">
        <f>Tabla10[[#This Row],[TIPO_P]] &amp; "|" &amp;Tabla10[[#This Row],[Agrupación]] &amp; "|" &amp; Tabla10[[#This Row],[Sexo]] &amp; "|" &amp; Tabla10[[#This Row],[Entidad]]</f>
        <v>PI|||</v>
      </c>
      <c r="B88" s="68" t="s">
        <v>1046</v>
      </c>
      <c r="C88" s="72"/>
      <c r="L88" s="30"/>
    </row>
    <row r="89" spans="1:12" x14ac:dyDescent="0.25">
      <c r="A89" s="67" t="str">
        <f>Tabla10[[#This Row],[TIPO_P]] &amp; "|" &amp;Tabla10[[#This Row],[Agrupación]] &amp; "|" &amp; Tabla10[[#This Row],[Sexo]] &amp; "|" &amp; Tabla10[[#This Row],[Entidad]]</f>
        <v>PI|||</v>
      </c>
      <c r="B89" s="68" t="s">
        <v>1046</v>
      </c>
      <c r="C89" s="72"/>
      <c r="L89" s="30"/>
    </row>
    <row r="90" spans="1:12" x14ac:dyDescent="0.25">
      <c r="A90" s="67" t="str">
        <f>Tabla10[[#This Row],[TIPO_P]] &amp; "|" &amp;Tabla10[[#This Row],[Agrupación]] &amp; "|" &amp; Tabla10[[#This Row],[Sexo]] &amp; "|" &amp; Tabla10[[#This Row],[Entidad]]</f>
        <v>PI|||</v>
      </c>
      <c r="B90" s="68" t="s">
        <v>1046</v>
      </c>
      <c r="C90" s="72"/>
      <c r="L90" s="30"/>
    </row>
    <row r="91" spans="1:12" x14ac:dyDescent="0.25">
      <c r="A91" s="67" t="str">
        <f>Tabla10[[#This Row],[TIPO_P]] &amp; "|" &amp;Tabla10[[#This Row],[Agrupación]] &amp; "|" &amp; Tabla10[[#This Row],[Sexo]] &amp; "|" &amp; Tabla10[[#This Row],[Entidad]]</f>
        <v>PI|||</v>
      </c>
      <c r="B91" s="68" t="s">
        <v>1046</v>
      </c>
      <c r="C91" s="72"/>
      <c r="L91" s="30"/>
    </row>
    <row r="92" spans="1:12" x14ac:dyDescent="0.25">
      <c r="A92" s="67" t="str">
        <f>Tabla10[[#This Row],[TIPO_P]] &amp; "|" &amp;Tabla10[[#This Row],[Agrupación]] &amp; "|" &amp; Tabla10[[#This Row],[Sexo]] &amp; "|" &amp; Tabla10[[#This Row],[Entidad]]</f>
        <v>PI|||</v>
      </c>
      <c r="B92" s="68" t="s">
        <v>1046</v>
      </c>
      <c r="C92" s="72"/>
      <c r="L92" s="30"/>
    </row>
    <row r="93" spans="1:12" x14ac:dyDescent="0.25">
      <c r="A93" s="67" t="str">
        <f>Tabla10[[#This Row],[TIPO_P]] &amp; "|" &amp;Tabla10[[#This Row],[Agrupación]] &amp; "|" &amp; Tabla10[[#This Row],[Sexo]] &amp; "|" &amp; Tabla10[[#This Row],[Entidad]]</f>
        <v>PI|||</v>
      </c>
      <c r="B93" s="68" t="s">
        <v>1046</v>
      </c>
      <c r="C93" s="72"/>
      <c r="L93" s="30"/>
    </row>
    <row r="94" spans="1:12" x14ac:dyDescent="0.25">
      <c r="A94" s="67" t="str">
        <f>Tabla10[[#This Row],[TIPO_P]] &amp; "|" &amp;Tabla10[[#This Row],[Agrupación]] &amp; "|" &amp; Tabla10[[#This Row],[Sexo]] &amp; "|" &amp; Tabla10[[#This Row],[Entidad]]</f>
        <v>PI|||</v>
      </c>
      <c r="B94" s="68" t="s">
        <v>1046</v>
      </c>
      <c r="C94" s="72"/>
      <c r="L94" s="30"/>
    </row>
    <row r="95" spans="1:12" x14ac:dyDescent="0.25">
      <c r="A95" s="67" t="str">
        <f>Tabla10[[#This Row],[TIPO_P]] &amp; "|" &amp;Tabla10[[#This Row],[Agrupación]] &amp; "|" &amp; Tabla10[[#This Row],[Sexo]] &amp; "|" &amp; Tabla10[[#This Row],[Entidad]]</f>
        <v>PI|||</v>
      </c>
      <c r="B95" s="68" t="s">
        <v>1046</v>
      </c>
      <c r="C95" s="72"/>
      <c r="L95" s="30"/>
    </row>
    <row r="96" spans="1:12" x14ac:dyDescent="0.25">
      <c r="A96" s="67" t="str">
        <f>Tabla10[[#This Row],[TIPO_P]] &amp; "|" &amp;Tabla10[[#This Row],[Agrupación]] &amp; "|" &amp; Tabla10[[#This Row],[Sexo]] &amp; "|" &amp; Tabla10[[#This Row],[Entidad]]</f>
        <v>PI|||</v>
      </c>
      <c r="B96" s="68" t="s">
        <v>1046</v>
      </c>
      <c r="C96" s="72"/>
      <c r="L96" s="30"/>
    </row>
    <row r="97" spans="1:12" x14ac:dyDescent="0.25">
      <c r="A97" s="67" t="str">
        <f>Tabla10[[#This Row],[TIPO_P]] &amp; "|" &amp;Tabla10[[#This Row],[Agrupación]] &amp; "|" &amp; Tabla10[[#This Row],[Sexo]] &amp; "|" &amp; Tabla10[[#This Row],[Entidad]]</f>
        <v>PI|||</v>
      </c>
      <c r="B97" s="68" t="s">
        <v>1046</v>
      </c>
      <c r="C97" s="72"/>
      <c r="L97" s="30"/>
    </row>
    <row r="98" spans="1:12" x14ac:dyDescent="0.25">
      <c r="A98" s="67" t="str">
        <f>Tabla10[[#This Row],[TIPO_P]] &amp; "|" &amp;Tabla10[[#This Row],[Agrupación]] &amp; "|" &amp; Tabla10[[#This Row],[Sexo]] &amp; "|" &amp; Tabla10[[#This Row],[Entidad]]</f>
        <v>PI|||</v>
      </c>
      <c r="B98" s="68" t="s">
        <v>1046</v>
      </c>
      <c r="C98" s="72"/>
      <c r="L98" s="30"/>
    </row>
    <row r="99" spans="1:12" x14ac:dyDescent="0.25">
      <c r="A99" s="67" t="str">
        <f>Tabla10[[#This Row],[TIPO_P]] &amp; "|" &amp;Tabla10[[#This Row],[Agrupación]] &amp; "|" &amp; Tabla10[[#This Row],[Sexo]] &amp; "|" &amp; Tabla10[[#This Row],[Entidad]]</f>
        <v>PI|||</v>
      </c>
      <c r="B99" s="68" t="s">
        <v>1046</v>
      </c>
      <c r="C99" s="72"/>
      <c r="L99" s="30"/>
    </row>
    <row r="100" spans="1:12" x14ac:dyDescent="0.25">
      <c r="A100" s="67" t="str">
        <f>Tabla10[[#This Row],[TIPO_P]] &amp; "|" &amp;Tabla10[[#This Row],[Agrupación]] &amp; "|" &amp; Tabla10[[#This Row],[Sexo]] &amp; "|" &amp; Tabla10[[#This Row],[Entidad]]</f>
        <v>PI|||</v>
      </c>
      <c r="B100" s="68" t="s">
        <v>1046</v>
      </c>
      <c r="C100" s="72"/>
      <c r="L100" s="30"/>
    </row>
    <row r="101" spans="1:12" x14ac:dyDescent="0.25">
      <c r="A101" s="67" t="str">
        <f>Tabla10[[#This Row],[TIPO_P]] &amp; "|" &amp;Tabla10[[#This Row],[Agrupación]] &amp; "|" &amp; Tabla10[[#This Row],[Sexo]] &amp; "|" &amp; Tabla10[[#This Row],[Entidad]]</f>
        <v>PI|||</v>
      </c>
      <c r="B101" s="68" t="s">
        <v>1046</v>
      </c>
      <c r="C101" s="72"/>
      <c r="L101" s="30"/>
    </row>
    <row r="102" spans="1:12" x14ac:dyDescent="0.25">
      <c r="A102" s="67" t="str">
        <f>Tabla10[[#This Row],[TIPO_P]] &amp; "|" &amp;Tabla10[[#This Row],[Agrupación]] &amp; "|" &amp; Tabla10[[#This Row],[Sexo]] &amp; "|" &amp; Tabla10[[#This Row],[Entidad]]</f>
        <v>PI|||</v>
      </c>
      <c r="B102" s="68" t="s">
        <v>1046</v>
      </c>
      <c r="C102" s="72"/>
      <c r="L102" s="30"/>
    </row>
    <row r="103" spans="1:12" x14ac:dyDescent="0.25">
      <c r="A103" s="67" t="str">
        <f>Tabla10[[#This Row],[TIPO_P]] &amp; "|" &amp;Tabla10[[#This Row],[Agrupación]] &amp; "|" &amp; Tabla10[[#This Row],[Sexo]] &amp; "|" &amp; Tabla10[[#This Row],[Entidad]]</f>
        <v>PI|||</v>
      </c>
      <c r="B103" s="68" t="s">
        <v>1046</v>
      </c>
      <c r="C103" s="72"/>
      <c r="L103" s="30"/>
    </row>
    <row r="104" spans="1:12" x14ac:dyDescent="0.25">
      <c r="A104" s="67" t="str">
        <f>Tabla10[[#This Row],[TIPO_P]] &amp; "|" &amp;Tabla10[[#This Row],[Agrupación]] &amp; "|" &amp; Tabla10[[#This Row],[Sexo]] &amp; "|" &amp; Tabla10[[#This Row],[Entidad]]</f>
        <v>PI|||</v>
      </c>
      <c r="B104" s="68" t="s">
        <v>1046</v>
      </c>
      <c r="C104" s="72"/>
      <c r="L104" s="30"/>
    </row>
    <row r="105" spans="1:12" x14ac:dyDescent="0.25">
      <c r="A105" s="67" t="str">
        <f>Tabla10[[#This Row],[TIPO_P]] &amp; "|" &amp;Tabla10[[#This Row],[Agrupación]] &amp; "|" &amp; Tabla10[[#This Row],[Sexo]] &amp; "|" &amp; Tabla10[[#This Row],[Entidad]]</f>
        <v>PI|||</v>
      </c>
      <c r="B105" s="68" t="s">
        <v>1046</v>
      </c>
      <c r="C105" s="72"/>
      <c r="L105" s="30"/>
    </row>
    <row r="106" spans="1:12" x14ac:dyDescent="0.25">
      <c r="A106" s="67" t="str">
        <f>Tabla10[[#This Row],[TIPO_P]] &amp; "|" &amp;Tabla10[[#This Row],[Agrupación]] &amp; "|" &amp; Tabla10[[#This Row],[Sexo]] &amp; "|" &amp; Tabla10[[#This Row],[Entidad]]</f>
        <v>PI|||</v>
      </c>
      <c r="B106" s="68" t="s">
        <v>1046</v>
      </c>
      <c r="C106" s="72"/>
      <c r="L106" s="30"/>
    </row>
    <row r="107" spans="1:12" x14ac:dyDescent="0.25">
      <c r="A107" s="67" t="str">
        <f>Tabla10[[#This Row],[TIPO_P]] &amp; "|" &amp;Tabla10[[#This Row],[Agrupación]] &amp; "|" &amp; Tabla10[[#This Row],[Sexo]] &amp; "|" &amp; Tabla10[[#This Row],[Entidad]]</f>
        <v>PI|||</v>
      </c>
      <c r="B107" s="68" t="s">
        <v>1046</v>
      </c>
      <c r="C107" s="72"/>
      <c r="L107" s="30"/>
    </row>
    <row r="108" spans="1:12" x14ac:dyDescent="0.25">
      <c r="A108" s="67" t="str">
        <f>Tabla10[[#This Row],[TIPO_P]] &amp; "|" &amp;Tabla10[[#This Row],[Agrupación]] &amp; "|" &amp; Tabla10[[#This Row],[Sexo]] &amp; "|" &amp; Tabla10[[#This Row],[Entidad]]</f>
        <v>PI|||</v>
      </c>
      <c r="B108" s="68" t="s">
        <v>1046</v>
      </c>
      <c r="C108" s="72"/>
      <c r="L108" s="30"/>
    </row>
    <row r="109" spans="1:12" x14ac:dyDescent="0.25">
      <c r="A109" s="67" t="str">
        <f>Tabla10[[#This Row],[TIPO_P]] &amp; "|" &amp;Tabla10[[#This Row],[Agrupación]] &amp; "|" &amp; Tabla10[[#This Row],[Sexo]] &amp; "|" &amp; Tabla10[[#This Row],[Entidad]]</f>
        <v>PI|||</v>
      </c>
      <c r="B109" s="68" t="s">
        <v>1046</v>
      </c>
      <c r="C109" s="72"/>
      <c r="L109" s="30"/>
    </row>
    <row r="110" spans="1:12" x14ac:dyDescent="0.25">
      <c r="A110" s="67" t="str">
        <f>Tabla10[[#This Row],[TIPO_P]] &amp; "|" &amp;Tabla10[[#This Row],[Agrupación]] &amp; "|" &amp; Tabla10[[#This Row],[Sexo]] &amp; "|" &amp; Tabla10[[#This Row],[Entidad]]</f>
        <v>PI|||</v>
      </c>
      <c r="B110" s="68" t="s">
        <v>1046</v>
      </c>
      <c r="C110" s="72"/>
      <c r="L110" s="30"/>
    </row>
    <row r="111" spans="1:12" x14ac:dyDescent="0.25">
      <c r="A111" s="67" t="str">
        <f>Tabla10[[#This Row],[TIPO_P]] &amp; "|" &amp;Tabla10[[#This Row],[Agrupación]] &amp; "|" &amp; Tabla10[[#This Row],[Sexo]] &amp; "|" &amp; Tabla10[[#This Row],[Entidad]]</f>
        <v>PI|||</v>
      </c>
      <c r="B111" s="68" t="s">
        <v>1046</v>
      </c>
      <c r="C111" s="72"/>
      <c r="L111" s="30"/>
    </row>
    <row r="112" spans="1:12" x14ac:dyDescent="0.25">
      <c r="A112" s="67" t="str">
        <f>Tabla10[[#This Row],[TIPO_P]] &amp; "|" &amp;Tabla10[[#This Row],[Agrupación]] &amp; "|" &amp; Tabla10[[#This Row],[Sexo]] &amp; "|" &amp; Tabla10[[#This Row],[Entidad]]</f>
        <v>PI|||</v>
      </c>
      <c r="B112" s="68" t="s">
        <v>1046</v>
      </c>
      <c r="C112" s="72"/>
      <c r="L112" s="30"/>
    </row>
    <row r="113" spans="1:12" x14ac:dyDescent="0.25">
      <c r="A113" s="67" t="str">
        <f>Tabla10[[#This Row],[TIPO_P]] &amp; "|" &amp;Tabla10[[#This Row],[Agrupación]] &amp; "|" &amp; Tabla10[[#This Row],[Sexo]] &amp; "|" &amp; Tabla10[[#This Row],[Entidad]]</f>
        <v>PI|||</v>
      </c>
      <c r="B113" s="68" t="s">
        <v>1046</v>
      </c>
      <c r="C113" s="72"/>
      <c r="L113" s="30"/>
    </row>
    <row r="114" spans="1:12" x14ac:dyDescent="0.25">
      <c r="A114" s="67" t="str">
        <f>Tabla10[[#This Row],[TIPO_P]] &amp; "|" &amp;Tabla10[[#This Row],[Agrupación]] &amp; "|" &amp; Tabla10[[#This Row],[Sexo]] &amp; "|" &amp; Tabla10[[#This Row],[Entidad]]</f>
        <v>PI|||</v>
      </c>
      <c r="B114" s="68" t="s">
        <v>1046</v>
      </c>
      <c r="C114" s="72"/>
      <c r="L114" s="30"/>
    </row>
    <row r="115" spans="1:12" x14ac:dyDescent="0.25">
      <c r="A115" s="67" t="str">
        <f>Tabla10[[#This Row],[TIPO_P]] &amp; "|" &amp;Tabla10[[#This Row],[Agrupación]] &amp; "|" &amp; Tabla10[[#This Row],[Sexo]] &amp; "|" &amp; Tabla10[[#This Row],[Entidad]]</f>
        <v>PI|||</v>
      </c>
      <c r="B115" s="68" t="s">
        <v>1046</v>
      </c>
      <c r="C115" s="72"/>
      <c r="L115" s="30"/>
    </row>
    <row r="116" spans="1:12" x14ac:dyDescent="0.25">
      <c r="A116" s="67" t="str">
        <f>Tabla10[[#This Row],[TIPO_P]] &amp; "|" &amp;Tabla10[[#This Row],[Agrupación]] &amp; "|" &amp; Tabla10[[#This Row],[Sexo]] &amp; "|" &amp; Tabla10[[#This Row],[Entidad]]</f>
        <v>PI|||</v>
      </c>
      <c r="B116" s="68" t="s">
        <v>1046</v>
      </c>
      <c r="C116" s="72"/>
      <c r="L116" s="30"/>
    </row>
    <row r="117" spans="1:12" x14ac:dyDescent="0.25">
      <c r="A117" s="67" t="str">
        <f>Tabla10[[#This Row],[TIPO_P]] &amp; "|" &amp;Tabla10[[#This Row],[Agrupación]] &amp; "|" &amp; Tabla10[[#This Row],[Sexo]] &amp; "|" &amp; Tabla10[[#This Row],[Entidad]]</f>
        <v>PI|||</v>
      </c>
      <c r="B117" s="68" t="s">
        <v>1046</v>
      </c>
      <c r="C117" s="72"/>
      <c r="L117" s="30"/>
    </row>
    <row r="118" spans="1:12" x14ac:dyDescent="0.25">
      <c r="A118" s="67" t="str">
        <f>Tabla10[[#This Row],[TIPO_P]] &amp; "|" &amp;Tabla10[[#This Row],[Agrupación]] &amp; "|" &amp; Tabla10[[#This Row],[Sexo]] &amp; "|" &amp; Tabla10[[#This Row],[Entidad]]</f>
        <v>PI|||</v>
      </c>
      <c r="B118" s="68" t="s">
        <v>1046</v>
      </c>
      <c r="C118" s="72"/>
      <c r="L118" s="30"/>
    </row>
    <row r="119" spans="1:12" x14ac:dyDescent="0.25">
      <c r="A119" s="67" t="str">
        <f>Tabla10[[#This Row],[TIPO_P]] &amp; "|" &amp;Tabla10[[#This Row],[Agrupación]] &amp; "|" &amp; Tabla10[[#This Row],[Sexo]] &amp; "|" &amp; Tabla10[[#This Row],[Entidad]]</f>
        <v>PI|||</v>
      </c>
      <c r="B119" s="68" t="s">
        <v>1046</v>
      </c>
      <c r="C119" s="72"/>
      <c r="L119" s="30"/>
    </row>
    <row r="120" spans="1:12" x14ac:dyDescent="0.25">
      <c r="A120" s="67" t="str">
        <f>Tabla10[[#This Row],[TIPO_P]] &amp; "|" &amp;Tabla10[[#This Row],[Agrupación]] &amp; "|" &amp; Tabla10[[#This Row],[Sexo]] &amp; "|" &amp; Tabla10[[#This Row],[Entidad]]</f>
        <v>PI|||</v>
      </c>
      <c r="B120" s="68" t="s">
        <v>1046</v>
      </c>
      <c r="C120" s="72"/>
      <c r="L120" s="30"/>
    </row>
    <row r="121" spans="1:12" x14ac:dyDescent="0.25">
      <c r="A121" s="67" t="str">
        <f>Tabla10[[#This Row],[TIPO_P]] &amp; "|" &amp;Tabla10[[#This Row],[Agrupación]] &amp; "|" &amp; Tabla10[[#This Row],[Sexo]] &amp; "|" &amp; Tabla10[[#This Row],[Entidad]]</f>
        <v>PI|||</v>
      </c>
      <c r="B121" s="68" t="s">
        <v>1046</v>
      </c>
      <c r="C121" s="72"/>
      <c r="L121" s="30"/>
    </row>
    <row r="122" spans="1:12" x14ac:dyDescent="0.25">
      <c r="A122" s="67" t="str">
        <f>Tabla10[[#This Row],[TIPO_P]] &amp; "|" &amp;Tabla10[[#This Row],[Agrupación]] &amp; "|" &amp; Tabla10[[#This Row],[Sexo]] &amp; "|" &amp; Tabla10[[#This Row],[Entidad]]</f>
        <v>PI|||</v>
      </c>
      <c r="B122" s="68" t="s">
        <v>1046</v>
      </c>
      <c r="C122" s="72"/>
      <c r="L122" s="30"/>
    </row>
    <row r="123" spans="1:12" x14ac:dyDescent="0.25">
      <c r="A123" s="67" t="str">
        <f>Tabla10[[#This Row],[TIPO_P]] &amp; "|" &amp;Tabla10[[#This Row],[Agrupación]] &amp; "|" &amp; Tabla10[[#This Row],[Sexo]] &amp; "|" &amp; Tabla10[[#This Row],[Entidad]]</f>
        <v>PI|||</v>
      </c>
      <c r="B123" s="68" t="s">
        <v>1046</v>
      </c>
      <c r="C123" s="72"/>
      <c r="L123" s="30"/>
    </row>
    <row r="124" spans="1:12" x14ac:dyDescent="0.25">
      <c r="A124" s="67" t="str">
        <f>Tabla10[[#This Row],[TIPO_P]] &amp; "|" &amp;Tabla10[[#This Row],[Agrupación]] &amp; "|" &amp; Tabla10[[#This Row],[Sexo]] &amp; "|" &amp; Tabla10[[#This Row],[Entidad]]</f>
        <v>PI|||</v>
      </c>
      <c r="B124" s="68" t="s">
        <v>1046</v>
      </c>
      <c r="C124" s="72"/>
      <c r="L124" s="30"/>
    </row>
    <row r="125" spans="1:12" x14ac:dyDescent="0.25">
      <c r="A125" s="67" t="str">
        <f>Tabla10[[#This Row],[TIPO_P]] &amp; "|" &amp;Tabla10[[#This Row],[Agrupación]] &amp; "|" &amp; Tabla10[[#This Row],[Sexo]] &amp; "|" &amp; Tabla10[[#This Row],[Entidad]]</f>
        <v>PI|||</v>
      </c>
      <c r="B125" s="68" t="s">
        <v>1046</v>
      </c>
      <c r="C125" s="72"/>
      <c r="L125" s="30"/>
    </row>
    <row r="126" spans="1:12" x14ac:dyDescent="0.25">
      <c r="A126" s="67" t="str">
        <f>Tabla10[[#This Row],[TIPO_P]] &amp; "|" &amp;Tabla10[[#This Row],[Agrupación]] &amp; "|" &amp; Tabla10[[#This Row],[Sexo]] &amp; "|" &amp; Tabla10[[#This Row],[Entidad]]</f>
        <v>PI|||</v>
      </c>
      <c r="B126" s="68" t="s">
        <v>1046</v>
      </c>
      <c r="C126" s="72"/>
      <c r="L126" s="30"/>
    </row>
    <row r="127" spans="1:12" x14ac:dyDescent="0.25">
      <c r="A127" s="67" t="str">
        <f>Tabla10[[#This Row],[TIPO_P]] &amp; "|" &amp;Tabla10[[#This Row],[Agrupación]] &amp; "|" &amp; Tabla10[[#This Row],[Sexo]] &amp; "|" &amp; Tabla10[[#This Row],[Entidad]]</f>
        <v>PI|||</v>
      </c>
      <c r="B127" s="68" t="s">
        <v>1046</v>
      </c>
      <c r="C127" s="72"/>
      <c r="L127" s="30"/>
    </row>
    <row r="128" spans="1:12" x14ac:dyDescent="0.25">
      <c r="A128" s="67" t="str">
        <f>Tabla10[[#This Row],[TIPO_P]] &amp; "|" &amp;Tabla10[[#This Row],[Agrupación]] &amp; "|" &amp; Tabla10[[#This Row],[Sexo]] &amp; "|" &amp; Tabla10[[#This Row],[Entidad]]</f>
        <v>PI|||</v>
      </c>
      <c r="B128" s="68" t="s">
        <v>1046</v>
      </c>
      <c r="C128" s="72"/>
      <c r="L128" s="30"/>
    </row>
    <row r="129" spans="1:12" ht="15.75" thickBot="1" x14ac:dyDescent="0.3">
      <c r="A129" s="69" t="str">
        <f>Tabla10[[#This Row],[TIPO_P]] &amp; "|" &amp;Tabla10[[#This Row],[Agrupación]] &amp; "|" &amp; Tabla10[[#This Row],[Sexo]] &amp; "|" &amp; Tabla10[[#This Row],[Entidad]]</f>
        <v>PI|||</v>
      </c>
      <c r="B129" s="70" t="s">
        <v>1046</v>
      </c>
      <c r="C129" s="73"/>
      <c r="D129" s="31"/>
      <c r="E129" s="31"/>
      <c r="F129" s="31"/>
      <c r="G129" s="31"/>
      <c r="H129" s="31"/>
      <c r="I129" s="31"/>
      <c r="J129" s="31"/>
      <c r="K129" s="31"/>
      <c r="L129" s="3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abSelected="1" workbookViewId="0">
      <selection activeCell="F16" sqref="F16"/>
    </sheetView>
  </sheetViews>
  <sheetFormatPr baseColWidth="10" defaultRowHeight="15" x14ac:dyDescent="0.25"/>
  <cols>
    <col min="1" max="3" width="8.7109375" customWidth="1"/>
    <col min="4" max="4" width="19.710937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136" customWidth="1"/>
  </cols>
  <sheetData>
    <row r="1" spans="1:17" ht="15.75" x14ac:dyDescent="0.25">
      <c r="O1" s="74">
        <f>SUM(Tabla410[[PI]:[PS]])</f>
        <v>0</v>
      </c>
      <c r="P1" s="74"/>
    </row>
    <row r="2" spans="1:17" ht="27.75" customHeight="1" x14ac:dyDescent="0.25">
      <c r="A2" s="57" t="s">
        <v>1019</v>
      </c>
      <c r="B2" s="57" t="s">
        <v>1052</v>
      </c>
      <c r="C2" s="57" t="s">
        <v>1053</v>
      </c>
      <c r="D2" s="57" t="s">
        <v>1045</v>
      </c>
      <c r="E2" s="57" t="s">
        <v>1022</v>
      </c>
      <c r="F2" s="57" t="s">
        <v>1023</v>
      </c>
      <c r="G2" s="57" t="s">
        <v>1044</v>
      </c>
      <c r="H2" s="57" t="s">
        <v>1048</v>
      </c>
      <c r="I2" s="57" t="s">
        <v>1049</v>
      </c>
      <c r="J2" s="57" t="s">
        <v>1036</v>
      </c>
      <c r="K2" s="57" t="s">
        <v>1031</v>
      </c>
      <c r="L2" s="57" t="s">
        <v>1030</v>
      </c>
      <c r="M2" s="57" t="s">
        <v>1037</v>
      </c>
      <c r="N2" s="57" t="s">
        <v>1029</v>
      </c>
      <c r="O2" s="57" t="s">
        <v>1046</v>
      </c>
      <c r="P2" s="57" t="s">
        <v>1050</v>
      </c>
      <c r="Q2" s="58" t="s">
        <v>1027</v>
      </c>
    </row>
    <row r="3" spans="1:17" ht="15" customHeight="1" x14ac:dyDescent="0.25">
      <c r="A3" s="52">
        <v>2015</v>
      </c>
      <c r="B3" s="33" t="s">
        <v>1046</v>
      </c>
      <c r="C3" s="59" t="s">
        <v>1050</v>
      </c>
      <c r="D3" s="34" t="s">
        <v>20</v>
      </c>
      <c r="E3" s="34" t="s">
        <v>1042</v>
      </c>
      <c r="F3" s="34" t="s">
        <v>518</v>
      </c>
      <c r="G3" s="53"/>
      <c r="H3" s="54" t="str">
        <f>Tabla410[[#This Row],[P1]] &amp; "|" &amp;Tabla410[[#This Row],[Agrupación]] &amp; "|" &amp; Tabla410[[#This Row],[Sexo]] &amp; "|" &amp; Tabla410[[#This Row],[Entidad]]</f>
        <v>PI|Acoso sexual|Mujer|Aguascalientes</v>
      </c>
      <c r="I3" s="35" t="str">
        <f>Tabla410[[#This Row],[P2]] &amp; "|" &amp;Tabla410[[#This Row],[Agrupación]] &amp; "|" &amp; Tabla410[[#This Row],[Sexo]] &amp; "|" &amp; Tabla410[[#This Row],[Entidad]]</f>
        <v>PS|Acoso sexual|Mujer|Aguascalientes</v>
      </c>
      <c r="J3" s="36">
        <f>VLOOKUP(Tabla410[[#This Row],[Agrupación]],Tabla5[[#All],[name]:[id_1]],2,FALSE)</f>
        <v>6</v>
      </c>
      <c r="K3" s="36">
        <f>VLOOKUP(Tabla410[[#This Row],[Año]],Tabla6[[#All],[name]:[id_2]],2)</f>
        <v>16</v>
      </c>
      <c r="L3" s="36">
        <f>VLOOKUP(Tabla410[[#This Row],[Sexo]],Tabla8[[#All],[name]:[gender_id]],2,FALSE)</f>
        <v>1</v>
      </c>
      <c r="M3" s="36" t="str">
        <f>IF(LEN(Tabla410[[#This Row],[centros]])&gt;0,VLOOKUP(Tabla410[[#This Row],[centros]],Tabla2[[#All],[Centros]:[ID]],2,FALSE),"NULL")</f>
        <v>NULL</v>
      </c>
      <c r="N3" s="36">
        <f>VLOOKUP(Tabla410[[#This Row],[Entidad]],Tabla3[[#All],[name]:[ID_2]],2,FALSE)</f>
        <v>1</v>
      </c>
      <c r="O3" s="36">
        <f>IFERROR(VLOOKUP(Tabla410[[#This Row],[CLAVE PI]], Tabla10[], 10, FALSE), 0)</f>
        <v>0</v>
      </c>
      <c r="P3" s="55">
        <f>IFERROR(VLOOKUP(Tabla410[[#This Row],[CLAVE PS]], Tabla10[], 10, FALSE), 0)</f>
        <v>0</v>
      </c>
      <c r="Q3" s="56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16, 1, NULL, 1, 0, 0, 1);</v>
      </c>
    </row>
    <row r="4" spans="1:17" ht="15" customHeight="1" x14ac:dyDescent="0.25">
      <c r="A4" s="52">
        <v>2015</v>
      </c>
      <c r="B4" s="21" t="s">
        <v>1046</v>
      </c>
      <c r="C4" s="60" t="s">
        <v>1050</v>
      </c>
      <c r="D4" s="34" t="s">
        <v>20</v>
      </c>
      <c r="E4" s="34" t="s">
        <v>1042</v>
      </c>
      <c r="F4" s="3" t="s">
        <v>519</v>
      </c>
      <c r="G4" s="37"/>
      <c r="H4" s="41" t="str">
        <f>Tabla410[[#This Row],[P1]] &amp; "|" &amp;Tabla410[[#This Row],[Agrupación]] &amp; "|" &amp; Tabla410[[#This Row],[Sexo]] &amp; "|" &amp; Tabla410[[#This Row],[Entidad]]</f>
        <v>PI|Acoso sexual|Mujer|Baja California</v>
      </c>
      <c r="I4" s="22" t="str">
        <f>Tabla410[[#This Row],[P2]] &amp; "|" &amp;Tabla410[[#This Row],[Agrupación]] &amp; "|" &amp; Tabla410[[#This Row],[Sexo]] &amp; "|" &amp; Tabla410[[#This Row],[Entidad]]</f>
        <v>PS|Acoso sexual|Mujer|Baja California</v>
      </c>
      <c r="J4" s="9">
        <f>VLOOKUP(Tabla410[[#This Row],[Agrupación]],Tabla5[[#All],[name]:[id_1]],2,FALSE)</f>
        <v>6</v>
      </c>
      <c r="K4" s="9">
        <f>VLOOKUP(Tabla410[[#This Row],[Año]],Tabla6[[#All],[name]:[id_2]],2)</f>
        <v>16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42">
        <f>IFERROR(VLOOKUP(Tabla410[[#This Row],[CLAVE PS]], Tabla10[], 10, FALSE), 0)</f>
        <v>0</v>
      </c>
      <c r="Q4" s="48" t="str">
        <f t="shared" si="0"/>
        <v>INSERT INTO indicator_category_details (category_id, year_id, gender_id, center_id, state_id, PI, PS, status) VALUES (6, 16, 1, NULL, 2, 0, 0, 1);</v>
      </c>
    </row>
    <row r="5" spans="1:17" ht="15" customHeight="1" x14ac:dyDescent="0.25">
      <c r="A5" s="52">
        <v>2015</v>
      </c>
      <c r="B5" s="21" t="s">
        <v>1046</v>
      </c>
      <c r="C5" s="60" t="s">
        <v>1050</v>
      </c>
      <c r="D5" s="34" t="s">
        <v>20</v>
      </c>
      <c r="E5" s="34" t="s">
        <v>1042</v>
      </c>
      <c r="F5" s="3" t="s">
        <v>528</v>
      </c>
      <c r="G5" s="37"/>
      <c r="H5" s="41" t="str">
        <f>Tabla410[[#This Row],[P1]] &amp; "|" &amp;Tabla410[[#This Row],[Agrupación]] &amp; "|" &amp; Tabla410[[#This Row],[Sexo]] &amp; "|" &amp; Tabla410[[#This Row],[Entidad]]</f>
        <v>PI|Acoso sexual|Mujer|Baja California Sur</v>
      </c>
      <c r="I5" s="22" t="str">
        <f>Tabla410[[#This Row],[P2]] &amp; "|" &amp;Tabla410[[#This Row],[Agrupación]] &amp; "|" &amp; Tabla410[[#This Row],[Sexo]] &amp; "|" &amp; Tabla410[[#This Row],[Entidad]]</f>
        <v>PS|Acoso sexual|Mujer|Baja California Sur</v>
      </c>
      <c r="J5" s="9">
        <f>VLOOKUP(Tabla410[[#This Row],[Agrupación]],Tabla5[[#All],[name]:[id_1]],2,FALSE)</f>
        <v>6</v>
      </c>
      <c r="K5" s="9">
        <f>VLOOKUP(Tabla410[[#This Row],[Año]],Tabla6[[#All],[name]:[id_2]],2)</f>
        <v>16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42">
        <f>IFERROR(VLOOKUP(Tabla410[[#This Row],[CLAVE PS]], Tabla10[], 10, FALSE), 0)</f>
        <v>0</v>
      </c>
      <c r="Q5" s="48" t="str">
        <f t="shared" si="0"/>
        <v>INSERT INTO indicator_category_details (category_id, year_id, gender_id, center_id, state_id, PI, PS, status) VALUES (6, 16, 1, NULL, 3, 0, 0, 1);</v>
      </c>
    </row>
    <row r="6" spans="1:17" ht="15" customHeight="1" x14ac:dyDescent="0.25">
      <c r="A6" s="52">
        <v>2015</v>
      </c>
      <c r="B6" s="21" t="s">
        <v>1046</v>
      </c>
      <c r="C6" s="60" t="s">
        <v>1050</v>
      </c>
      <c r="D6" s="34" t="s">
        <v>20</v>
      </c>
      <c r="E6" s="34" t="s">
        <v>1042</v>
      </c>
      <c r="F6" s="3" t="s">
        <v>534</v>
      </c>
      <c r="G6" s="37"/>
      <c r="H6" s="41" t="str">
        <f>Tabla410[[#This Row],[P1]] &amp; "|" &amp;Tabla410[[#This Row],[Agrupación]] &amp; "|" &amp; Tabla410[[#This Row],[Sexo]] &amp; "|" &amp; Tabla410[[#This Row],[Entidad]]</f>
        <v>PI|Acoso sexual|Mujer|Campeche</v>
      </c>
      <c r="I6" s="22" t="str">
        <f>Tabla410[[#This Row],[P2]] &amp; "|" &amp;Tabla410[[#This Row],[Agrupación]] &amp; "|" &amp; Tabla410[[#This Row],[Sexo]] &amp; "|" &amp; Tabla410[[#This Row],[Entidad]]</f>
        <v>PS|Acoso sexual|Mujer|Campeche</v>
      </c>
      <c r="J6" s="9">
        <f>VLOOKUP(Tabla410[[#This Row],[Agrupación]],Tabla5[[#All],[name]:[id_1]],2,FALSE)</f>
        <v>6</v>
      </c>
      <c r="K6" s="9">
        <f>VLOOKUP(Tabla410[[#This Row],[Año]],Tabla6[[#All],[name]:[id_2]],2)</f>
        <v>16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42">
        <f>IFERROR(VLOOKUP(Tabla410[[#This Row],[CLAVE PS]], Tabla10[], 10, FALSE), 0)</f>
        <v>0</v>
      </c>
      <c r="Q6" s="48" t="str">
        <f t="shared" si="0"/>
        <v>INSERT INTO indicator_category_details (category_id, year_id, gender_id, center_id, state_id, PI, PS, status) VALUES (6, 16, 1, NULL, 4, 0, 0, 1);</v>
      </c>
    </row>
    <row r="7" spans="1:17" ht="15" customHeight="1" x14ac:dyDescent="0.25">
      <c r="A7" s="52">
        <v>2015</v>
      </c>
      <c r="B7" s="21" t="s">
        <v>1046</v>
      </c>
      <c r="C7" s="60" t="s">
        <v>1050</v>
      </c>
      <c r="D7" s="34" t="s">
        <v>20</v>
      </c>
      <c r="E7" s="34" t="s">
        <v>1042</v>
      </c>
      <c r="F7" s="3" t="s">
        <v>553</v>
      </c>
      <c r="G7" s="37"/>
      <c r="H7" s="41" t="str">
        <f>Tabla410[[#This Row],[P1]] &amp; "|" &amp;Tabla410[[#This Row],[Agrupación]] &amp; "|" &amp; Tabla410[[#This Row],[Sexo]] &amp; "|" &amp; Tabla410[[#This Row],[Entidad]]</f>
        <v>PI|Acoso sexual|Mujer|Chiapas</v>
      </c>
      <c r="I7" s="22" t="str">
        <f>Tabla410[[#This Row],[P2]] &amp; "|" &amp;Tabla410[[#This Row],[Agrupación]] &amp; "|" &amp; Tabla410[[#This Row],[Sexo]] &amp; "|" &amp; Tabla410[[#This Row],[Entidad]]</f>
        <v>PS|Acoso sexual|Mujer|Chiapas</v>
      </c>
      <c r="J7" s="9">
        <f>VLOOKUP(Tabla410[[#This Row],[Agrupación]],Tabla5[[#All],[name]:[id_1]],2,FALSE)</f>
        <v>6</v>
      </c>
      <c r="K7" s="9">
        <f>VLOOKUP(Tabla410[[#This Row],[Año]],Tabla6[[#All],[name]:[id_2]],2)</f>
        <v>16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42">
        <f>IFERROR(VLOOKUP(Tabla410[[#This Row],[CLAVE PS]], Tabla10[], 10, FALSE), 0)</f>
        <v>0</v>
      </c>
      <c r="Q7" s="48" t="str">
        <f t="shared" si="0"/>
        <v>INSERT INTO indicator_category_details (category_id, year_id, gender_id, center_id, state_id, PI, PS, status) VALUES (6, 16, 1, NULL, 5, 0, 0, 1);</v>
      </c>
    </row>
    <row r="8" spans="1:17" ht="15" customHeight="1" x14ac:dyDescent="0.25">
      <c r="A8" s="52">
        <v>2015</v>
      </c>
      <c r="B8" s="21" t="s">
        <v>1046</v>
      </c>
      <c r="C8" s="60" t="s">
        <v>1050</v>
      </c>
      <c r="D8" s="34" t="s">
        <v>20</v>
      </c>
      <c r="E8" s="34" t="s">
        <v>1042</v>
      </c>
      <c r="F8" s="3" t="s">
        <v>570</v>
      </c>
      <c r="G8" s="37"/>
      <c r="H8" s="41" t="str">
        <f>Tabla410[[#This Row],[P1]] &amp; "|" &amp;Tabla410[[#This Row],[Agrupación]] &amp; "|" &amp; Tabla410[[#This Row],[Sexo]] &amp; "|" &amp; Tabla410[[#This Row],[Entidad]]</f>
        <v>PI|Acoso sexual|Mujer|Chihuahua</v>
      </c>
      <c r="I8" s="22" t="str">
        <f>Tabla410[[#This Row],[P2]] &amp; "|" &amp;Tabla410[[#This Row],[Agrupación]] &amp; "|" &amp; Tabla410[[#This Row],[Sexo]] &amp; "|" &amp; Tabla410[[#This Row],[Entidad]]</f>
        <v>PS|Acoso sexual|Mujer|Chihuahua</v>
      </c>
      <c r="J8" s="9">
        <f>VLOOKUP(Tabla410[[#This Row],[Agrupación]],Tabla5[[#All],[name]:[id_1]],2,FALSE)</f>
        <v>6</v>
      </c>
      <c r="K8" s="9">
        <f>VLOOKUP(Tabla410[[#This Row],[Año]],Tabla6[[#All],[name]:[id_2]],2)</f>
        <v>16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42">
        <f>IFERROR(VLOOKUP(Tabla410[[#This Row],[CLAVE PS]], Tabla10[], 10, FALSE), 0)</f>
        <v>0</v>
      </c>
      <c r="Q8" s="48" t="str">
        <f t="shared" si="0"/>
        <v>INSERT INTO indicator_category_details (category_id, year_id, gender_id, center_id, state_id, PI, PS, status) VALUES (6, 16, 1, NULL, 6, 0, 0, 1);</v>
      </c>
    </row>
    <row r="9" spans="1:17" ht="15" customHeight="1" x14ac:dyDescent="0.25">
      <c r="A9" s="52">
        <v>2015</v>
      </c>
      <c r="B9" s="21" t="s">
        <v>1046</v>
      </c>
      <c r="C9" s="60" t="s">
        <v>1050</v>
      </c>
      <c r="D9" s="34" t="s">
        <v>20</v>
      </c>
      <c r="E9" s="34" t="s">
        <v>1042</v>
      </c>
      <c r="F9" s="3" t="s">
        <v>582</v>
      </c>
      <c r="G9" s="37"/>
      <c r="H9" s="41" t="str">
        <f>Tabla410[[#This Row],[P1]] &amp; "|" &amp;Tabla410[[#This Row],[Agrupación]] &amp; "|" &amp; Tabla410[[#This Row],[Sexo]] &amp; "|" &amp; Tabla410[[#This Row],[Entidad]]</f>
        <v>PI|Acoso sexual|Mujer|Ciudad de México</v>
      </c>
      <c r="I9" s="22" t="str">
        <f>Tabla410[[#This Row],[P2]] &amp; "|" &amp;Tabla410[[#This Row],[Agrupación]] &amp; "|" &amp; Tabla410[[#This Row],[Sexo]] &amp; "|" &amp; Tabla410[[#This Row],[Entidad]]</f>
        <v>PS|Acoso sexual|Mujer|Ciudad de México</v>
      </c>
      <c r="J9" s="9">
        <f>VLOOKUP(Tabla410[[#This Row],[Agrupación]],Tabla5[[#All],[name]:[id_1]],2,FALSE)</f>
        <v>6</v>
      </c>
      <c r="K9" s="9">
        <f>VLOOKUP(Tabla410[[#This Row],[Año]],Tabla6[[#All],[name]:[id_2]],2)</f>
        <v>16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42">
        <f>IFERROR(VLOOKUP(Tabla410[[#This Row],[CLAVE PS]], Tabla10[], 10, FALSE), 0)</f>
        <v>0</v>
      </c>
      <c r="Q9" s="48" t="str">
        <f t="shared" si="0"/>
        <v>INSERT INTO indicator_category_details (category_id, year_id, gender_id, center_id, state_id, PI, PS, status) VALUES (6, 16, 1, NULL, 7, 0, 0, 1);</v>
      </c>
    </row>
    <row r="10" spans="1:17" ht="15" customHeight="1" x14ac:dyDescent="0.25">
      <c r="A10" s="52">
        <v>2015</v>
      </c>
      <c r="B10" s="21" t="s">
        <v>1046</v>
      </c>
      <c r="C10" s="60" t="s">
        <v>1050</v>
      </c>
      <c r="D10" s="34" t="s">
        <v>20</v>
      </c>
      <c r="E10" s="34" t="s">
        <v>1042</v>
      </c>
      <c r="F10" s="3" t="s">
        <v>538</v>
      </c>
      <c r="G10" s="37"/>
      <c r="H10" s="41" t="str">
        <f>Tabla410[[#This Row],[P1]] &amp; "|" &amp;Tabla410[[#This Row],[Agrupación]] &amp; "|" &amp; Tabla410[[#This Row],[Sexo]] &amp; "|" &amp; Tabla410[[#This Row],[Entidad]]</f>
        <v>PI|Acoso sexual|Mujer|Coahuila de Zaragoza</v>
      </c>
      <c r="I10" s="22" t="str">
        <f>Tabla410[[#This Row],[P2]] &amp; "|" &amp;Tabla410[[#This Row],[Agrupación]] &amp; "|" &amp; Tabla410[[#This Row],[Sexo]] &amp; "|" &amp; Tabla410[[#This Row],[Entidad]]</f>
        <v>PS|Acoso sexual|Mujer|Coahuila de Zaragoza</v>
      </c>
      <c r="J10" s="9">
        <f>VLOOKUP(Tabla410[[#This Row],[Agrupación]],Tabla5[[#All],[name]:[id_1]],2,FALSE)</f>
        <v>6</v>
      </c>
      <c r="K10" s="9">
        <f>VLOOKUP(Tabla410[[#This Row],[Año]],Tabla6[[#All],[name]:[id_2]],2)</f>
        <v>16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42">
        <f>IFERROR(VLOOKUP(Tabla410[[#This Row],[CLAVE PS]], Tabla10[], 10, FALSE), 0)</f>
        <v>0</v>
      </c>
      <c r="Q10" s="48" t="str">
        <f t="shared" si="0"/>
        <v>INSERT INTO indicator_category_details (category_id, year_id, gender_id, center_id, state_id, PI, PS, status) VALUES (6, 16, 1, NULL, 8, 0, 0, 1);</v>
      </c>
    </row>
    <row r="11" spans="1:17" ht="15" customHeight="1" x14ac:dyDescent="0.25">
      <c r="A11" s="52">
        <v>2015</v>
      </c>
      <c r="B11" s="21" t="s">
        <v>1046</v>
      </c>
      <c r="C11" s="60" t="s">
        <v>1050</v>
      </c>
      <c r="D11" s="34" t="s">
        <v>20</v>
      </c>
      <c r="E11" s="34" t="s">
        <v>1042</v>
      </c>
      <c r="F11" s="3" t="s">
        <v>547</v>
      </c>
      <c r="G11" s="37"/>
      <c r="H11" s="41" t="str">
        <f>Tabla410[[#This Row],[P1]] &amp; "|" &amp;Tabla410[[#This Row],[Agrupación]] &amp; "|" &amp; Tabla410[[#This Row],[Sexo]] &amp; "|" &amp; Tabla410[[#This Row],[Entidad]]</f>
        <v>PI|Acoso sexual|Mujer|Colima</v>
      </c>
      <c r="I11" s="22" t="str">
        <f>Tabla410[[#This Row],[P2]] &amp; "|" &amp;Tabla410[[#This Row],[Agrupación]] &amp; "|" &amp; Tabla410[[#This Row],[Sexo]] &amp; "|" &amp; Tabla410[[#This Row],[Entidad]]</f>
        <v>PS|Acoso sexual|Mujer|Colima</v>
      </c>
      <c r="J11" s="9">
        <f>VLOOKUP(Tabla410[[#This Row],[Agrupación]],Tabla5[[#All],[name]:[id_1]],2,FALSE)</f>
        <v>6</v>
      </c>
      <c r="K11" s="9">
        <f>VLOOKUP(Tabla410[[#This Row],[Año]],Tabla6[[#All],[name]:[id_2]],2)</f>
        <v>16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42">
        <f>IFERROR(VLOOKUP(Tabla410[[#This Row],[CLAVE PS]], Tabla10[], 10, FALSE), 0)</f>
        <v>0</v>
      </c>
      <c r="Q11" s="48" t="str">
        <f t="shared" si="0"/>
        <v>INSERT INTO indicator_category_details (category_id, year_id, gender_id, center_id, state_id, PI, PS, status) VALUES (6, 16, 1, NULL, 9, 0, 0, 1);</v>
      </c>
    </row>
    <row r="12" spans="1:17" ht="15" customHeight="1" x14ac:dyDescent="0.25">
      <c r="A12" s="52">
        <v>2015</v>
      </c>
      <c r="B12" s="21" t="s">
        <v>1046</v>
      </c>
      <c r="C12" s="60" t="s">
        <v>1050</v>
      </c>
      <c r="D12" s="34" t="s">
        <v>20</v>
      </c>
      <c r="E12" s="34" t="s">
        <v>1042</v>
      </c>
      <c r="F12" s="3" t="s">
        <v>600</v>
      </c>
      <c r="G12" s="37"/>
      <c r="H12" s="41" t="str">
        <f>Tabla410[[#This Row],[P1]] &amp; "|" &amp;Tabla410[[#This Row],[Agrupación]] &amp; "|" &amp; Tabla410[[#This Row],[Sexo]] &amp; "|" &amp; Tabla410[[#This Row],[Entidad]]</f>
        <v>PI|Acoso sexual|Mujer|Durango</v>
      </c>
      <c r="I12" s="22" t="str">
        <f>Tabla410[[#This Row],[P2]] &amp; "|" &amp;Tabla410[[#This Row],[Agrupación]] &amp; "|" &amp; Tabla410[[#This Row],[Sexo]] &amp; "|" &amp; Tabla410[[#This Row],[Entidad]]</f>
        <v>PS|Acoso sexual|Mujer|Durango</v>
      </c>
      <c r="J12" s="9">
        <f>VLOOKUP(Tabla410[[#This Row],[Agrupación]],Tabla5[[#All],[name]:[id_1]],2,FALSE)</f>
        <v>6</v>
      </c>
      <c r="K12" s="9">
        <f>VLOOKUP(Tabla410[[#This Row],[Año]],Tabla6[[#All],[name]:[id_2]],2)</f>
        <v>16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42">
        <f>IFERROR(VLOOKUP(Tabla410[[#This Row],[CLAVE PS]], Tabla10[], 10, FALSE), 0)</f>
        <v>0</v>
      </c>
      <c r="Q12" s="48" t="str">
        <f t="shared" si="0"/>
        <v>INSERT INTO indicator_category_details (category_id, year_id, gender_id, center_id, state_id, PI, PS, status) VALUES (6, 16, 1, NULL, 10, 0, 0, 1);</v>
      </c>
    </row>
    <row r="13" spans="1:17" ht="15" customHeight="1" x14ac:dyDescent="0.25">
      <c r="A13" s="52">
        <v>2015</v>
      </c>
      <c r="B13" s="21" t="s">
        <v>1046</v>
      </c>
      <c r="C13" s="60" t="s">
        <v>1050</v>
      </c>
      <c r="D13" s="34" t="s">
        <v>20</v>
      </c>
      <c r="E13" s="34" t="s">
        <v>1042</v>
      </c>
      <c r="F13" s="3" t="s">
        <v>606</v>
      </c>
      <c r="G13" s="37"/>
      <c r="H13" s="41" t="str">
        <f>Tabla410[[#This Row],[P1]] &amp; "|" &amp;Tabla410[[#This Row],[Agrupación]] &amp; "|" &amp; Tabla410[[#This Row],[Sexo]] &amp; "|" &amp; Tabla410[[#This Row],[Entidad]]</f>
        <v>PI|Acoso sexual|Mujer|Guanajuato</v>
      </c>
      <c r="I13" s="22" t="str">
        <f>Tabla410[[#This Row],[P2]] &amp; "|" &amp;Tabla410[[#This Row],[Agrupación]] &amp; "|" &amp; Tabla410[[#This Row],[Sexo]] &amp; "|" &amp; Tabla410[[#This Row],[Entidad]]</f>
        <v>PS|Acoso sexual|Mujer|Guanajuato</v>
      </c>
      <c r="J13" s="9">
        <f>VLOOKUP(Tabla410[[#This Row],[Agrupación]],Tabla5[[#All],[name]:[id_1]],2,FALSE)</f>
        <v>6</v>
      </c>
      <c r="K13" s="9">
        <f>VLOOKUP(Tabla410[[#This Row],[Año]],Tabla6[[#All],[name]:[id_2]],2)</f>
        <v>16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42">
        <f>IFERROR(VLOOKUP(Tabla410[[#This Row],[CLAVE PS]], Tabla10[], 10, FALSE), 0)</f>
        <v>0</v>
      </c>
      <c r="Q13" s="48" t="str">
        <f t="shared" si="0"/>
        <v>INSERT INTO indicator_category_details (category_id, year_id, gender_id, center_id, state_id, PI, PS, status) VALUES (6, 16, 1, NULL, 11, 0, 0, 1);</v>
      </c>
    </row>
    <row r="14" spans="1:17" ht="15" customHeight="1" x14ac:dyDescent="0.25">
      <c r="A14" s="52">
        <v>2015</v>
      </c>
      <c r="B14" s="21" t="s">
        <v>1046</v>
      </c>
      <c r="C14" s="60" t="s">
        <v>1050</v>
      </c>
      <c r="D14" s="34" t="s">
        <v>20</v>
      </c>
      <c r="E14" s="34" t="s">
        <v>1042</v>
      </c>
      <c r="F14" s="3" t="s">
        <v>619</v>
      </c>
      <c r="G14" s="37"/>
      <c r="H14" s="41" t="str">
        <f>Tabla410[[#This Row],[P1]] &amp; "|" &amp;Tabla410[[#This Row],[Agrupación]] &amp; "|" &amp; Tabla410[[#This Row],[Sexo]] &amp; "|" &amp; Tabla410[[#This Row],[Entidad]]</f>
        <v>PI|Acoso sexual|Mujer|Guerrero</v>
      </c>
      <c r="I14" s="22" t="str">
        <f>Tabla410[[#This Row],[P2]] &amp; "|" &amp;Tabla410[[#This Row],[Agrupación]] &amp; "|" &amp; Tabla410[[#This Row],[Sexo]] &amp; "|" &amp; Tabla410[[#This Row],[Entidad]]</f>
        <v>PS|Acoso sexual|Mujer|Guerrero</v>
      </c>
      <c r="J14" s="9">
        <f>VLOOKUP(Tabla410[[#This Row],[Agrupación]],Tabla5[[#All],[name]:[id_1]],2,FALSE)</f>
        <v>6</v>
      </c>
      <c r="K14" s="9">
        <f>VLOOKUP(Tabla410[[#This Row],[Año]],Tabla6[[#All],[name]:[id_2]],2)</f>
        <v>16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42">
        <f>IFERROR(VLOOKUP(Tabla410[[#This Row],[CLAVE PS]], Tabla10[], 10, FALSE), 0)</f>
        <v>0</v>
      </c>
      <c r="Q14" s="48" t="str">
        <f t="shared" si="0"/>
        <v>INSERT INTO indicator_category_details (category_id, year_id, gender_id, center_id, state_id, PI, PS, status) VALUES (6, 16, 1, NULL, 12, 0, 0, 1);</v>
      </c>
    </row>
    <row r="15" spans="1:17" ht="15" customHeight="1" x14ac:dyDescent="0.25">
      <c r="A15" s="52">
        <v>2015</v>
      </c>
      <c r="B15" s="21" t="s">
        <v>1046</v>
      </c>
      <c r="C15" s="60" t="s">
        <v>1050</v>
      </c>
      <c r="D15" s="34" t="s">
        <v>20</v>
      </c>
      <c r="E15" s="34" t="s">
        <v>1042</v>
      </c>
      <c r="F15" s="3" t="s">
        <v>633</v>
      </c>
      <c r="G15" s="37"/>
      <c r="H15" s="41" t="str">
        <f>Tabla410[[#This Row],[P1]] &amp; "|" &amp;Tabla410[[#This Row],[Agrupación]] &amp; "|" &amp; Tabla410[[#This Row],[Sexo]] &amp; "|" &amp; Tabla410[[#This Row],[Entidad]]</f>
        <v>PI|Acoso sexual|Mujer|Hidalgo</v>
      </c>
      <c r="I15" s="22" t="str">
        <f>Tabla410[[#This Row],[P2]] &amp; "|" &amp;Tabla410[[#This Row],[Agrupación]] &amp; "|" &amp; Tabla410[[#This Row],[Sexo]] &amp; "|" &amp; Tabla410[[#This Row],[Entidad]]</f>
        <v>PS|Acoso sexual|Mujer|Hidalgo</v>
      </c>
      <c r="J15" s="9">
        <f>VLOOKUP(Tabla410[[#This Row],[Agrupación]],Tabla5[[#All],[name]:[id_1]],2,FALSE)</f>
        <v>6</v>
      </c>
      <c r="K15" s="9">
        <f>VLOOKUP(Tabla410[[#This Row],[Año]],Tabla6[[#All],[name]:[id_2]],2)</f>
        <v>16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42">
        <f>IFERROR(VLOOKUP(Tabla410[[#This Row],[CLAVE PS]], Tabla10[], 10, FALSE), 0)</f>
        <v>0</v>
      </c>
      <c r="Q15" s="48" t="str">
        <f t="shared" si="0"/>
        <v>INSERT INTO indicator_category_details (category_id, year_id, gender_id, center_id, state_id, PI, PS, status) VALUES (6, 16, 1, NULL, 13, 0, 0, 1);</v>
      </c>
    </row>
    <row r="16" spans="1:17" ht="15" customHeight="1" x14ac:dyDescent="0.25">
      <c r="A16" s="52">
        <v>2015</v>
      </c>
      <c r="B16" s="21" t="s">
        <v>1046</v>
      </c>
      <c r="C16" s="60" t="s">
        <v>1050</v>
      </c>
      <c r="D16" s="34" t="s">
        <v>20</v>
      </c>
      <c r="E16" s="34" t="s">
        <v>1042</v>
      </c>
      <c r="F16" s="3" t="s">
        <v>647</v>
      </c>
      <c r="G16" s="37"/>
      <c r="H16" s="41" t="str">
        <f>Tabla410[[#This Row],[P1]] &amp; "|" &amp;Tabla410[[#This Row],[Agrupación]] &amp; "|" &amp; Tabla410[[#This Row],[Sexo]] &amp; "|" &amp; Tabla410[[#This Row],[Entidad]]</f>
        <v>PI|Acoso sexual|Mujer|Jalisco</v>
      </c>
      <c r="I16" s="22" t="str">
        <f>Tabla410[[#This Row],[P2]] &amp; "|" &amp;Tabla410[[#This Row],[Agrupación]] &amp; "|" &amp; Tabla410[[#This Row],[Sexo]] &amp; "|" &amp; Tabla410[[#This Row],[Entidad]]</f>
        <v>PS|Acoso sexual|Mujer|Jalisco</v>
      </c>
      <c r="J16" s="9">
        <f>VLOOKUP(Tabla410[[#This Row],[Agrupación]],Tabla5[[#All],[name]:[id_1]],2,FALSE)</f>
        <v>6</v>
      </c>
      <c r="K16" s="9">
        <f>VLOOKUP(Tabla410[[#This Row],[Año]],Tabla6[[#All],[name]:[id_2]],2)</f>
        <v>16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42">
        <f>IFERROR(VLOOKUP(Tabla410[[#This Row],[CLAVE PS]], Tabla10[], 10, FALSE), 0)</f>
        <v>0</v>
      </c>
      <c r="Q16" s="48" t="str">
        <f t="shared" si="0"/>
        <v>INSERT INTO indicator_category_details (category_id, year_id, gender_id, center_id, state_id, PI, PS, status) VALUES (6, 16, 1, NULL, 14, 0, 0, 1);</v>
      </c>
    </row>
    <row r="17" spans="1:17" ht="15" customHeight="1" x14ac:dyDescent="0.25">
      <c r="A17" s="52">
        <v>2015</v>
      </c>
      <c r="B17" s="21" t="s">
        <v>1046</v>
      </c>
      <c r="C17" s="60" t="s">
        <v>1050</v>
      </c>
      <c r="D17" s="34" t="s">
        <v>20</v>
      </c>
      <c r="E17" s="34" t="s">
        <v>1042</v>
      </c>
      <c r="F17" s="3" t="s">
        <v>662</v>
      </c>
      <c r="G17" s="37"/>
      <c r="H17" s="41" t="str">
        <f>Tabla410[[#This Row],[P1]] &amp; "|" &amp;Tabla410[[#This Row],[Agrupación]] &amp; "|" &amp; Tabla410[[#This Row],[Sexo]] &amp; "|" &amp; Tabla410[[#This Row],[Entidad]]</f>
        <v>PI|Acoso sexual|Mujer|México</v>
      </c>
      <c r="I17" s="22" t="str">
        <f>Tabla410[[#This Row],[P2]] &amp; "|" &amp;Tabla410[[#This Row],[Agrupación]] &amp; "|" &amp; Tabla410[[#This Row],[Sexo]] &amp; "|" &amp; Tabla410[[#This Row],[Entidad]]</f>
        <v>PS|Acoso sexual|Mujer|México</v>
      </c>
      <c r="J17" s="9">
        <f>VLOOKUP(Tabla410[[#This Row],[Agrupación]],Tabla5[[#All],[name]:[id_1]],2,FALSE)</f>
        <v>6</v>
      </c>
      <c r="K17" s="9">
        <f>VLOOKUP(Tabla410[[#This Row],[Año]],Tabla6[[#All],[name]:[id_2]],2)</f>
        <v>16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42">
        <f>IFERROR(VLOOKUP(Tabla410[[#This Row],[CLAVE PS]], Tabla10[], 10, FALSE), 0)</f>
        <v>0</v>
      </c>
      <c r="Q17" s="48" t="str">
        <f t="shared" si="0"/>
        <v>INSERT INTO indicator_category_details (category_id, year_id, gender_id, center_id, state_id, PI, PS, status) VALUES (6, 16, 1, NULL, 15, 0, 0, 1);</v>
      </c>
    </row>
    <row r="18" spans="1:17" ht="15" customHeight="1" x14ac:dyDescent="0.25">
      <c r="A18" s="52">
        <v>2015</v>
      </c>
      <c r="B18" s="21" t="s">
        <v>1046</v>
      </c>
      <c r="C18" s="60" t="s">
        <v>1050</v>
      </c>
      <c r="D18" s="34" t="s">
        <v>20</v>
      </c>
      <c r="E18" s="34" t="s">
        <v>1042</v>
      </c>
      <c r="F18" s="3" t="s">
        <v>685</v>
      </c>
      <c r="G18" s="37"/>
      <c r="H18" s="41" t="str">
        <f>Tabla410[[#This Row],[P1]] &amp; "|" &amp;Tabla410[[#This Row],[Agrupación]] &amp; "|" &amp; Tabla410[[#This Row],[Sexo]] &amp; "|" &amp; Tabla410[[#This Row],[Entidad]]</f>
        <v>PI|Acoso sexual|Mujer|Michoacán de Ocampo</v>
      </c>
      <c r="I18" s="22" t="str">
        <f>Tabla410[[#This Row],[P2]] &amp; "|" &amp;Tabla410[[#This Row],[Agrupación]] &amp; "|" &amp; Tabla410[[#This Row],[Sexo]] &amp; "|" &amp; Tabla410[[#This Row],[Entidad]]</f>
        <v>PS|Acoso sexual|Mujer|Michoacán de Ocampo</v>
      </c>
      <c r="J18" s="9">
        <f>VLOOKUP(Tabla410[[#This Row],[Agrupación]],Tabla5[[#All],[name]:[id_1]],2,FALSE)</f>
        <v>6</v>
      </c>
      <c r="K18" s="9">
        <f>VLOOKUP(Tabla410[[#This Row],[Año]],Tabla6[[#All],[name]:[id_2]],2)</f>
        <v>16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42">
        <f>IFERROR(VLOOKUP(Tabla410[[#This Row],[CLAVE PS]], Tabla10[], 10, FALSE), 0)</f>
        <v>0</v>
      </c>
      <c r="Q18" s="48" t="str">
        <f t="shared" si="0"/>
        <v>INSERT INTO indicator_category_details (category_id, year_id, gender_id, center_id, state_id, PI, PS, status) VALUES (6, 16, 1, NULL, 16, 0, 0, 1);</v>
      </c>
    </row>
    <row r="19" spans="1:17" ht="15" customHeight="1" x14ac:dyDescent="0.25">
      <c r="A19" s="52">
        <v>2015</v>
      </c>
      <c r="B19" s="21" t="s">
        <v>1046</v>
      </c>
      <c r="C19" s="60" t="s">
        <v>1050</v>
      </c>
      <c r="D19" s="34" t="s">
        <v>20</v>
      </c>
      <c r="E19" s="34" t="s">
        <v>1042</v>
      </c>
      <c r="F19" s="3" t="s">
        <v>698</v>
      </c>
      <c r="G19" s="37"/>
      <c r="H19" s="41" t="str">
        <f>Tabla410[[#This Row],[P1]] &amp; "|" &amp;Tabla410[[#This Row],[Agrupación]] &amp; "|" &amp; Tabla410[[#This Row],[Sexo]] &amp; "|" &amp; Tabla410[[#This Row],[Entidad]]</f>
        <v>PI|Acoso sexual|Mujer|Morelos</v>
      </c>
      <c r="I19" s="22" t="str">
        <f>Tabla410[[#This Row],[P2]] &amp; "|" &amp;Tabla410[[#This Row],[Agrupación]] &amp; "|" &amp; Tabla410[[#This Row],[Sexo]] &amp; "|" &amp; Tabla410[[#This Row],[Entidad]]</f>
        <v>PS|Acoso sexual|Mujer|Morelos</v>
      </c>
      <c r="J19" s="9">
        <f>VLOOKUP(Tabla410[[#This Row],[Agrupación]],Tabla5[[#All],[name]:[id_1]],2,FALSE)</f>
        <v>6</v>
      </c>
      <c r="K19" s="9">
        <f>VLOOKUP(Tabla410[[#This Row],[Año]],Tabla6[[#All],[name]:[id_2]],2)</f>
        <v>16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42">
        <f>IFERROR(VLOOKUP(Tabla410[[#This Row],[CLAVE PS]], Tabla10[], 10, FALSE), 0)</f>
        <v>0</v>
      </c>
      <c r="Q19" s="48" t="str">
        <f t="shared" si="0"/>
        <v>INSERT INTO indicator_category_details (category_id, year_id, gender_id, center_id, state_id, PI, PS, status) VALUES (6, 16, 1, NULL, 17, 0, 0, 1);</v>
      </c>
    </row>
    <row r="20" spans="1:17" ht="15" customHeight="1" x14ac:dyDescent="0.25">
      <c r="A20" s="52">
        <v>2015</v>
      </c>
      <c r="B20" s="21" t="s">
        <v>1046</v>
      </c>
      <c r="C20" s="60" t="s">
        <v>1050</v>
      </c>
      <c r="D20" s="34" t="s">
        <v>20</v>
      </c>
      <c r="E20" s="34" t="s">
        <v>1042</v>
      </c>
      <c r="F20" s="3" t="s">
        <v>705</v>
      </c>
      <c r="G20" s="37"/>
      <c r="H20" s="41" t="str">
        <f>Tabla410[[#This Row],[P1]] &amp; "|" &amp;Tabla410[[#This Row],[Agrupación]] &amp; "|" &amp; Tabla410[[#This Row],[Sexo]] &amp; "|" &amp; Tabla410[[#This Row],[Entidad]]</f>
        <v>PI|Acoso sexual|Mujer|Nayarit</v>
      </c>
      <c r="I20" s="22" t="str">
        <f>Tabla410[[#This Row],[P2]] &amp; "|" &amp;Tabla410[[#This Row],[Agrupación]] &amp; "|" &amp; Tabla410[[#This Row],[Sexo]] &amp; "|" &amp; Tabla410[[#This Row],[Entidad]]</f>
        <v>PS|Acoso sexual|Mujer|Nayarit</v>
      </c>
      <c r="J20" s="9">
        <f>VLOOKUP(Tabla410[[#This Row],[Agrupación]],Tabla5[[#All],[name]:[id_1]],2,FALSE)</f>
        <v>6</v>
      </c>
      <c r="K20" s="9">
        <f>VLOOKUP(Tabla410[[#This Row],[Año]],Tabla6[[#All],[name]:[id_2]],2)</f>
        <v>16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42">
        <f>IFERROR(VLOOKUP(Tabla410[[#This Row],[CLAVE PS]], Tabla10[], 10, FALSE), 0)</f>
        <v>0</v>
      </c>
      <c r="Q20" s="48" t="str">
        <f t="shared" si="0"/>
        <v>INSERT INTO indicator_category_details (category_id, year_id, gender_id, center_id, state_id, PI, PS, status) VALUES (6, 16, 1, NULL, 18, 0, 0, 1);</v>
      </c>
    </row>
    <row r="21" spans="1:17" ht="15" customHeight="1" x14ac:dyDescent="0.25">
      <c r="A21" s="52">
        <v>2015</v>
      </c>
      <c r="B21" s="21" t="s">
        <v>1046</v>
      </c>
      <c r="C21" s="60" t="s">
        <v>1050</v>
      </c>
      <c r="D21" s="34" t="s">
        <v>20</v>
      </c>
      <c r="E21" s="34" t="s">
        <v>1042</v>
      </c>
      <c r="F21" s="11" t="s">
        <v>710</v>
      </c>
      <c r="G21" s="38"/>
      <c r="H21" s="43" t="str">
        <f>Tabla410[[#This Row],[P1]] &amp; "|" &amp;Tabla410[[#This Row],[Agrupación]] &amp; "|" &amp; Tabla410[[#This Row],[Sexo]] &amp; "|" &amp; Tabla410[[#This Row],[Entidad]]</f>
        <v>PI|Acoso sexual|Mujer|Nuevo León</v>
      </c>
      <c r="I21" s="23" t="str">
        <f>Tabla410[[#This Row],[P2]] &amp; "|" &amp;Tabla410[[#This Row],[Agrupación]] &amp; "|" &amp; Tabla410[[#This Row],[Sexo]] &amp; "|" &amp; Tabla410[[#This Row],[Entidad]]</f>
        <v>PS|Acoso sexual|Mujer|Nuevo León</v>
      </c>
      <c r="J21" s="13">
        <f>VLOOKUP(Tabla410[[#This Row],[Agrupación]],Tabla5[[#All],[name]:[id_1]],2,FALSE)</f>
        <v>6</v>
      </c>
      <c r="K21" s="13">
        <f>VLOOKUP(Tabla410[[#This Row],[Año]],Tabla6[[#All],[name]:[id_2]],2)</f>
        <v>16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42">
        <f>IFERROR(VLOOKUP(Tabla410[[#This Row],[CLAVE PS]], Tabla10[], 10, FALSE), 0)</f>
        <v>0</v>
      </c>
      <c r="Q21" s="49" t="str">
        <f t="shared" si="0"/>
        <v>INSERT INTO indicator_category_details (category_id, year_id, gender_id, center_id, state_id, PI, PS, status) VALUES (6, 16, 1, NULL, 19, 0, 0, 1);</v>
      </c>
    </row>
    <row r="22" spans="1:17" ht="15" customHeight="1" x14ac:dyDescent="0.25">
      <c r="A22" s="52">
        <v>2015</v>
      </c>
      <c r="B22" s="21" t="s">
        <v>1046</v>
      </c>
      <c r="C22" s="60" t="s">
        <v>1050</v>
      </c>
      <c r="D22" s="34" t="s">
        <v>20</v>
      </c>
      <c r="E22" s="34" t="s">
        <v>1042</v>
      </c>
      <c r="F22" s="3" t="s">
        <v>716</v>
      </c>
      <c r="G22" s="37"/>
      <c r="H22" s="41" t="str">
        <f>Tabla410[[#This Row],[P1]] &amp; "|" &amp;Tabla410[[#This Row],[Agrupación]] &amp; "|" &amp; Tabla410[[#This Row],[Sexo]] &amp; "|" &amp; Tabla410[[#This Row],[Entidad]]</f>
        <v>PI|Acoso sexual|Mujer|Oaxaca</v>
      </c>
      <c r="I22" s="22" t="str">
        <f>Tabla410[[#This Row],[P2]] &amp; "|" &amp;Tabla410[[#This Row],[Agrupación]] &amp; "|" &amp; Tabla410[[#This Row],[Sexo]] &amp; "|" &amp; Tabla410[[#This Row],[Entidad]]</f>
        <v>PS|Acoso sexual|Mujer|Oaxaca</v>
      </c>
      <c r="J22" s="9">
        <f>VLOOKUP(Tabla410[[#This Row],[Agrupación]],Tabla5[[#All],[name]:[id_1]],2,FALSE)</f>
        <v>6</v>
      </c>
      <c r="K22" s="9">
        <f>VLOOKUP(Tabla410[[#This Row],[Año]],Tabla6[[#All],[name]:[id_2]],2)</f>
        <v>16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42">
        <f>IFERROR(VLOOKUP(Tabla410[[#This Row],[CLAVE PS]], Tabla10[], 10, FALSE), 0)</f>
        <v>0</v>
      </c>
      <c r="Q22" s="48" t="str">
        <f t="shared" si="0"/>
        <v>INSERT INTO indicator_category_details (category_id, year_id, gender_id, center_id, state_id, PI, PS, status) VALUES (6, 16, 1, NULL, 20, 0, 0, 1);</v>
      </c>
    </row>
    <row r="23" spans="1:17" ht="15" customHeight="1" x14ac:dyDescent="0.25">
      <c r="A23" s="52">
        <v>2015</v>
      </c>
      <c r="B23" s="21" t="s">
        <v>1046</v>
      </c>
      <c r="C23" s="60" t="s">
        <v>1050</v>
      </c>
      <c r="D23" s="34" t="s">
        <v>20</v>
      </c>
      <c r="E23" s="34" t="s">
        <v>1042</v>
      </c>
      <c r="F23" s="3" t="s">
        <v>727</v>
      </c>
      <c r="G23" s="37"/>
      <c r="H23" s="41" t="str">
        <f>Tabla410[[#This Row],[P1]] &amp; "|" &amp;Tabla410[[#This Row],[Agrupación]] &amp; "|" &amp; Tabla410[[#This Row],[Sexo]] &amp; "|" &amp; Tabla410[[#This Row],[Entidad]]</f>
        <v>PI|Acoso sexual|Mujer|Puebla</v>
      </c>
      <c r="I23" s="22" t="str">
        <f>Tabla410[[#This Row],[P2]] &amp; "|" &amp;Tabla410[[#This Row],[Agrupación]] &amp; "|" &amp; Tabla410[[#This Row],[Sexo]] &amp; "|" &amp; Tabla410[[#This Row],[Entidad]]</f>
        <v>PS|Acoso sexual|Mujer|Puebla</v>
      </c>
      <c r="J23" s="9">
        <f>VLOOKUP(Tabla410[[#This Row],[Agrupación]],Tabla5[[#All],[name]:[id_1]],2,FALSE)</f>
        <v>6</v>
      </c>
      <c r="K23" s="9">
        <f>VLOOKUP(Tabla410[[#This Row],[Año]],Tabla6[[#All],[name]:[id_2]],2)</f>
        <v>16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42">
        <f>IFERROR(VLOOKUP(Tabla410[[#This Row],[CLAVE PS]], Tabla10[], 10, FALSE), 0)</f>
        <v>0</v>
      </c>
      <c r="Q23" s="48" t="str">
        <f t="shared" si="0"/>
        <v>INSERT INTO indicator_category_details (category_id, year_id, gender_id, center_id, state_id, PI, PS, status) VALUES (6, 16, 1, NULL, 21, 0, 0, 1);</v>
      </c>
    </row>
    <row r="24" spans="1:17" ht="15" customHeight="1" x14ac:dyDescent="0.25">
      <c r="A24" s="52">
        <v>2015</v>
      </c>
      <c r="B24" s="21" t="s">
        <v>1046</v>
      </c>
      <c r="C24" s="60" t="s">
        <v>1050</v>
      </c>
      <c r="D24" s="34" t="s">
        <v>20</v>
      </c>
      <c r="E24" s="34" t="s">
        <v>1042</v>
      </c>
      <c r="F24" s="3" t="s">
        <v>731</v>
      </c>
      <c r="G24" s="37"/>
      <c r="H24" s="41" t="str">
        <f>Tabla410[[#This Row],[P1]] &amp; "|" &amp;Tabla410[[#This Row],[Agrupación]] &amp; "|" &amp; Tabla410[[#This Row],[Sexo]] &amp; "|" &amp; Tabla410[[#This Row],[Entidad]]</f>
        <v>PI|Acoso sexual|Mujer|Querétaro</v>
      </c>
      <c r="I24" s="22" t="str">
        <f>Tabla410[[#This Row],[P2]] &amp; "|" &amp;Tabla410[[#This Row],[Agrupación]] &amp; "|" &amp; Tabla410[[#This Row],[Sexo]] &amp; "|" &amp; Tabla410[[#This Row],[Entidad]]</f>
        <v>PS|Acoso sexual|Mujer|Querétaro</v>
      </c>
      <c r="J24" s="9">
        <f>VLOOKUP(Tabla410[[#This Row],[Agrupación]],Tabla5[[#All],[name]:[id_1]],2,FALSE)</f>
        <v>6</v>
      </c>
      <c r="K24" s="9">
        <f>VLOOKUP(Tabla410[[#This Row],[Año]],Tabla6[[#All],[name]:[id_2]],2)</f>
        <v>16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42">
        <f>IFERROR(VLOOKUP(Tabla410[[#This Row],[CLAVE PS]], Tabla10[], 10, FALSE), 0)</f>
        <v>0</v>
      </c>
      <c r="Q24" s="48" t="str">
        <f t="shared" si="0"/>
        <v>INSERT INTO indicator_category_details (category_id, year_id, gender_id, center_id, state_id, PI, PS, status) VALUES (6, 16, 1, NULL, 22, 0, 0, 1);</v>
      </c>
    </row>
    <row r="25" spans="1:17" ht="15" customHeight="1" x14ac:dyDescent="0.25">
      <c r="A25" s="52">
        <v>2015</v>
      </c>
      <c r="B25" s="21" t="s">
        <v>1046</v>
      </c>
      <c r="C25" s="60" t="s">
        <v>1050</v>
      </c>
      <c r="D25" s="34" t="s">
        <v>20</v>
      </c>
      <c r="E25" s="34" t="s">
        <v>1042</v>
      </c>
      <c r="F25" s="3" t="s">
        <v>737</v>
      </c>
      <c r="G25" s="37"/>
      <c r="H25" s="41" t="str">
        <f>Tabla410[[#This Row],[P1]] &amp; "|" &amp;Tabla410[[#This Row],[Agrupación]] &amp; "|" &amp; Tabla410[[#This Row],[Sexo]] &amp; "|" &amp; Tabla410[[#This Row],[Entidad]]</f>
        <v>PI|Acoso sexual|Mujer|Quintana Roo</v>
      </c>
      <c r="I25" s="22" t="str">
        <f>Tabla410[[#This Row],[P2]] &amp; "|" &amp;Tabla410[[#This Row],[Agrupación]] &amp; "|" &amp; Tabla410[[#This Row],[Sexo]] &amp; "|" &amp; Tabla410[[#This Row],[Entidad]]</f>
        <v>PS|Acoso sexual|Mujer|Quintana Roo</v>
      </c>
      <c r="J25" s="9">
        <f>VLOOKUP(Tabla410[[#This Row],[Agrupación]],Tabla5[[#All],[name]:[id_1]],2,FALSE)</f>
        <v>6</v>
      </c>
      <c r="K25" s="9">
        <f>VLOOKUP(Tabla410[[#This Row],[Año]],Tabla6[[#All],[name]:[id_2]],2)</f>
        <v>16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42">
        <f>IFERROR(VLOOKUP(Tabla410[[#This Row],[CLAVE PS]], Tabla10[], 10, FALSE), 0)</f>
        <v>0</v>
      </c>
      <c r="Q25" s="48" t="str">
        <f t="shared" si="0"/>
        <v>INSERT INTO indicator_category_details (category_id, year_id, gender_id, center_id, state_id, PI, PS, status) VALUES (6, 16, 1, NULL, 23, 0, 0, 1);</v>
      </c>
    </row>
    <row r="26" spans="1:17" ht="15" customHeight="1" x14ac:dyDescent="0.25">
      <c r="A26" s="52">
        <v>2015</v>
      </c>
      <c r="B26" s="21" t="s">
        <v>1046</v>
      </c>
      <c r="C26" s="60" t="s">
        <v>1050</v>
      </c>
      <c r="D26" s="34" t="s">
        <v>20</v>
      </c>
      <c r="E26" s="34" t="s">
        <v>1042</v>
      </c>
      <c r="F26" s="3" t="s">
        <v>741</v>
      </c>
      <c r="G26" s="37"/>
      <c r="H26" s="41" t="str">
        <f>Tabla410[[#This Row],[P1]] &amp; "|" &amp;Tabla410[[#This Row],[Agrupación]] &amp; "|" &amp; Tabla410[[#This Row],[Sexo]] &amp; "|" &amp; Tabla410[[#This Row],[Entidad]]</f>
        <v>PI|Acoso sexual|Mujer|San Luis Potosí</v>
      </c>
      <c r="I26" s="22" t="str">
        <f>Tabla410[[#This Row],[P2]] &amp; "|" &amp;Tabla410[[#This Row],[Agrupación]] &amp; "|" &amp; Tabla410[[#This Row],[Sexo]] &amp; "|" &amp; Tabla410[[#This Row],[Entidad]]</f>
        <v>PS|Acoso sexual|Mujer|San Luis Potosí</v>
      </c>
      <c r="J26" s="9">
        <f>VLOOKUP(Tabla410[[#This Row],[Agrupación]],Tabla5[[#All],[name]:[id_1]],2,FALSE)</f>
        <v>6</v>
      </c>
      <c r="K26" s="9">
        <f>VLOOKUP(Tabla410[[#This Row],[Año]],Tabla6[[#All],[name]:[id_2]],2)</f>
        <v>16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42">
        <f>IFERROR(VLOOKUP(Tabla410[[#This Row],[CLAVE PS]], Tabla10[], 10, FALSE), 0)</f>
        <v>0</v>
      </c>
      <c r="Q26" s="48" t="str">
        <f t="shared" si="0"/>
        <v>INSERT INTO indicator_category_details (category_id, year_id, gender_id, center_id, state_id, PI, PS, status) VALUES (6, 16, 1, NULL, 24, 0, 0, 1);</v>
      </c>
    </row>
    <row r="27" spans="1:17" ht="15" customHeight="1" x14ac:dyDescent="0.25">
      <c r="A27" s="52">
        <v>2015</v>
      </c>
      <c r="B27" s="21" t="s">
        <v>1046</v>
      </c>
      <c r="C27" s="60" t="s">
        <v>1050</v>
      </c>
      <c r="D27" s="34" t="s">
        <v>20</v>
      </c>
      <c r="E27" s="34" t="s">
        <v>1042</v>
      </c>
      <c r="F27" s="3" t="s">
        <v>749</v>
      </c>
      <c r="G27" s="37"/>
      <c r="H27" s="41" t="str">
        <f>Tabla410[[#This Row],[P1]] &amp; "|" &amp;Tabla410[[#This Row],[Agrupación]] &amp; "|" &amp; Tabla410[[#This Row],[Sexo]] &amp; "|" &amp; Tabla410[[#This Row],[Entidad]]</f>
        <v>PI|Acoso sexual|Mujer|Sinaloa</v>
      </c>
      <c r="I27" s="22" t="str">
        <f>Tabla410[[#This Row],[P2]] &amp; "|" &amp;Tabla410[[#This Row],[Agrupación]] &amp; "|" &amp; Tabla410[[#This Row],[Sexo]] &amp; "|" &amp; Tabla410[[#This Row],[Entidad]]</f>
        <v>PS|Acoso sexual|Mujer|Sinaloa</v>
      </c>
      <c r="J27" s="9">
        <f>VLOOKUP(Tabla410[[#This Row],[Agrupación]],Tabla5[[#All],[name]:[id_1]],2,FALSE)</f>
        <v>6</v>
      </c>
      <c r="K27" s="9">
        <f>VLOOKUP(Tabla410[[#This Row],[Año]],Tabla6[[#All],[name]:[id_2]],2)</f>
        <v>16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42">
        <f>IFERROR(VLOOKUP(Tabla410[[#This Row],[CLAVE PS]], Tabla10[], 10, FALSE), 0)</f>
        <v>0</v>
      </c>
      <c r="Q27" s="48" t="str">
        <f t="shared" si="0"/>
        <v>INSERT INTO indicator_category_details (category_id, year_id, gender_id, center_id, state_id, PI, PS, status) VALUES (6, 16, 1, NULL, 25, 0, 0, 1);</v>
      </c>
    </row>
    <row r="28" spans="1:17" ht="15" customHeight="1" x14ac:dyDescent="0.25">
      <c r="A28" s="52">
        <v>2015</v>
      </c>
      <c r="B28" s="21" t="s">
        <v>1046</v>
      </c>
      <c r="C28" s="60" t="s">
        <v>1050</v>
      </c>
      <c r="D28" s="34" t="s">
        <v>20</v>
      </c>
      <c r="E28" s="34" t="s">
        <v>1042</v>
      </c>
      <c r="F28" s="3" t="s">
        <v>755</v>
      </c>
      <c r="G28" s="37"/>
      <c r="H28" s="41" t="str">
        <f>Tabla410[[#This Row],[P1]] &amp; "|" &amp;Tabla410[[#This Row],[Agrupación]] &amp; "|" &amp; Tabla410[[#This Row],[Sexo]] &amp; "|" &amp; Tabla410[[#This Row],[Entidad]]</f>
        <v>PI|Acoso sexual|Mujer|Sonora</v>
      </c>
      <c r="I28" s="22" t="str">
        <f>Tabla410[[#This Row],[P2]] &amp; "|" &amp;Tabla410[[#This Row],[Agrupación]] &amp; "|" &amp; Tabla410[[#This Row],[Sexo]] &amp; "|" &amp; Tabla410[[#This Row],[Entidad]]</f>
        <v>PS|Acoso sexual|Mujer|Sonora</v>
      </c>
      <c r="J28" s="9">
        <f>VLOOKUP(Tabla410[[#This Row],[Agrupación]],Tabla5[[#All],[name]:[id_1]],2,FALSE)</f>
        <v>6</v>
      </c>
      <c r="K28" s="9">
        <f>VLOOKUP(Tabla410[[#This Row],[Año]],Tabla6[[#All],[name]:[id_2]],2)</f>
        <v>16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42">
        <f>IFERROR(VLOOKUP(Tabla410[[#This Row],[CLAVE PS]], Tabla10[], 10, FALSE), 0)</f>
        <v>0</v>
      </c>
      <c r="Q28" s="48" t="str">
        <f t="shared" si="0"/>
        <v>INSERT INTO indicator_category_details (category_id, year_id, gender_id, center_id, state_id, PI, PS, status) VALUES (6, 16, 1, NULL, 26, 0, 0, 1);</v>
      </c>
    </row>
    <row r="29" spans="1:17" ht="15" customHeight="1" x14ac:dyDescent="0.25">
      <c r="A29" s="52">
        <v>2015</v>
      </c>
      <c r="B29" s="21" t="s">
        <v>1046</v>
      </c>
      <c r="C29" s="60" t="s">
        <v>1050</v>
      </c>
      <c r="D29" s="34" t="s">
        <v>20</v>
      </c>
      <c r="E29" s="34" t="s">
        <v>1042</v>
      </c>
      <c r="F29" s="3" t="s">
        <v>775</v>
      </c>
      <c r="G29" s="37"/>
      <c r="H29" s="41" t="str">
        <f>Tabla410[[#This Row],[P1]] &amp; "|" &amp;Tabla410[[#This Row],[Agrupación]] &amp; "|" &amp; Tabla410[[#This Row],[Sexo]] &amp; "|" &amp; Tabla410[[#This Row],[Entidad]]</f>
        <v>PI|Acoso sexual|Mujer|Tabasco</v>
      </c>
      <c r="I29" s="22" t="str">
        <f>Tabla410[[#This Row],[P2]] &amp; "|" &amp;Tabla410[[#This Row],[Agrupación]] &amp; "|" &amp; Tabla410[[#This Row],[Sexo]] &amp; "|" &amp; Tabla410[[#This Row],[Entidad]]</f>
        <v>PS|Acoso sexual|Mujer|Tabasco</v>
      </c>
      <c r="J29" s="9">
        <f>VLOOKUP(Tabla410[[#This Row],[Agrupación]],Tabla5[[#All],[name]:[id_1]],2,FALSE)</f>
        <v>6</v>
      </c>
      <c r="K29" s="9">
        <f>VLOOKUP(Tabla410[[#This Row],[Año]],Tabla6[[#All],[name]:[id_2]],2)</f>
        <v>16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42">
        <f>IFERROR(VLOOKUP(Tabla410[[#This Row],[CLAVE PS]], Tabla10[], 10, FALSE), 0)</f>
        <v>0</v>
      </c>
      <c r="Q29" s="48" t="str">
        <f t="shared" si="0"/>
        <v>INSERT INTO indicator_category_details (category_id, year_id, gender_id, center_id, state_id, PI, PS, status) VALUES (6, 16, 1, NULL, 27, 0, 0, 1);</v>
      </c>
    </row>
    <row r="30" spans="1:17" ht="15" customHeight="1" x14ac:dyDescent="0.25">
      <c r="A30" s="52">
        <v>2015</v>
      </c>
      <c r="B30" s="21" t="s">
        <v>1046</v>
      </c>
      <c r="C30" s="60" t="s">
        <v>1050</v>
      </c>
      <c r="D30" s="34" t="s">
        <v>20</v>
      </c>
      <c r="E30" s="34" t="s">
        <v>1042</v>
      </c>
      <c r="F30" s="3" t="s">
        <v>785</v>
      </c>
      <c r="G30" s="37"/>
      <c r="H30" s="41" t="str">
        <f>Tabla410[[#This Row],[P1]] &amp; "|" &amp;Tabla410[[#This Row],[Agrupación]] &amp; "|" &amp; Tabla410[[#This Row],[Sexo]] &amp; "|" &amp; Tabla410[[#This Row],[Entidad]]</f>
        <v>PI|Acoso sexual|Mujer|Tamaulipas</v>
      </c>
      <c r="I30" s="22" t="str">
        <f>Tabla410[[#This Row],[P2]] &amp; "|" &amp;Tabla410[[#This Row],[Agrupación]] &amp; "|" &amp; Tabla410[[#This Row],[Sexo]] &amp; "|" &amp; Tabla410[[#This Row],[Entidad]]</f>
        <v>PS|Acoso sexual|Mujer|Tamaulipas</v>
      </c>
      <c r="J30" s="9">
        <f>VLOOKUP(Tabla410[[#This Row],[Agrupación]],Tabla5[[#All],[name]:[id_1]],2,FALSE)</f>
        <v>6</v>
      </c>
      <c r="K30" s="9">
        <f>VLOOKUP(Tabla410[[#This Row],[Año]],Tabla6[[#All],[name]:[id_2]],2)</f>
        <v>16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42">
        <f>IFERROR(VLOOKUP(Tabla410[[#This Row],[CLAVE PS]], Tabla10[], 10, FALSE), 0)</f>
        <v>0</v>
      </c>
      <c r="Q30" s="48" t="str">
        <f t="shared" si="0"/>
        <v>INSERT INTO indicator_category_details (category_id, year_id, gender_id, center_id, state_id, PI, PS, status) VALUES (6, 16, 1, NULL, 28, 0, 0, 1);</v>
      </c>
    </row>
    <row r="31" spans="1:17" ht="15" customHeight="1" x14ac:dyDescent="0.25">
      <c r="A31" s="52">
        <v>2015</v>
      </c>
      <c r="B31" s="21" t="s">
        <v>1046</v>
      </c>
      <c r="C31" s="60" t="s">
        <v>1050</v>
      </c>
      <c r="D31" s="34" t="s">
        <v>20</v>
      </c>
      <c r="E31" s="34" t="s">
        <v>1042</v>
      </c>
      <c r="F31" s="3" t="s">
        <v>797</v>
      </c>
      <c r="G31" s="37"/>
      <c r="H31" s="41" t="str">
        <f>Tabla410[[#This Row],[P1]] &amp; "|" &amp;Tabla410[[#This Row],[Agrupación]] &amp; "|" &amp; Tabla410[[#This Row],[Sexo]] &amp; "|" &amp; Tabla410[[#This Row],[Entidad]]</f>
        <v>PI|Acoso sexual|Mujer|Tlaxcala</v>
      </c>
      <c r="I31" s="22" t="str">
        <f>Tabla410[[#This Row],[P2]] &amp; "|" &amp;Tabla410[[#This Row],[Agrupación]] &amp; "|" &amp; Tabla410[[#This Row],[Sexo]] &amp; "|" &amp; Tabla410[[#This Row],[Entidad]]</f>
        <v>PS|Acoso sexual|Mujer|Tlaxcala</v>
      </c>
      <c r="J31" s="9">
        <f>VLOOKUP(Tabla410[[#This Row],[Agrupación]],Tabla5[[#All],[name]:[id_1]],2,FALSE)</f>
        <v>6</v>
      </c>
      <c r="K31" s="9">
        <f>VLOOKUP(Tabla410[[#This Row],[Año]],Tabla6[[#All],[name]:[id_2]],2)</f>
        <v>16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42">
        <f>IFERROR(VLOOKUP(Tabla410[[#This Row],[CLAVE PS]], Tabla10[], 10, FALSE), 0)</f>
        <v>0</v>
      </c>
      <c r="Q31" s="48" t="str">
        <f t="shared" si="0"/>
        <v>INSERT INTO indicator_category_details (category_id, year_id, gender_id, center_id, state_id, PI, PS, status) VALUES (6, 16, 1, NULL, 29, 0, 0, 1);</v>
      </c>
    </row>
    <row r="32" spans="1:17" ht="15" customHeight="1" x14ac:dyDescent="0.25">
      <c r="A32" s="52">
        <v>2015</v>
      </c>
      <c r="B32" s="21" t="s">
        <v>1046</v>
      </c>
      <c r="C32" s="60" t="s">
        <v>1050</v>
      </c>
      <c r="D32" s="34" t="s">
        <v>20</v>
      </c>
      <c r="E32" s="34" t="s">
        <v>1042</v>
      </c>
      <c r="F32" s="3" t="s">
        <v>802</v>
      </c>
      <c r="G32" s="37"/>
      <c r="H32" s="41" t="str">
        <f>Tabla410[[#This Row],[P1]] &amp; "|" &amp;Tabla410[[#This Row],[Agrupación]] &amp; "|" &amp; Tabla410[[#This Row],[Sexo]] &amp; "|" &amp; Tabla410[[#This Row],[Entidad]]</f>
        <v>PI|Acoso sexual|Mujer|Veracruz de Ignacio de la Llave</v>
      </c>
      <c r="I32" s="22" t="str">
        <f>Tabla410[[#This Row],[P2]] &amp; "|" &amp;Tabla410[[#This Row],[Agrupación]] &amp; "|" &amp; Tabla410[[#This Row],[Sexo]] &amp; "|" &amp; Tabla410[[#This Row],[Entidad]]</f>
        <v>PS|Acoso sexual|Mujer|Veracruz de Ignacio de la Llave</v>
      </c>
      <c r="J32" s="9">
        <f>VLOOKUP(Tabla410[[#This Row],[Agrupación]],Tabla5[[#All],[name]:[id_1]],2,FALSE)</f>
        <v>6</v>
      </c>
      <c r="K32" s="9">
        <f>VLOOKUP(Tabla410[[#This Row],[Año]],Tabla6[[#All],[name]:[id_2]],2)</f>
        <v>16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42">
        <f>IFERROR(VLOOKUP(Tabla410[[#This Row],[CLAVE PS]], Tabla10[], 10, FALSE), 0)</f>
        <v>0</v>
      </c>
      <c r="Q32" s="48" t="str">
        <f t="shared" si="0"/>
        <v>INSERT INTO indicator_category_details (category_id, year_id, gender_id, center_id, state_id, PI, PS, status) VALUES (6, 16, 1, NULL, 30, 0, 0, 1);</v>
      </c>
    </row>
    <row r="33" spans="1:17" ht="15" customHeight="1" x14ac:dyDescent="0.25">
      <c r="A33" s="52">
        <v>2015</v>
      </c>
      <c r="B33" s="21" t="s">
        <v>1046</v>
      </c>
      <c r="C33" s="60" t="s">
        <v>1050</v>
      </c>
      <c r="D33" s="34" t="s">
        <v>20</v>
      </c>
      <c r="E33" s="34" t="s">
        <v>1042</v>
      </c>
      <c r="F33" s="3" t="s">
        <v>822</v>
      </c>
      <c r="G33" s="37"/>
      <c r="H33" s="41" t="str">
        <f>Tabla410[[#This Row],[P1]] &amp; "|" &amp;Tabla410[[#This Row],[Agrupación]] &amp; "|" &amp; Tabla410[[#This Row],[Sexo]] &amp; "|" &amp; Tabla410[[#This Row],[Entidad]]</f>
        <v>PI|Acoso sexual|Mujer|Yucatán</v>
      </c>
      <c r="I33" s="22" t="str">
        <f>Tabla410[[#This Row],[P2]] &amp; "|" &amp;Tabla410[[#This Row],[Agrupación]] &amp; "|" &amp; Tabla410[[#This Row],[Sexo]] &amp; "|" &amp; Tabla410[[#This Row],[Entidad]]</f>
        <v>PS|Acoso sexual|Mujer|Yucatán</v>
      </c>
      <c r="J33" s="9">
        <f>VLOOKUP(Tabla410[[#This Row],[Agrupación]],Tabla5[[#All],[name]:[id_1]],2,FALSE)</f>
        <v>6</v>
      </c>
      <c r="K33" s="9">
        <f>VLOOKUP(Tabla410[[#This Row],[Año]],Tabla6[[#All],[name]:[id_2]],2)</f>
        <v>16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42">
        <f>IFERROR(VLOOKUP(Tabla410[[#This Row],[CLAVE PS]], Tabla10[], 10, FALSE), 0)</f>
        <v>0</v>
      </c>
      <c r="Q33" s="48" t="str">
        <f t="shared" si="0"/>
        <v>INSERT INTO indicator_category_details (category_id, year_id, gender_id, center_id, state_id, PI, PS, status) VALUES (6, 16, 1, NULL, 31, 0, 0, 1);</v>
      </c>
    </row>
    <row r="34" spans="1:17" ht="15" customHeight="1" thickBot="1" x14ac:dyDescent="0.3">
      <c r="A34" s="52">
        <v>2015</v>
      </c>
      <c r="B34" s="61" t="s">
        <v>1046</v>
      </c>
      <c r="C34" s="62" t="s">
        <v>1050</v>
      </c>
      <c r="D34" s="34" t="s">
        <v>20</v>
      </c>
      <c r="E34" s="34" t="s">
        <v>1042</v>
      </c>
      <c r="F34" s="39" t="s">
        <v>827</v>
      </c>
      <c r="G34" s="40"/>
      <c r="H34" s="44" t="str">
        <f>Tabla410[[#This Row],[P1]] &amp; "|" &amp;Tabla410[[#This Row],[Agrupación]] &amp; "|" &amp; Tabla410[[#This Row],[Sexo]] &amp; "|" &amp; Tabla410[[#This Row],[Entidad]]</f>
        <v>PI|Acoso sexual|Mujer|Zacatecas</v>
      </c>
      <c r="I34" s="45" t="str">
        <f>Tabla410[[#This Row],[P2]] &amp; "|" &amp;Tabla410[[#This Row],[Agrupación]] &amp; "|" &amp; Tabla410[[#This Row],[Sexo]] &amp; "|" &amp; Tabla410[[#This Row],[Entidad]]</f>
        <v>PS|Acoso sexual|Mujer|Zacatecas</v>
      </c>
      <c r="J34" s="46">
        <f>VLOOKUP(Tabla410[[#This Row],[Agrupación]],Tabla5[[#All],[name]:[id_1]],2,FALSE)</f>
        <v>6</v>
      </c>
      <c r="K34" s="46">
        <f>VLOOKUP(Tabla410[[#This Row],[Año]],Tabla6[[#All],[name]:[id_2]],2)</f>
        <v>16</v>
      </c>
      <c r="L34" s="46">
        <f>VLOOKUP(Tabla410[[#This Row],[Sexo]],Tabla8[[#All],[name]:[gender_id]],2,FALSE)</f>
        <v>1</v>
      </c>
      <c r="M34" s="46" t="str">
        <f>IF(LEN(Tabla410[[#This Row],[centros]])&gt;0,VLOOKUP(Tabla410[[#This Row],[centros]],Tabla2[[#All],[Centros]:[ID]],2,FALSE),"NULL")</f>
        <v>NULL</v>
      </c>
      <c r="N34" s="46">
        <f>VLOOKUP(Tabla410[[#This Row],[Entidad]],Tabla3[[#All],[name]:[ID_2]],2,FALSE)</f>
        <v>32</v>
      </c>
      <c r="O34" s="46">
        <f>IFERROR(VLOOKUP(Tabla410[[#This Row],[CLAVE PI]], Tabla10[], 10, FALSE), 0)</f>
        <v>0</v>
      </c>
      <c r="P34" s="47">
        <f>IFERROR(VLOOKUP(Tabla410[[#This Row],[CLAVE PS]], Tabla10[], 10, FALSE), 0)</f>
        <v>0</v>
      </c>
      <c r="Q34" s="50" t="str">
        <f t="shared" si="0"/>
        <v>INSERT INTO indicator_category_details (category_id, year_id, gender_id, center_id, state_id, PI, PS, status) VALUES (6, 16, 1, NULL, 32, 0, 0, 1);</v>
      </c>
    </row>
    <row r="35" spans="1:17" ht="15.75" x14ac:dyDescent="0.25">
      <c r="A35" s="52">
        <v>2015</v>
      </c>
      <c r="B35" s="60" t="s">
        <v>1046</v>
      </c>
      <c r="C35" s="60" t="s">
        <v>1050</v>
      </c>
      <c r="D35" s="34" t="s">
        <v>20</v>
      </c>
      <c r="E35" s="3" t="s">
        <v>1043</v>
      </c>
      <c r="F35" s="3" t="s">
        <v>518</v>
      </c>
      <c r="G35" s="4"/>
      <c r="H35" s="41" t="str">
        <f>Tabla410[[#This Row],[P1]] &amp; "|" &amp;Tabla410[[#This Row],[Agrupación]] &amp; "|" &amp; Tabla410[[#This Row],[Sexo]] &amp; "|" &amp; Tabla410[[#This Row],[Entidad]]</f>
        <v>PI|Acoso sexual|Hombre|Aguascalientes</v>
      </c>
      <c r="I35" s="22" t="str">
        <f>Tabla410[[#This Row],[P2]] &amp; "|" &amp;Tabla410[[#This Row],[Agrupación]] &amp; "|" &amp; Tabla410[[#This Row],[Sexo]] &amp; "|" &amp; Tabla410[[#This Row],[Entidad]]</f>
        <v>PS|Acoso sexual|Hombre|Aguascalientes</v>
      </c>
      <c r="J35" s="9">
        <f>VLOOKUP(Tabla410[[#This Row],[Agrupación]],Tabla5[[#All],[name]:[id_1]],2,FALSE)</f>
        <v>6</v>
      </c>
      <c r="K35" s="9">
        <f>VLOOKUP(Tabla410[[#This Row],[Año]],Tabla6[[#All],[name]:[id_2]],2)</f>
        <v>16</v>
      </c>
      <c r="L35" s="9">
        <f>VLOOKUP(Tabla410[[#This Row],[Sexo]],Tabla8[[#All],[name]:[gender_id]],2,FALSE)</f>
        <v>2</v>
      </c>
      <c r="M35" s="9" t="str">
        <f>IF(LEN(Tabla410[[#This Row],[centros]])&gt;0,VLOOKUP(Tabla410[[#This Row],[centros]],Tabla2[[#All],[Centros]:[ID]],2,FALSE),"NULL")</f>
        <v>NULL</v>
      </c>
      <c r="N35" s="9">
        <f>VLOOKUP(Tabla410[[#This Row],[Entidad]],Tabla3[[#All],[name]:[ID_2]],2,FALSE)</f>
        <v>1</v>
      </c>
      <c r="O35" s="9">
        <f>IFERROR(VLOOKUP(Tabla410[[#This Row],[CLAVE PI]], Tabla10[], 10, FALSE), 0)</f>
        <v>0</v>
      </c>
      <c r="P35" s="42">
        <f>IFERROR(VLOOKUP(Tabla410[[#This Row],[CLAVE PS]], Tabla10[], 10, FALSE), 0)</f>
        <v>0</v>
      </c>
      <c r="Q35" s="48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16, 2, NULL, 1, 0, 0, 1);</v>
      </c>
    </row>
    <row r="36" spans="1:17" ht="15.75" x14ac:dyDescent="0.25">
      <c r="A36" s="52">
        <v>2015</v>
      </c>
      <c r="B36" s="60" t="s">
        <v>1046</v>
      </c>
      <c r="C36" s="60" t="s">
        <v>1050</v>
      </c>
      <c r="D36" s="34" t="s">
        <v>20</v>
      </c>
      <c r="E36" s="3" t="s">
        <v>1043</v>
      </c>
      <c r="F36" s="3" t="s">
        <v>519</v>
      </c>
      <c r="G36" s="4"/>
      <c r="H36" s="41" t="str">
        <f>Tabla410[[#This Row],[P1]] &amp; "|" &amp;Tabla410[[#This Row],[Agrupación]] &amp; "|" &amp; Tabla410[[#This Row],[Sexo]] &amp; "|" &amp; Tabla410[[#This Row],[Entidad]]</f>
        <v>PI|Acoso sexual|Hombre|Baja California</v>
      </c>
      <c r="I36" s="22" t="str">
        <f>Tabla410[[#This Row],[P2]] &amp; "|" &amp;Tabla410[[#This Row],[Agrupación]] &amp; "|" &amp; Tabla410[[#This Row],[Sexo]] &amp; "|" &amp; Tabla410[[#This Row],[Entidad]]</f>
        <v>PS|Acoso sexual|Hombre|Baja California</v>
      </c>
      <c r="J36" s="9">
        <f>VLOOKUP(Tabla410[[#This Row],[Agrupación]],Tabla5[[#All],[name]:[id_1]],2,FALSE)</f>
        <v>6</v>
      </c>
      <c r="K36" s="9">
        <f>VLOOKUP(Tabla410[[#This Row],[Año]],Tabla6[[#All],[name]:[id_2]],2)</f>
        <v>16</v>
      </c>
      <c r="L36" s="9">
        <f>VLOOKUP(Tabla410[[#This Row],[Sexo]],Tabla8[[#All],[name]:[gender_id]],2,FALSE)</f>
        <v>2</v>
      </c>
      <c r="M36" s="9" t="str">
        <f>IF(LEN(Tabla410[[#This Row],[centros]])&gt;0,VLOOKUP(Tabla410[[#This Row],[centros]],Tabla2[[#All],[Centros]:[ID]],2,FALSE),"NULL")</f>
        <v>NULL</v>
      </c>
      <c r="N36" s="9">
        <f>VLOOKUP(Tabla410[[#This Row],[Entidad]],Tabla3[[#All],[name]:[ID_2]],2,FALSE)</f>
        <v>2</v>
      </c>
      <c r="O36" s="9">
        <f>IFERROR(VLOOKUP(Tabla410[[#This Row],[CLAVE PI]], Tabla10[], 10, FALSE), 0)</f>
        <v>0</v>
      </c>
      <c r="P36" s="42">
        <f>IFERROR(VLOOKUP(Tabla410[[#This Row],[CLAVE PS]], Tabla10[], 10, FALSE), 0)</f>
        <v>0</v>
      </c>
      <c r="Q36" s="48" t="str">
        <f t="shared" si="1"/>
        <v>INSERT INTO indicator_category_details (category_id, year_id, gender_id, center_id, state_id, PI, PS, status) VALUES (6, 16, 2, NULL, 2, 0, 0, 1);</v>
      </c>
    </row>
    <row r="37" spans="1:17" ht="15.75" x14ac:dyDescent="0.25">
      <c r="A37" s="52">
        <v>2015</v>
      </c>
      <c r="B37" s="60" t="s">
        <v>1046</v>
      </c>
      <c r="C37" s="60" t="s">
        <v>1050</v>
      </c>
      <c r="D37" s="34" t="s">
        <v>20</v>
      </c>
      <c r="E37" s="3" t="s">
        <v>1043</v>
      </c>
      <c r="F37" s="3" t="s">
        <v>528</v>
      </c>
      <c r="G37" s="4"/>
      <c r="H37" s="41" t="str">
        <f>Tabla410[[#This Row],[P1]] &amp; "|" &amp;Tabla410[[#This Row],[Agrupación]] &amp; "|" &amp; Tabla410[[#This Row],[Sexo]] &amp; "|" &amp; Tabla410[[#This Row],[Entidad]]</f>
        <v>PI|Acoso sexual|Hombre|Baja California Sur</v>
      </c>
      <c r="I37" s="22" t="str">
        <f>Tabla410[[#This Row],[P2]] &amp; "|" &amp;Tabla410[[#This Row],[Agrupación]] &amp; "|" &amp; Tabla410[[#This Row],[Sexo]] &amp; "|" &amp; Tabla410[[#This Row],[Entidad]]</f>
        <v>PS|Acoso sexual|Hombre|Baja California Sur</v>
      </c>
      <c r="J37" s="9">
        <f>VLOOKUP(Tabla410[[#This Row],[Agrupación]],Tabla5[[#All],[name]:[id_1]],2,FALSE)</f>
        <v>6</v>
      </c>
      <c r="K37" s="9">
        <f>VLOOKUP(Tabla410[[#This Row],[Año]],Tabla6[[#All],[name]:[id_2]],2)</f>
        <v>16</v>
      </c>
      <c r="L37" s="9">
        <f>VLOOKUP(Tabla410[[#This Row],[Sexo]],Tabla8[[#All],[name]:[gender_id]],2,FALSE)</f>
        <v>2</v>
      </c>
      <c r="M37" s="9" t="str">
        <f>IF(LEN(Tabla410[[#This Row],[centros]])&gt;0,VLOOKUP(Tabla410[[#This Row],[centros]],Tabla2[[#All],[Centros]:[ID]],2,FALSE),"NULL")</f>
        <v>NULL</v>
      </c>
      <c r="N37" s="9">
        <f>VLOOKUP(Tabla410[[#This Row],[Entidad]],Tabla3[[#All],[name]:[ID_2]],2,FALSE)</f>
        <v>3</v>
      </c>
      <c r="O37" s="9">
        <f>IFERROR(VLOOKUP(Tabla410[[#This Row],[CLAVE PI]], Tabla10[], 10, FALSE), 0)</f>
        <v>0</v>
      </c>
      <c r="P37" s="42">
        <f>IFERROR(VLOOKUP(Tabla410[[#This Row],[CLAVE PS]], Tabla10[], 10, FALSE), 0)</f>
        <v>0</v>
      </c>
      <c r="Q37" s="48" t="str">
        <f t="shared" si="1"/>
        <v>INSERT INTO indicator_category_details (category_id, year_id, gender_id, center_id, state_id, PI, PS, status) VALUES (6, 16, 2, NULL, 3, 0, 0, 1);</v>
      </c>
    </row>
    <row r="38" spans="1:17" ht="15.75" x14ac:dyDescent="0.25">
      <c r="A38" s="52">
        <v>2015</v>
      </c>
      <c r="B38" s="60" t="s">
        <v>1046</v>
      </c>
      <c r="C38" s="60" t="s">
        <v>1050</v>
      </c>
      <c r="D38" s="34" t="s">
        <v>20</v>
      </c>
      <c r="E38" s="3" t="s">
        <v>1043</v>
      </c>
      <c r="F38" s="3" t="s">
        <v>534</v>
      </c>
      <c r="G38" s="4"/>
      <c r="H38" s="41" t="str">
        <f>Tabla410[[#This Row],[P1]] &amp; "|" &amp;Tabla410[[#This Row],[Agrupación]] &amp; "|" &amp; Tabla410[[#This Row],[Sexo]] &amp; "|" &amp; Tabla410[[#This Row],[Entidad]]</f>
        <v>PI|Acoso sexual|Hombre|Campeche</v>
      </c>
      <c r="I38" s="22" t="str">
        <f>Tabla410[[#This Row],[P2]] &amp; "|" &amp;Tabla410[[#This Row],[Agrupación]] &amp; "|" &amp; Tabla410[[#This Row],[Sexo]] &amp; "|" &amp; Tabla410[[#This Row],[Entidad]]</f>
        <v>PS|Acoso sexual|Hombre|Campeche</v>
      </c>
      <c r="J38" s="9">
        <f>VLOOKUP(Tabla410[[#This Row],[Agrupación]],Tabla5[[#All],[name]:[id_1]],2,FALSE)</f>
        <v>6</v>
      </c>
      <c r="K38" s="9">
        <f>VLOOKUP(Tabla410[[#This Row],[Año]],Tabla6[[#All],[name]:[id_2]],2)</f>
        <v>16</v>
      </c>
      <c r="L38" s="9">
        <f>VLOOKUP(Tabla410[[#This Row],[Sexo]],Tabla8[[#All],[name]:[gender_id]],2,FALSE)</f>
        <v>2</v>
      </c>
      <c r="M38" s="9" t="str">
        <f>IF(LEN(Tabla410[[#This Row],[centros]])&gt;0,VLOOKUP(Tabla410[[#This Row],[centros]],Tabla2[[#All],[Centros]:[ID]],2,FALSE),"NULL")</f>
        <v>NULL</v>
      </c>
      <c r="N38" s="9">
        <f>VLOOKUP(Tabla410[[#This Row],[Entidad]],Tabla3[[#All],[name]:[ID_2]],2,FALSE)</f>
        <v>4</v>
      </c>
      <c r="O38" s="9">
        <f>IFERROR(VLOOKUP(Tabla410[[#This Row],[CLAVE PI]], Tabla10[], 10, FALSE), 0)</f>
        <v>0</v>
      </c>
      <c r="P38" s="42">
        <f>IFERROR(VLOOKUP(Tabla410[[#This Row],[CLAVE PS]], Tabla10[], 10, FALSE), 0)</f>
        <v>0</v>
      </c>
      <c r="Q38" s="48" t="str">
        <f t="shared" si="1"/>
        <v>INSERT INTO indicator_category_details (category_id, year_id, gender_id, center_id, state_id, PI, PS, status) VALUES (6, 16, 2, NULL, 4, 0, 0, 1);</v>
      </c>
    </row>
    <row r="39" spans="1:17" ht="15.75" x14ac:dyDescent="0.25">
      <c r="A39" s="52">
        <v>2015</v>
      </c>
      <c r="B39" s="60" t="s">
        <v>1046</v>
      </c>
      <c r="C39" s="60" t="s">
        <v>1050</v>
      </c>
      <c r="D39" s="34" t="s">
        <v>20</v>
      </c>
      <c r="E39" s="3" t="s">
        <v>1043</v>
      </c>
      <c r="F39" s="3" t="s">
        <v>553</v>
      </c>
      <c r="G39" s="4"/>
      <c r="H39" s="41" t="str">
        <f>Tabla410[[#This Row],[P1]] &amp; "|" &amp;Tabla410[[#This Row],[Agrupación]] &amp; "|" &amp; Tabla410[[#This Row],[Sexo]] &amp; "|" &amp; Tabla410[[#This Row],[Entidad]]</f>
        <v>PI|Acoso sexual|Hombre|Chiapas</v>
      </c>
      <c r="I39" s="22" t="str">
        <f>Tabla410[[#This Row],[P2]] &amp; "|" &amp;Tabla410[[#This Row],[Agrupación]] &amp; "|" &amp; Tabla410[[#This Row],[Sexo]] &amp; "|" &amp; Tabla410[[#This Row],[Entidad]]</f>
        <v>PS|Acoso sexual|Hombre|Chiapas</v>
      </c>
      <c r="J39" s="9">
        <f>VLOOKUP(Tabla410[[#This Row],[Agrupación]],Tabla5[[#All],[name]:[id_1]],2,FALSE)</f>
        <v>6</v>
      </c>
      <c r="K39" s="9">
        <f>VLOOKUP(Tabla410[[#This Row],[Año]],Tabla6[[#All],[name]:[id_2]],2)</f>
        <v>16</v>
      </c>
      <c r="L39" s="9">
        <f>VLOOKUP(Tabla410[[#This Row],[Sexo]],Tabla8[[#All],[name]:[gender_id]],2,FALSE)</f>
        <v>2</v>
      </c>
      <c r="M39" s="9" t="str">
        <f>IF(LEN(Tabla410[[#This Row],[centros]])&gt;0,VLOOKUP(Tabla410[[#This Row],[centros]],Tabla2[[#All],[Centros]:[ID]],2,FALSE),"NULL")</f>
        <v>NULL</v>
      </c>
      <c r="N39" s="9">
        <f>VLOOKUP(Tabla410[[#This Row],[Entidad]],Tabla3[[#All],[name]:[ID_2]],2,FALSE)</f>
        <v>5</v>
      </c>
      <c r="O39" s="9">
        <f>IFERROR(VLOOKUP(Tabla410[[#This Row],[CLAVE PI]], Tabla10[], 10, FALSE), 0)</f>
        <v>0</v>
      </c>
      <c r="P39" s="42">
        <f>IFERROR(VLOOKUP(Tabla410[[#This Row],[CLAVE PS]], Tabla10[], 10, FALSE), 0)</f>
        <v>0</v>
      </c>
      <c r="Q39" s="48" t="str">
        <f t="shared" si="1"/>
        <v>INSERT INTO indicator_category_details (category_id, year_id, gender_id, center_id, state_id, PI, PS, status) VALUES (6, 16, 2, NULL, 5, 0, 0, 1);</v>
      </c>
    </row>
    <row r="40" spans="1:17" ht="15.75" x14ac:dyDescent="0.25">
      <c r="A40" s="52">
        <v>2015</v>
      </c>
      <c r="B40" s="60" t="s">
        <v>1046</v>
      </c>
      <c r="C40" s="60" t="s">
        <v>1050</v>
      </c>
      <c r="D40" s="34" t="s">
        <v>20</v>
      </c>
      <c r="E40" s="3" t="s">
        <v>1043</v>
      </c>
      <c r="F40" s="3" t="s">
        <v>570</v>
      </c>
      <c r="G40" s="4"/>
      <c r="H40" s="41" t="str">
        <f>Tabla410[[#This Row],[P1]] &amp; "|" &amp;Tabla410[[#This Row],[Agrupación]] &amp; "|" &amp; Tabla410[[#This Row],[Sexo]] &amp; "|" &amp; Tabla410[[#This Row],[Entidad]]</f>
        <v>PI|Acoso sexual|Hombre|Chihuahua</v>
      </c>
      <c r="I40" s="22" t="str">
        <f>Tabla410[[#This Row],[P2]] &amp; "|" &amp;Tabla410[[#This Row],[Agrupación]] &amp; "|" &amp; Tabla410[[#This Row],[Sexo]] &amp; "|" &amp; Tabla410[[#This Row],[Entidad]]</f>
        <v>PS|Acoso sexual|Hombre|Chihuahua</v>
      </c>
      <c r="J40" s="9">
        <f>VLOOKUP(Tabla410[[#This Row],[Agrupación]],Tabla5[[#All],[name]:[id_1]],2,FALSE)</f>
        <v>6</v>
      </c>
      <c r="K40" s="9">
        <f>VLOOKUP(Tabla410[[#This Row],[Año]],Tabla6[[#All],[name]:[id_2]],2)</f>
        <v>16</v>
      </c>
      <c r="L40" s="9">
        <f>VLOOKUP(Tabla410[[#This Row],[Sexo]],Tabla8[[#All],[name]:[gender_id]],2,FALSE)</f>
        <v>2</v>
      </c>
      <c r="M40" s="9" t="str">
        <f>IF(LEN(Tabla410[[#This Row],[centros]])&gt;0,VLOOKUP(Tabla410[[#This Row],[centros]],Tabla2[[#All],[Centros]:[ID]],2,FALSE),"NULL")</f>
        <v>NULL</v>
      </c>
      <c r="N40" s="9">
        <f>VLOOKUP(Tabla410[[#This Row],[Entidad]],Tabla3[[#All],[name]:[ID_2]],2,FALSE)</f>
        <v>6</v>
      </c>
      <c r="O40" s="9">
        <f>IFERROR(VLOOKUP(Tabla410[[#This Row],[CLAVE PI]], Tabla10[], 10, FALSE), 0)</f>
        <v>0</v>
      </c>
      <c r="P40" s="42">
        <f>IFERROR(VLOOKUP(Tabla410[[#This Row],[CLAVE PS]], Tabla10[], 10, FALSE), 0)</f>
        <v>0</v>
      </c>
      <c r="Q40" s="48" t="str">
        <f t="shared" si="1"/>
        <v>INSERT INTO indicator_category_details (category_id, year_id, gender_id, center_id, state_id, PI, PS, status) VALUES (6, 16, 2, NULL, 6, 0, 0, 1);</v>
      </c>
    </row>
    <row r="41" spans="1:17" ht="15.75" x14ac:dyDescent="0.25">
      <c r="A41" s="52">
        <v>2015</v>
      </c>
      <c r="B41" s="60" t="s">
        <v>1046</v>
      </c>
      <c r="C41" s="60" t="s">
        <v>1050</v>
      </c>
      <c r="D41" s="34" t="s">
        <v>20</v>
      </c>
      <c r="E41" s="3" t="s">
        <v>1043</v>
      </c>
      <c r="F41" s="3" t="s">
        <v>582</v>
      </c>
      <c r="G41" s="4"/>
      <c r="H41" s="41" t="str">
        <f>Tabla410[[#This Row],[P1]] &amp; "|" &amp;Tabla410[[#This Row],[Agrupación]] &amp; "|" &amp; Tabla410[[#This Row],[Sexo]] &amp; "|" &amp; Tabla410[[#This Row],[Entidad]]</f>
        <v>PI|Acoso sexual|Hombre|Ciudad de México</v>
      </c>
      <c r="I41" s="22" t="str">
        <f>Tabla410[[#This Row],[P2]] &amp; "|" &amp;Tabla410[[#This Row],[Agrupación]] &amp; "|" &amp; Tabla410[[#This Row],[Sexo]] &amp; "|" &amp; Tabla410[[#This Row],[Entidad]]</f>
        <v>PS|Acoso sexual|Hombre|Ciudad de México</v>
      </c>
      <c r="J41" s="9">
        <f>VLOOKUP(Tabla410[[#This Row],[Agrupación]],Tabla5[[#All],[name]:[id_1]],2,FALSE)</f>
        <v>6</v>
      </c>
      <c r="K41" s="9">
        <f>VLOOKUP(Tabla410[[#This Row],[Año]],Tabla6[[#All],[name]:[id_2]],2)</f>
        <v>16</v>
      </c>
      <c r="L41" s="9">
        <f>VLOOKUP(Tabla410[[#This Row],[Sexo]],Tabla8[[#All],[name]:[gender_id]],2,FALSE)</f>
        <v>2</v>
      </c>
      <c r="M41" s="9" t="str">
        <f>IF(LEN(Tabla410[[#This Row],[centros]])&gt;0,VLOOKUP(Tabla410[[#This Row],[centros]],Tabla2[[#All],[Centros]:[ID]],2,FALSE),"NULL")</f>
        <v>NULL</v>
      </c>
      <c r="N41" s="9">
        <f>VLOOKUP(Tabla410[[#This Row],[Entidad]],Tabla3[[#All],[name]:[ID_2]],2,FALSE)</f>
        <v>7</v>
      </c>
      <c r="O41" s="9">
        <f>IFERROR(VLOOKUP(Tabla410[[#This Row],[CLAVE PI]], Tabla10[], 10, FALSE), 0)</f>
        <v>0</v>
      </c>
      <c r="P41" s="42">
        <f>IFERROR(VLOOKUP(Tabla410[[#This Row],[CLAVE PS]], Tabla10[], 10, FALSE), 0)</f>
        <v>0</v>
      </c>
      <c r="Q41" s="48" t="str">
        <f t="shared" si="1"/>
        <v>INSERT INTO indicator_category_details (category_id, year_id, gender_id, center_id, state_id, PI, PS, status) VALUES (6, 16, 2, NULL, 7, 0, 0, 1);</v>
      </c>
    </row>
    <row r="42" spans="1:17" ht="15.75" x14ac:dyDescent="0.25">
      <c r="A42" s="52">
        <v>2015</v>
      </c>
      <c r="B42" s="60" t="s">
        <v>1046</v>
      </c>
      <c r="C42" s="60" t="s">
        <v>1050</v>
      </c>
      <c r="D42" s="34" t="s">
        <v>20</v>
      </c>
      <c r="E42" s="3" t="s">
        <v>1043</v>
      </c>
      <c r="F42" s="3" t="s">
        <v>538</v>
      </c>
      <c r="G42" s="4"/>
      <c r="H42" s="41" t="str">
        <f>Tabla410[[#This Row],[P1]] &amp; "|" &amp;Tabla410[[#This Row],[Agrupación]] &amp; "|" &amp; Tabla410[[#This Row],[Sexo]] &amp; "|" &amp; Tabla410[[#This Row],[Entidad]]</f>
        <v>PI|Acoso sexual|Hombre|Coahuila de Zaragoza</v>
      </c>
      <c r="I42" s="22" t="str">
        <f>Tabla410[[#This Row],[P2]] &amp; "|" &amp;Tabla410[[#This Row],[Agrupación]] &amp; "|" &amp; Tabla410[[#This Row],[Sexo]] &amp; "|" &amp; Tabla410[[#This Row],[Entidad]]</f>
        <v>PS|Acoso sexual|Hombre|Coahuila de Zaragoza</v>
      </c>
      <c r="J42" s="9">
        <f>VLOOKUP(Tabla410[[#This Row],[Agrupación]],Tabla5[[#All],[name]:[id_1]],2,FALSE)</f>
        <v>6</v>
      </c>
      <c r="K42" s="9">
        <f>VLOOKUP(Tabla410[[#This Row],[Año]],Tabla6[[#All],[name]:[id_2]],2)</f>
        <v>16</v>
      </c>
      <c r="L42" s="9">
        <f>VLOOKUP(Tabla410[[#This Row],[Sexo]],Tabla8[[#All],[name]:[gender_id]],2,FALSE)</f>
        <v>2</v>
      </c>
      <c r="M42" s="9" t="str">
        <f>IF(LEN(Tabla410[[#This Row],[centros]])&gt;0,VLOOKUP(Tabla410[[#This Row],[centros]],Tabla2[[#All],[Centros]:[ID]],2,FALSE),"NULL")</f>
        <v>NULL</v>
      </c>
      <c r="N42" s="9">
        <f>VLOOKUP(Tabla410[[#This Row],[Entidad]],Tabla3[[#All],[name]:[ID_2]],2,FALSE)</f>
        <v>8</v>
      </c>
      <c r="O42" s="9">
        <f>IFERROR(VLOOKUP(Tabla410[[#This Row],[CLAVE PI]], Tabla10[], 10, FALSE), 0)</f>
        <v>0</v>
      </c>
      <c r="P42" s="42">
        <f>IFERROR(VLOOKUP(Tabla410[[#This Row],[CLAVE PS]], Tabla10[], 10, FALSE), 0)</f>
        <v>0</v>
      </c>
      <c r="Q42" s="48" t="str">
        <f t="shared" si="1"/>
        <v>INSERT INTO indicator_category_details (category_id, year_id, gender_id, center_id, state_id, PI, PS, status) VALUES (6, 16, 2, NULL, 8, 0, 0, 1);</v>
      </c>
    </row>
    <row r="43" spans="1:17" ht="15.75" x14ac:dyDescent="0.25">
      <c r="A43" s="52">
        <v>2015</v>
      </c>
      <c r="B43" s="60" t="s">
        <v>1046</v>
      </c>
      <c r="C43" s="60" t="s">
        <v>1050</v>
      </c>
      <c r="D43" s="34" t="s">
        <v>20</v>
      </c>
      <c r="E43" s="3" t="s">
        <v>1043</v>
      </c>
      <c r="F43" s="3" t="s">
        <v>547</v>
      </c>
      <c r="G43" s="4"/>
      <c r="H43" s="41" t="str">
        <f>Tabla410[[#This Row],[P1]] &amp; "|" &amp;Tabla410[[#This Row],[Agrupación]] &amp; "|" &amp; Tabla410[[#This Row],[Sexo]] &amp; "|" &amp; Tabla410[[#This Row],[Entidad]]</f>
        <v>PI|Acoso sexual|Hombre|Colima</v>
      </c>
      <c r="I43" s="22" t="str">
        <f>Tabla410[[#This Row],[P2]] &amp; "|" &amp;Tabla410[[#This Row],[Agrupación]] &amp; "|" &amp; Tabla410[[#This Row],[Sexo]] &amp; "|" &amp; Tabla410[[#This Row],[Entidad]]</f>
        <v>PS|Acoso sexual|Hombre|Colima</v>
      </c>
      <c r="J43" s="9">
        <f>VLOOKUP(Tabla410[[#This Row],[Agrupación]],Tabla5[[#All],[name]:[id_1]],2,FALSE)</f>
        <v>6</v>
      </c>
      <c r="K43" s="9">
        <f>VLOOKUP(Tabla410[[#This Row],[Año]],Tabla6[[#All],[name]:[id_2]],2)</f>
        <v>16</v>
      </c>
      <c r="L43" s="9">
        <f>VLOOKUP(Tabla410[[#This Row],[Sexo]],Tabla8[[#All],[name]:[gender_id]],2,FALSE)</f>
        <v>2</v>
      </c>
      <c r="M43" s="9" t="str">
        <f>IF(LEN(Tabla410[[#This Row],[centros]])&gt;0,VLOOKUP(Tabla410[[#This Row],[centros]],Tabla2[[#All],[Centros]:[ID]],2,FALSE),"NULL")</f>
        <v>NULL</v>
      </c>
      <c r="N43" s="9">
        <f>VLOOKUP(Tabla410[[#This Row],[Entidad]],Tabla3[[#All],[name]:[ID_2]],2,FALSE)</f>
        <v>9</v>
      </c>
      <c r="O43" s="9">
        <f>IFERROR(VLOOKUP(Tabla410[[#This Row],[CLAVE PI]], Tabla10[], 10, FALSE), 0)</f>
        <v>0</v>
      </c>
      <c r="P43" s="42">
        <f>IFERROR(VLOOKUP(Tabla410[[#This Row],[CLAVE PS]], Tabla10[], 10, FALSE), 0)</f>
        <v>0</v>
      </c>
      <c r="Q43" s="48" t="str">
        <f t="shared" si="1"/>
        <v>INSERT INTO indicator_category_details (category_id, year_id, gender_id, center_id, state_id, PI, PS, status) VALUES (6, 16, 2, NULL, 9, 0, 0, 1);</v>
      </c>
    </row>
    <row r="44" spans="1:17" ht="15.75" x14ac:dyDescent="0.25">
      <c r="A44" s="52">
        <v>2015</v>
      </c>
      <c r="B44" s="60" t="s">
        <v>1046</v>
      </c>
      <c r="C44" s="60" t="s">
        <v>1050</v>
      </c>
      <c r="D44" s="34" t="s">
        <v>20</v>
      </c>
      <c r="E44" s="3" t="s">
        <v>1043</v>
      </c>
      <c r="F44" s="3" t="s">
        <v>600</v>
      </c>
      <c r="G44" s="4"/>
      <c r="H44" s="41" t="str">
        <f>Tabla410[[#This Row],[P1]] &amp; "|" &amp;Tabla410[[#This Row],[Agrupación]] &amp; "|" &amp; Tabla410[[#This Row],[Sexo]] &amp; "|" &amp; Tabla410[[#This Row],[Entidad]]</f>
        <v>PI|Acoso sexual|Hombre|Durango</v>
      </c>
      <c r="I44" s="22" t="str">
        <f>Tabla410[[#This Row],[P2]] &amp; "|" &amp;Tabla410[[#This Row],[Agrupación]] &amp; "|" &amp; Tabla410[[#This Row],[Sexo]] &amp; "|" &amp; Tabla410[[#This Row],[Entidad]]</f>
        <v>PS|Acoso sexual|Hombre|Durango</v>
      </c>
      <c r="J44" s="9">
        <f>VLOOKUP(Tabla410[[#This Row],[Agrupación]],Tabla5[[#All],[name]:[id_1]],2,FALSE)</f>
        <v>6</v>
      </c>
      <c r="K44" s="9">
        <f>VLOOKUP(Tabla410[[#This Row],[Año]],Tabla6[[#All],[name]:[id_2]],2)</f>
        <v>16</v>
      </c>
      <c r="L44" s="9">
        <f>VLOOKUP(Tabla410[[#This Row],[Sexo]],Tabla8[[#All],[name]:[gender_id]],2,FALSE)</f>
        <v>2</v>
      </c>
      <c r="M44" s="9" t="str">
        <f>IF(LEN(Tabla410[[#This Row],[centros]])&gt;0,VLOOKUP(Tabla410[[#This Row],[centros]],Tabla2[[#All],[Centros]:[ID]],2,FALSE),"NULL")</f>
        <v>NULL</v>
      </c>
      <c r="N44" s="9">
        <f>VLOOKUP(Tabla410[[#This Row],[Entidad]],Tabla3[[#All],[name]:[ID_2]],2,FALSE)</f>
        <v>10</v>
      </c>
      <c r="O44" s="9">
        <f>IFERROR(VLOOKUP(Tabla410[[#This Row],[CLAVE PI]], Tabla10[], 10, FALSE), 0)</f>
        <v>0</v>
      </c>
      <c r="P44" s="42">
        <f>IFERROR(VLOOKUP(Tabla410[[#This Row],[CLAVE PS]], Tabla10[], 10, FALSE), 0)</f>
        <v>0</v>
      </c>
      <c r="Q44" s="48" t="str">
        <f t="shared" si="1"/>
        <v>INSERT INTO indicator_category_details (category_id, year_id, gender_id, center_id, state_id, PI, PS, status) VALUES (6, 16, 2, NULL, 10, 0, 0, 1);</v>
      </c>
    </row>
    <row r="45" spans="1:17" ht="15.75" x14ac:dyDescent="0.25">
      <c r="A45" s="52">
        <v>2015</v>
      </c>
      <c r="B45" s="60" t="s">
        <v>1046</v>
      </c>
      <c r="C45" s="60" t="s">
        <v>1050</v>
      </c>
      <c r="D45" s="34" t="s">
        <v>20</v>
      </c>
      <c r="E45" s="3" t="s">
        <v>1043</v>
      </c>
      <c r="F45" s="3" t="s">
        <v>606</v>
      </c>
      <c r="G45" s="4"/>
      <c r="H45" s="41" t="str">
        <f>Tabla410[[#This Row],[P1]] &amp; "|" &amp;Tabla410[[#This Row],[Agrupación]] &amp; "|" &amp; Tabla410[[#This Row],[Sexo]] &amp; "|" &amp; Tabla410[[#This Row],[Entidad]]</f>
        <v>PI|Acoso sexual|Hombre|Guanajuato</v>
      </c>
      <c r="I45" s="22" t="str">
        <f>Tabla410[[#This Row],[P2]] &amp; "|" &amp;Tabla410[[#This Row],[Agrupación]] &amp; "|" &amp; Tabla410[[#This Row],[Sexo]] &amp; "|" &amp; Tabla410[[#This Row],[Entidad]]</f>
        <v>PS|Acoso sexual|Hombre|Guanajuato</v>
      </c>
      <c r="J45" s="9">
        <f>VLOOKUP(Tabla410[[#This Row],[Agrupación]],Tabla5[[#All],[name]:[id_1]],2,FALSE)</f>
        <v>6</v>
      </c>
      <c r="K45" s="9">
        <f>VLOOKUP(Tabla410[[#This Row],[Año]],Tabla6[[#All],[name]:[id_2]],2)</f>
        <v>16</v>
      </c>
      <c r="L45" s="9">
        <f>VLOOKUP(Tabla410[[#This Row],[Sexo]],Tabla8[[#All],[name]:[gender_id]],2,FALSE)</f>
        <v>2</v>
      </c>
      <c r="M45" s="9" t="str">
        <f>IF(LEN(Tabla410[[#This Row],[centros]])&gt;0,VLOOKUP(Tabla410[[#This Row],[centros]],Tabla2[[#All],[Centros]:[ID]],2,FALSE),"NULL")</f>
        <v>NULL</v>
      </c>
      <c r="N45" s="9">
        <f>VLOOKUP(Tabla410[[#This Row],[Entidad]],Tabla3[[#All],[name]:[ID_2]],2,FALSE)</f>
        <v>11</v>
      </c>
      <c r="O45" s="9">
        <f>IFERROR(VLOOKUP(Tabla410[[#This Row],[CLAVE PI]], Tabla10[], 10, FALSE), 0)</f>
        <v>0</v>
      </c>
      <c r="P45" s="42">
        <f>IFERROR(VLOOKUP(Tabla410[[#This Row],[CLAVE PS]], Tabla10[], 10, FALSE), 0)</f>
        <v>0</v>
      </c>
      <c r="Q45" s="48" t="str">
        <f t="shared" si="1"/>
        <v>INSERT INTO indicator_category_details (category_id, year_id, gender_id, center_id, state_id, PI, PS, status) VALUES (6, 16, 2, NULL, 11, 0, 0, 1);</v>
      </c>
    </row>
    <row r="46" spans="1:17" ht="15.75" x14ac:dyDescent="0.25">
      <c r="A46" s="52">
        <v>2015</v>
      </c>
      <c r="B46" s="60" t="s">
        <v>1046</v>
      </c>
      <c r="C46" s="60" t="s">
        <v>1050</v>
      </c>
      <c r="D46" s="34" t="s">
        <v>20</v>
      </c>
      <c r="E46" s="3" t="s">
        <v>1043</v>
      </c>
      <c r="F46" s="3" t="s">
        <v>619</v>
      </c>
      <c r="G46" s="4"/>
      <c r="H46" s="41" t="str">
        <f>Tabla410[[#This Row],[P1]] &amp; "|" &amp;Tabla410[[#This Row],[Agrupación]] &amp; "|" &amp; Tabla410[[#This Row],[Sexo]] &amp; "|" &amp; Tabla410[[#This Row],[Entidad]]</f>
        <v>PI|Acoso sexual|Hombre|Guerrero</v>
      </c>
      <c r="I46" s="22" t="str">
        <f>Tabla410[[#This Row],[P2]] &amp; "|" &amp;Tabla410[[#This Row],[Agrupación]] &amp; "|" &amp; Tabla410[[#This Row],[Sexo]] &amp; "|" &amp; Tabla410[[#This Row],[Entidad]]</f>
        <v>PS|Acoso sexual|Hombre|Guerrero</v>
      </c>
      <c r="J46" s="9">
        <f>VLOOKUP(Tabla410[[#This Row],[Agrupación]],Tabla5[[#All],[name]:[id_1]],2,FALSE)</f>
        <v>6</v>
      </c>
      <c r="K46" s="9">
        <f>VLOOKUP(Tabla410[[#This Row],[Año]],Tabla6[[#All],[name]:[id_2]],2)</f>
        <v>16</v>
      </c>
      <c r="L46" s="9">
        <f>VLOOKUP(Tabla410[[#This Row],[Sexo]],Tabla8[[#All],[name]:[gender_id]],2,FALSE)</f>
        <v>2</v>
      </c>
      <c r="M46" s="9" t="str">
        <f>IF(LEN(Tabla410[[#This Row],[centros]])&gt;0,VLOOKUP(Tabla410[[#This Row],[centros]],Tabla2[[#All],[Centros]:[ID]],2,FALSE),"NULL")</f>
        <v>NULL</v>
      </c>
      <c r="N46" s="9">
        <f>VLOOKUP(Tabla410[[#This Row],[Entidad]],Tabla3[[#All],[name]:[ID_2]],2,FALSE)</f>
        <v>12</v>
      </c>
      <c r="O46" s="9">
        <f>IFERROR(VLOOKUP(Tabla410[[#This Row],[CLAVE PI]], Tabla10[], 10, FALSE), 0)</f>
        <v>0</v>
      </c>
      <c r="P46" s="42">
        <f>IFERROR(VLOOKUP(Tabla410[[#This Row],[CLAVE PS]], Tabla10[], 10, FALSE), 0)</f>
        <v>0</v>
      </c>
      <c r="Q46" s="48" t="str">
        <f t="shared" si="1"/>
        <v>INSERT INTO indicator_category_details (category_id, year_id, gender_id, center_id, state_id, PI, PS, status) VALUES (6, 16, 2, NULL, 12, 0, 0, 1);</v>
      </c>
    </row>
    <row r="47" spans="1:17" ht="15.75" x14ac:dyDescent="0.25">
      <c r="A47" s="52">
        <v>2015</v>
      </c>
      <c r="B47" s="60" t="s">
        <v>1046</v>
      </c>
      <c r="C47" s="60" t="s">
        <v>1050</v>
      </c>
      <c r="D47" s="34" t="s">
        <v>20</v>
      </c>
      <c r="E47" s="3" t="s">
        <v>1043</v>
      </c>
      <c r="F47" s="3" t="s">
        <v>633</v>
      </c>
      <c r="G47" s="4"/>
      <c r="H47" s="41" t="str">
        <f>Tabla410[[#This Row],[P1]] &amp; "|" &amp;Tabla410[[#This Row],[Agrupación]] &amp; "|" &amp; Tabla410[[#This Row],[Sexo]] &amp; "|" &amp; Tabla410[[#This Row],[Entidad]]</f>
        <v>PI|Acoso sexual|Hombre|Hidalgo</v>
      </c>
      <c r="I47" s="22" t="str">
        <f>Tabla410[[#This Row],[P2]] &amp; "|" &amp;Tabla410[[#This Row],[Agrupación]] &amp; "|" &amp; Tabla410[[#This Row],[Sexo]] &amp; "|" &amp; Tabla410[[#This Row],[Entidad]]</f>
        <v>PS|Acoso sexual|Hombre|Hidalgo</v>
      </c>
      <c r="J47" s="9">
        <f>VLOOKUP(Tabla410[[#This Row],[Agrupación]],Tabla5[[#All],[name]:[id_1]],2,FALSE)</f>
        <v>6</v>
      </c>
      <c r="K47" s="9">
        <f>VLOOKUP(Tabla410[[#This Row],[Año]],Tabla6[[#All],[name]:[id_2]],2)</f>
        <v>16</v>
      </c>
      <c r="L47" s="9">
        <f>VLOOKUP(Tabla410[[#This Row],[Sexo]],Tabla8[[#All],[name]:[gender_id]],2,FALSE)</f>
        <v>2</v>
      </c>
      <c r="M47" s="9" t="str">
        <f>IF(LEN(Tabla410[[#This Row],[centros]])&gt;0,VLOOKUP(Tabla410[[#This Row],[centros]],Tabla2[[#All],[Centros]:[ID]],2,FALSE),"NULL")</f>
        <v>NULL</v>
      </c>
      <c r="N47" s="9">
        <f>VLOOKUP(Tabla410[[#This Row],[Entidad]],Tabla3[[#All],[name]:[ID_2]],2,FALSE)</f>
        <v>13</v>
      </c>
      <c r="O47" s="9">
        <f>IFERROR(VLOOKUP(Tabla410[[#This Row],[CLAVE PI]], Tabla10[], 10, FALSE), 0)</f>
        <v>0</v>
      </c>
      <c r="P47" s="42">
        <f>IFERROR(VLOOKUP(Tabla410[[#This Row],[CLAVE PS]], Tabla10[], 10, FALSE), 0)</f>
        <v>0</v>
      </c>
      <c r="Q47" s="48" t="str">
        <f t="shared" si="1"/>
        <v>INSERT INTO indicator_category_details (category_id, year_id, gender_id, center_id, state_id, PI, PS, status) VALUES (6, 16, 2, NULL, 13, 0, 0, 1);</v>
      </c>
    </row>
    <row r="48" spans="1:17" ht="15.75" x14ac:dyDescent="0.25">
      <c r="A48" s="52">
        <v>2015</v>
      </c>
      <c r="B48" s="60" t="s">
        <v>1046</v>
      </c>
      <c r="C48" s="60" t="s">
        <v>1050</v>
      </c>
      <c r="D48" s="34" t="s">
        <v>20</v>
      </c>
      <c r="E48" s="3" t="s">
        <v>1043</v>
      </c>
      <c r="F48" s="3" t="s">
        <v>647</v>
      </c>
      <c r="G48" s="4"/>
      <c r="H48" s="41" t="str">
        <f>Tabla410[[#This Row],[P1]] &amp; "|" &amp;Tabla410[[#This Row],[Agrupación]] &amp; "|" &amp; Tabla410[[#This Row],[Sexo]] &amp; "|" &amp; Tabla410[[#This Row],[Entidad]]</f>
        <v>PI|Acoso sexual|Hombre|Jalisco</v>
      </c>
      <c r="I48" s="22" t="str">
        <f>Tabla410[[#This Row],[P2]] &amp; "|" &amp;Tabla410[[#This Row],[Agrupación]] &amp; "|" &amp; Tabla410[[#This Row],[Sexo]] &amp; "|" &amp; Tabla410[[#This Row],[Entidad]]</f>
        <v>PS|Acoso sexual|Hombre|Jalisco</v>
      </c>
      <c r="J48" s="9">
        <f>VLOOKUP(Tabla410[[#This Row],[Agrupación]],Tabla5[[#All],[name]:[id_1]],2,FALSE)</f>
        <v>6</v>
      </c>
      <c r="K48" s="9">
        <f>VLOOKUP(Tabla410[[#This Row],[Año]],Tabla6[[#All],[name]:[id_2]],2)</f>
        <v>16</v>
      </c>
      <c r="L48" s="9">
        <f>VLOOKUP(Tabla410[[#This Row],[Sexo]],Tabla8[[#All],[name]:[gender_id]],2,FALSE)</f>
        <v>2</v>
      </c>
      <c r="M48" s="9" t="str">
        <f>IF(LEN(Tabla410[[#This Row],[centros]])&gt;0,VLOOKUP(Tabla410[[#This Row],[centros]],Tabla2[[#All],[Centros]:[ID]],2,FALSE),"NULL")</f>
        <v>NULL</v>
      </c>
      <c r="N48" s="9">
        <f>VLOOKUP(Tabla410[[#This Row],[Entidad]],Tabla3[[#All],[name]:[ID_2]],2,FALSE)</f>
        <v>14</v>
      </c>
      <c r="O48" s="9">
        <f>IFERROR(VLOOKUP(Tabla410[[#This Row],[CLAVE PI]], Tabla10[], 10, FALSE), 0)</f>
        <v>0</v>
      </c>
      <c r="P48" s="42">
        <f>IFERROR(VLOOKUP(Tabla410[[#This Row],[CLAVE PS]], Tabla10[], 10, FALSE), 0)</f>
        <v>0</v>
      </c>
      <c r="Q48" s="48" t="str">
        <f t="shared" si="1"/>
        <v>INSERT INTO indicator_category_details (category_id, year_id, gender_id, center_id, state_id, PI, PS, status) VALUES (6, 16, 2, NULL, 14, 0, 0, 1);</v>
      </c>
    </row>
    <row r="49" spans="1:17" ht="15.75" x14ac:dyDescent="0.25">
      <c r="A49" s="52">
        <v>2015</v>
      </c>
      <c r="B49" s="60" t="s">
        <v>1046</v>
      </c>
      <c r="C49" s="60" t="s">
        <v>1050</v>
      </c>
      <c r="D49" s="34" t="s">
        <v>20</v>
      </c>
      <c r="E49" s="3" t="s">
        <v>1043</v>
      </c>
      <c r="F49" s="3" t="s">
        <v>662</v>
      </c>
      <c r="G49" s="4"/>
      <c r="H49" s="41" t="str">
        <f>Tabla410[[#This Row],[P1]] &amp; "|" &amp;Tabla410[[#This Row],[Agrupación]] &amp; "|" &amp; Tabla410[[#This Row],[Sexo]] &amp; "|" &amp; Tabla410[[#This Row],[Entidad]]</f>
        <v>PI|Acoso sexual|Hombre|México</v>
      </c>
      <c r="I49" s="22" t="str">
        <f>Tabla410[[#This Row],[P2]] &amp; "|" &amp;Tabla410[[#This Row],[Agrupación]] &amp; "|" &amp; Tabla410[[#This Row],[Sexo]] &amp; "|" &amp; Tabla410[[#This Row],[Entidad]]</f>
        <v>PS|Acoso sexual|Hombre|México</v>
      </c>
      <c r="J49" s="9">
        <f>VLOOKUP(Tabla410[[#This Row],[Agrupación]],Tabla5[[#All],[name]:[id_1]],2,FALSE)</f>
        <v>6</v>
      </c>
      <c r="K49" s="9">
        <f>VLOOKUP(Tabla410[[#This Row],[Año]],Tabla6[[#All],[name]:[id_2]],2)</f>
        <v>16</v>
      </c>
      <c r="L49" s="9">
        <f>VLOOKUP(Tabla410[[#This Row],[Sexo]],Tabla8[[#All],[name]:[gender_id]],2,FALSE)</f>
        <v>2</v>
      </c>
      <c r="M49" s="9" t="str">
        <f>IF(LEN(Tabla410[[#This Row],[centros]])&gt;0,VLOOKUP(Tabla410[[#This Row],[centros]],Tabla2[[#All],[Centros]:[ID]],2,FALSE),"NULL")</f>
        <v>NULL</v>
      </c>
      <c r="N49" s="9">
        <f>VLOOKUP(Tabla410[[#This Row],[Entidad]],Tabla3[[#All],[name]:[ID_2]],2,FALSE)</f>
        <v>15</v>
      </c>
      <c r="O49" s="9">
        <f>IFERROR(VLOOKUP(Tabla410[[#This Row],[CLAVE PI]], Tabla10[], 10, FALSE), 0)</f>
        <v>0</v>
      </c>
      <c r="P49" s="42">
        <f>IFERROR(VLOOKUP(Tabla410[[#This Row],[CLAVE PS]], Tabla10[], 10, FALSE), 0)</f>
        <v>0</v>
      </c>
      <c r="Q49" s="48" t="str">
        <f t="shared" si="1"/>
        <v>INSERT INTO indicator_category_details (category_id, year_id, gender_id, center_id, state_id, PI, PS, status) VALUES (6, 16, 2, NULL, 15, 0, 0, 1);</v>
      </c>
    </row>
    <row r="50" spans="1:17" ht="15.75" x14ac:dyDescent="0.25">
      <c r="A50" s="52">
        <v>2015</v>
      </c>
      <c r="B50" s="60" t="s">
        <v>1046</v>
      </c>
      <c r="C50" s="60" t="s">
        <v>1050</v>
      </c>
      <c r="D50" s="34" t="s">
        <v>20</v>
      </c>
      <c r="E50" s="3" t="s">
        <v>1043</v>
      </c>
      <c r="F50" s="3" t="s">
        <v>685</v>
      </c>
      <c r="G50" s="4"/>
      <c r="H50" s="41" t="str">
        <f>Tabla410[[#This Row],[P1]] &amp; "|" &amp;Tabla410[[#This Row],[Agrupación]] &amp; "|" &amp; Tabla410[[#This Row],[Sexo]] &amp; "|" &amp; Tabla410[[#This Row],[Entidad]]</f>
        <v>PI|Acoso sexual|Hombre|Michoacán de Ocampo</v>
      </c>
      <c r="I50" s="22" t="str">
        <f>Tabla410[[#This Row],[P2]] &amp; "|" &amp;Tabla410[[#This Row],[Agrupación]] &amp; "|" &amp; Tabla410[[#This Row],[Sexo]] &amp; "|" &amp; Tabla410[[#This Row],[Entidad]]</f>
        <v>PS|Acoso sexual|Hombre|Michoacán de Ocampo</v>
      </c>
      <c r="J50" s="9">
        <f>VLOOKUP(Tabla410[[#This Row],[Agrupación]],Tabla5[[#All],[name]:[id_1]],2,FALSE)</f>
        <v>6</v>
      </c>
      <c r="K50" s="9">
        <f>VLOOKUP(Tabla410[[#This Row],[Año]],Tabla6[[#All],[name]:[id_2]],2)</f>
        <v>16</v>
      </c>
      <c r="L50" s="9">
        <f>VLOOKUP(Tabla410[[#This Row],[Sexo]],Tabla8[[#All],[name]:[gender_id]],2,FALSE)</f>
        <v>2</v>
      </c>
      <c r="M50" s="9" t="str">
        <f>IF(LEN(Tabla410[[#This Row],[centros]])&gt;0,VLOOKUP(Tabla410[[#This Row],[centros]],Tabla2[[#All],[Centros]:[ID]],2,FALSE),"NULL")</f>
        <v>NULL</v>
      </c>
      <c r="N50" s="9">
        <f>VLOOKUP(Tabla410[[#This Row],[Entidad]],Tabla3[[#All],[name]:[ID_2]],2,FALSE)</f>
        <v>16</v>
      </c>
      <c r="O50" s="9">
        <f>IFERROR(VLOOKUP(Tabla410[[#This Row],[CLAVE PI]], Tabla10[], 10, FALSE), 0)</f>
        <v>0</v>
      </c>
      <c r="P50" s="42">
        <f>IFERROR(VLOOKUP(Tabla410[[#This Row],[CLAVE PS]], Tabla10[], 10, FALSE), 0)</f>
        <v>0</v>
      </c>
      <c r="Q50" s="48" t="str">
        <f t="shared" si="1"/>
        <v>INSERT INTO indicator_category_details (category_id, year_id, gender_id, center_id, state_id, PI, PS, status) VALUES (6, 16, 2, NULL, 16, 0, 0, 1);</v>
      </c>
    </row>
    <row r="51" spans="1:17" ht="15.75" x14ac:dyDescent="0.25">
      <c r="A51" s="52">
        <v>2015</v>
      </c>
      <c r="B51" s="60" t="s">
        <v>1046</v>
      </c>
      <c r="C51" s="60" t="s">
        <v>1050</v>
      </c>
      <c r="D51" s="34" t="s">
        <v>20</v>
      </c>
      <c r="E51" s="3" t="s">
        <v>1043</v>
      </c>
      <c r="F51" s="3" t="s">
        <v>698</v>
      </c>
      <c r="G51" s="4"/>
      <c r="H51" s="41" t="str">
        <f>Tabla410[[#This Row],[P1]] &amp; "|" &amp;Tabla410[[#This Row],[Agrupación]] &amp; "|" &amp; Tabla410[[#This Row],[Sexo]] &amp; "|" &amp; Tabla410[[#This Row],[Entidad]]</f>
        <v>PI|Acoso sexual|Hombre|Morelos</v>
      </c>
      <c r="I51" s="22" t="str">
        <f>Tabla410[[#This Row],[P2]] &amp; "|" &amp;Tabla410[[#This Row],[Agrupación]] &amp; "|" &amp; Tabla410[[#This Row],[Sexo]] &amp; "|" &amp; Tabla410[[#This Row],[Entidad]]</f>
        <v>PS|Acoso sexual|Hombre|Morelos</v>
      </c>
      <c r="J51" s="9">
        <f>VLOOKUP(Tabla410[[#This Row],[Agrupación]],Tabla5[[#All],[name]:[id_1]],2,FALSE)</f>
        <v>6</v>
      </c>
      <c r="K51" s="9">
        <f>VLOOKUP(Tabla410[[#This Row],[Año]],Tabla6[[#All],[name]:[id_2]],2)</f>
        <v>16</v>
      </c>
      <c r="L51" s="9">
        <f>VLOOKUP(Tabla410[[#This Row],[Sexo]],Tabla8[[#All],[name]:[gender_id]],2,FALSE)</f>
        <v>2</v>
      </c>
      <c r="M51" s="9" t="str">
        <f>IF(LEN(Tabla410[[#This Row],[centros]])&gt;0,VLOOKUP(Tabla410[[#This Row],[centros]],Tabla2[[#All],[Centros]:[ID]],2,FALSE),"NULL")</f>
        <v>NULL</v>
      </c>
      <c r="N51" s="9">
        <f>VLOOKUP(Tabla410[[#This Row],[Entidad]],Tabla3[[#All],[name]:[ID_2]],2,FALSE)</f>
        <v>17</v>
      </c>
      <c r="O51" s="9">
        <f>IFERROR(VLOOKUP(Tabla410[[#This Row],[CLAVE PI]], Tabla10[], 10, FALSE), 0)</f>
        <v>0</v>
      </c>
      <c r="P51" s="42">
        <f>IFERROR(VLOOKUP(Tabla410[[#This Row],[CLAVE PS]], Tabla10[], 10, FALSE), 0)</f>
        <v>0</v>
      </c>
      <c r="Q51" s="48" t="str">
        <f t="shared" si="1"/>
        <v>INSERT INTO indicator_category_details (category_id, year_id, gender_id, center_id, state_id, PI, PS, status) VALUES (6, 16, 2, NULL, 17, 0, 0, 1);</v>
      </c>
    </row>
    <row r="52" spans="1:17" ht="15.75" x14ac:dyDescent="0.25">
      <c r="A52" s="52">
        <v>2015</v>
      </c>
      <c r="B52" s="60" t="s">
        <v>1046</v>
      </c>
      <c r="C52" s="60" t="s">
        <v>1050</v>
      </c>
      <c r="D52" s="34" t="s">
        <v>20</v>
      </c>
      <c r="E52" s="3" t="s">
        <v>1043</v>
      </c>
      <c r="F52" s="3" t="s">
        <v>705</v>
      </c>
      <c r="G52" s="4"/>
      <c r="H52" s="41" t="str">
        <f>Tabla410[[#This Row],[P1]] &amp; "|" &amp;Tabla410[[#This Row],[Agrupación]] &amp; "|" &amp; Tabla410[[#This Row],[Sexo]] &amp; "|" &amp; Tabla410[[#This Row],[Entidad]]</f>
        <v>PI|Acoso sexual|Hombre|Nayarit</v>
      </c>
      <c r="I52" s="22" t="str">
        <f>Tabla410[[#This Row],[P2]] &amp; "|" &amp;Tabla410[[#This Row],[Agrupación]] &amp; "|" &amp; Tabla410[[#This Row],[Sexo]] &amp; "|" &amp; Tabla410[[#This Row],[Entidad]]</f>
        <v>PS|Acoso sexual|Hombre|Nayarit</v>
      </c>
      <c r="J52" s="9">
        <f>VLOOKUP(Tabla410[[#This Row],[Agrupación]],Tabla5[[#All],[name]:[id_1]],2,FALSE)</f>
        <v>6</v>
      </c>
      <c r="K52" s="9">
        <f>VLOOKUP(Tabla410[[#This Row],[Año]],Tabla6[[#All],[name]:[id_2]],2)</f>
        <v>16</v>
      </c>
      <c r="L52" s="9">
        <f>VLOOKUP(Tabla410[[#This Row],[Sexo]],Tabla8[[#All],[name]:[gender_id]],2,FALSE)</f>
        <v>2</v>
      </c>
      <c r="M52" s="9" t="str">
        <f>IF(LEN(Tabla410[[#This Row],[centros]])&gt;0,VLOOKUP(Tabla410[[#This Row],[centros]],Tabla2[[#All],[Centros]:[ID]],2,FALSE),"NULL")</f>
        <v>NULL</v>
      </c>
      <c r="N52" s="9">
        <f>VLOOKUP(Tabla410[[#This Row],[Entidad]],Tabla3[[#All],[name]:[ID_2]],2,FALSE)</f>
        <v>18</v>
      </c>
      <c r="O52" s="9">
        <f>IFERROR(VLOOKUP(Tabla410[[#This Row],[CLAVE PI]], Tabla10[], 10, FALSE), 0)</f>
        <v>0</v>
      </c>
      <c r="P52" s="42">
        <f>IFERROR(VLOOKUP(Tabla410[[#This Row],[CLAVE PS]], Tabla10[], 10, FALSE), 0)</f>
        <v>0</v>
      </c>
      <c r="Q52" s="48" t="str">
        <f t="shared" si="1"/>
        <v>INSERT INTO indicator_category_details (category_id, year_id, gender_id, center_id, state_id, PI, PS, status) VALUES (6, 16, 2, NULL, 18, 0, 0, 1);</v>
      </c>
    </row>
    <row r="53" spans="1:17" ht="15.75" x14ac:dyDescent="0.25">
      <c r="A53" s="52">
        <v>2015</v>
      </c>
      <c r="B53" s="60" t="s">
        <v>1046</v>
      </c>
      <c r="C53" s="60" t="s">
        <v>1050</v>
      </c>
      <c r="D53" s="34" t="s">
        <v>20</v>
      </c>
      <c r="E53" s="3" t="s">
        <v>1043</v>
      </c>
      <c r="F53" s="3" t="s">
        <v>710</v>
      </c>
      <c r="G53" s="4"/>
      <c r="H53" s="41" t="str">
        <f>Tabla410[[#This Row],[P1]] &amp; "|" &amp;Tabla410[[#This Row],[Agrupación]] &amp; "|" &amp; Tabla410[[#This Row],[Sexo]] &amp; "|" &amp; Tabla410[[#This Row],[Entidad]]</f>
        <v>PI|Acoso sexual|Hombre|Nuevo León</v>
      </c>
      <c r="I53" s="22" t="str">
        <f>Tabla410[[#This Row],[P2]] &amp; "|" &amp;Tabla410[[#This Row],[Agrupación]] &amp; "|" &amp; Tabla410[[#This Row],[Sexo]] &amp; "|" &amp; Tabla410[[#This Row],[Entidad]]</f>
        <v>PS|Acoso sexual|Hombre|Nuevo León</v>
      </c>
      <c r="J53" s="9">
        <f>VLOOKUP(Tabla410[[#This Row],[Agrupación]],Tabla5[[#All],[name]:[id_1]],2,FALSE)</f>
        <v>6</v>
      </c>
      <c r="K53" s="9">
        <f>VLOOKUP(Tabla410[[#This Row],[Año]],Tabla6[[#All],[name]:[id_2]],2)</f>
        <v>16</v>
      </c>
      <c r="L53" s="9">
        <f>VLOOKUP(Tabla410[[#This Row],[Sexo]],Tabla8[[#All],[name]:[gender_id]],2,FALSE)</f>
        <v>2</v>
      </c>
      <c r="M53" s="9" t="str">
        <f>IF(LEN(Tabla410[[#This Row],[centros]])&gt;0,VLOOKUP(Tabla410[[#This Row],[centros]],Tabla2[[#All],[Centros]:[ID]],2,FALSE),"NULL")</f>
        <v>NULL</v>
      </c>
      <c r="N53" s="9">
        <f>VLOOKUP(Tabla410[[#This Row],[Entidad]],Tabla3[[#All],[name]:[ID_2]],2,FALSE)</f>
        <v>19</v>
      </c>
      <c r="O53" s="9">
        <f>IFERROR(VLOOKUP(Tabla410[[#This Row],[CLAVE PI]], Tabla10[], 10, FALSE), 0)</f>
        <v>0</v>
      </c>
      <c r="P53" s="42">
        <f>IFERROR(VLOOKUP(Tabla410[[#This Row],[CLAVE PS]], Tabla10[], 10, FALSE), 0)</f>
        <v>0</v>
      </c>
      <c r="Q53" s="48" t="str">
        <f t="shared" si="1"/>
        <v>INSERT INTO indicator_category_details (category_id, year_id, gender_id, center_id, state_id, PI, PS, status) VALUES (6, 16, 2, NULL, 19, 0, 0, 1);</v>
      </c>
    </row>
    <row r="54" spans="1:17" ht="15.75" x14ac:dyDescent="0.25">
      <c r="A54" s="52">
        <v>2015</v>
      </c>
      <c r="B54" s="60" t="s">
        <v>1046</v>
      </c>
      <c r="C54" s="60" t="s">
        <v>1050</v>
      </c>
      <c r="D54" s="34" t="s">
        <v>20</v>
      </c>
      <c r="E54" s="3" t="s">
        <v>1043</v>
      </c>
      <c r="F54" s="3" t="s">
        <v>716</v>
      </c>
      <c r="G54" s="4"/>
      <c r="H54" s="41" t="str">
        <f>Tabla410[[#This Row],[P1]] &amp; "|" &amp;Tabla410[[#This Row],[Agrupación]] &amp; "|" &amp; Tabla410[[#This Row],[Sexo]] &amp; "|" &amp; Tabla410[[#This Row],[Entidad]]</f>
        <v>PI|Acoso sexual|Hombre|Oaxaca</v>
      </c>
      <c r="I54" s="22" t="str">
        <f>Tabla410[[#This Row],[P2]] &amp; "|" &amp;Tabla410[[#This Row],[Agrupación]] &amp; "|" &amp; Tabla410[[#This Row],[Sexo]] &amp; "|" &amp; Tabla410[[#This Row],[Entidad]]</f>
        <v>PS|Acoso sexual|Hombre|Oaxaca</v>
      </c>
      <c r="J54" s="9">
        <f>VLOOKUP(Tabla410[[#This Row],[Agrupación]],Tabla5[[#All],[name]:[id_1]],2,FALSE)</f>
        <v>6</v>
      </c>
      <c r="K54" s="9">
        <f>VLOOKUP(Tabla410[[#This Row],[Año]],Tabla6[[#All],[name]:[id_2]],2)</f>
        <v>16</v>
      </c>
      <c r="L54" s="9">
        <f>VLOOKUP(Tabla410[[#This Row],[Sexo]],Tabla8[[#All],[name]:[gender_id]],2,FALSE)</f>
        <v>2</v>
      </c>
      <c r="M54" s="9" t="str">
        <f>IF(LEN(Tabla410[[#This Row],[centros]])&gt;0,VLOOKUP(Tabla410[[#This Row],[centros]],Tabla2[[#All],[Centros]:[ID]],2,FALSE),"NULL")</f>
        <v>NULL</v>
      </c>
      <c r="N54" s="9">
        <f>VLOOKUP(Tabla410[[#This Row],[Entidad]],Tabla3[[#All],[name]:[ID_2]],2,FALSE)</f>
        <v>20</v>
      </c>
      <c r="O54" s="9">
        <f>IFERROR(VLOOKUP(Tabla410[[#This Row],[CLAVE PI]], Tabla10[], 10, FALSE), 0)</f>
        <v>0</v>
      </c>
      <c r="P54" s="42">
        <f>IFERROR(VLOOKUP(Tabla410[[#This Row],[CLAVE PS]], Tabla10[], 10, FALSE), 0)</f>
        <v>0</v>
      </c>
      <c r="Q54" s="48" t="str">
        <f t="shared" si="1"/>
        <v>INSERT INTO indicator_category_details (category_id, year_id, gender_id, center_id, state_id, PI, PS, status) VALUES (6, 16, 2, NULL, 20, 0, 0, 1);</v>
      </c>
    </row>
    <row r="55" spans="1:17" ht="15.75" x14ac:dyDescent="0.25">
      <c r="A55" s="52">
        <v>2015</v>
      </c>
      <c r="B55" s="60" t="s">
        <v>1046</v>
      </c>
      <c r="C55" s="60" t="s">
        <v>1050</v>
      </c>
      <c r="D55" s="34" t="s">
        <v>20</v>
      </c>
      <c r="E55" s="3" t="s">
        <v>1043</v>
      </c>
      <c r="F55" s="3" t="s">
        <v>727</v>
      </c>
      <c r="G55" s="4"/>
      <c r="H55" s="41" t="str">
        <f>Tabla410[[#This Row],[P1]] &amp; "|" &amp;Tabla410[[#This Row],[Agrupación]] &amp; "|" &amp; Tabla410[[#This Row],[Sexo]] &amp; "|" &amp; Tabla410[[#This Row],[Entidad]]</f>
        <v>PI|Acoso sexual|Hombre|Puebla</v>
      </c>
      <c r="I55" s="22" t="str">
        <f>Tabla410[[#This Row],[P2]] &amp; "|" &amp;Tabla410[[#This Row],[Agrupación]] &amp; "|" &amp; Tabla410[[#This Row],[Sexo]] &amp; "|" &amp; Tabla410[[#This Row],[Entidad]]</f>
        <v>PS|Acoso sexual|Hombre|Puebla</v>
      </c>
      <c r="J55" s="9">
        <f>VLOOKUP(Tabla410[[#This Row],[Agrupación]],Tabla5[[#All],[name]:[id_1]],2,FALSE)</f>
        <v>6</v>
      </c>
      <c r="K55" s="9">
        <f>VLOOKUP(Tabla410[[#This Row],[Año]],Tabla6[[#All],[name]:[id_2]],2)</f>
        <v>16</v>
      </c>
      <c r="L55" s="9">
        <f>VLOOKUP(Tabla410[[#This Row],[Sexo]],Tabla8[[#All],[name]:[gender_id]],2,FALSE)</f>
        <v>2</v>
      </c>
      <c r="M55" s="9" t="str">
        <f>IF(LEN(Tabla410[[#This Row],[centros]])&gt;0,VLOOKUP(Tabla410[[#This Row],[centros]],Tabla2[[#All],[Centros]:[ID]],2,FALSE),"NULL")</f>
        <v>NULL</v>
      </c>
      <c r="N55" s="9">
        <f>VLOOKUP(Tabla410[[#This Row],[Entidad]],Tabla3[[#All],[name]:[ID_2]],2,FALSE)</f>
        <v>21</v>
      </c>
      <c r="O55" s="9">
        <f>IFERROR(VLOOKUP(Tabla410[[#This Row],[CLAVE PI]], Tabla10[], 10, FALSE), 0)</f>
        <v>0</v>
      </c>
      <c r="P55" s="42">
        <f>IFERROR(VLOOKUP(Tabla410[[#This Row],[CLAVE PS]], Tabla10[], 10, FALSE), 0)</f>
        <v>0</v>
      </c>
      <c r="Q55" s="48" t="str">
        <f t="shared" si="1"/>
        <v>INSERT INTO indicator_category_details (category_id, year_id, gender_id, center_id, state_id, PI, PS, status) VALUES (6, 16, 2, NULL, 21, 0, 0, 1);</v>
      </c>
    </row>
    <row r="56" spans="1:17" ht="15.75" x14ac:dyDescent="0.25">
      <c r="A56" s="52">
        <v>2015</v>
      </c>
      <c r="B56" s="60" t="s">
        <v>1046</v>
      </c>
      <c r="C56" s="60" t="s">
        <v>1050</v>
      </c>
      <c r="D56" s="34" t="s">
        <v>20</v>
      </c>
      <c r="E56" s="3" t="s">
        <v>1043</v>
      </c>
      <c r="F56" s="3" t="s">
        <v>731</v>
      </c>
      <c r="G56" s="4"/>
      <c r="H56" s="41" t="str">
        <f>Tabla410[[#This Row],[P1]] &amp; "|" &amp;Tabla410[[#This Row],[Agrupación]] &amp; "|" &amp; Tabla410[[#This Row],[Sexo]] &amp; "|" &amp; Tabla410[[#This Row],[Entidad]]</f>
        <v>PI|Acoso sexual|Hombre|Querétaro</v>
      </c>
      <c r="I56" s="22" t="str">
        <f>Tabla410[[#This Row],[P2]] &amp; "|" &amp;Tabla410[[#This Row],[Agrupación]] &amp; "|" &amp; Tabla410[[#This Row],[Sexo]] &amp; "|" &amp; Tabla410[[#This Row],[Entidad]]</f>
        <v>PS|Acoso sexual|Hombre|Querétaro</v>
      </c>
      <c r="J56" s="9">
        <f>VLOOKUP(Tabla410[[#This Row],[Agrupación]],Tabla5[[#All],[name]:[id_1]],2,FALSE)</f>
        <v>6</v>
      </c>
      <c r="K56" s="9">
        <f>VLOOKUP(Tabla410[[#This Row],[Año]],Tabla6[[#All],[name]:[id_2]],2)</f>
        <v>16</v>
      </c>
      <c r="L56" s="9">
        <f>VLOOKUP(Tabla410[[#This Row],[Sexo]],Tabla8[[#All],[name]:[gender_id]],2,FALSE)</f>
        <v>2</v>
      </c>
      <c r="M56" s="9" t="str">
        <f>IF(LEN(Tabla410[[#This Row],[centros]])&gt;0,VLOOKUP(Tabla410[[#This Row],[centros]],Tabla2[[#All],[Centros]:[ID]],2,FALSE),"NULL")</f>
        <v>NULL</v>
      </c>
      <c r="N56" s="9">
        <f>VLOOKUP(Tabla410[[#This Row],[Entidad]],Tabla3[[#All],[name]:[ID_2]],2,FALSE)</f>
        <v>22</v>
      </c>
      <c r="O56" s="9">
        <f>IFERROR(VLOOKUP(Tabla410[[#This Row],[CLAVE PI]], Tabla10[], 10, FALSE), 0)</f>
        <v>0</v>
      </c>
      <c r="P56" s="42">
        <f>IFERROR(VLOOKUP(Tabla410[[#This Row],[CLAVE PS]], Tabla10[], 10, FALSE), 0)</f>
        <v>0</v>
      </c>
      <c r="Q56" s="48" t="str">
        <f t="shared" si="1"/>
        <v>INSERT INTO indicator_category_details (category_id, year_id, gender_id, center_id, state_id, PI, PS, status) VALUES (6, 16, 2, NULL, 22, 0, 0, 1);</v>
      </c>
    </row>
    <row r="57" spans="1:17" ht="15.75" x14ac:dyDescent="0.25">
      <c r="A57" s="52">
        <v>2015</v>
      </c>
      <c r="B57" s="60" t="s">
        <v>1046</v>
      </c>
      <c r="C57" s="60" t="s">
        <v>1050</v>
      </c>
      <c r="D57" s="34" t="s">
        <v>20</v>
      </c>
      <c r="E57" s="3" t="s">
        <v>1043</v>
      </c>
      <c r="F57" s="3" t="s">
        <v>737</v>
      </c>
      <c r="G57" s="4"/>
      <c r="H57" s="41" t="str">
        <f>Tabla410[[#This Row],[P1]] &amp; "|" &amp;Tabla410[[#This Row],[Agrupación]] &amp; "|" &amp; Tabla410[[#This Row],[Sexo]] &amp; "|" &amp; Tabla410[[#This Row],[Entidad]]</f>
        <v>PI|Acoso sexual|Hombre|Quintana Roo</v>
      </c>
      <c r="I57" s="22" t="str">
        <f>Tabla410[[#This Row],[P2]] &amp; "|" &amp;Tabla410[[#This Row],[Agrupación]] &amp; "|" &amp; Tabla410[[#This Row],[Sexo]] &amp; "|" &amp; Tabla410[[#This Row],[Entidad]]</f>
        <v>PS|Acoso sexual|Hombre|Quintana Roo</v>
      </c>
      <c r="J57" s="9">
        <f>VLOOKUP(Tabla410[[#This Row],[Agrupación]],Tabla5[[#All],[name]:[id_1]],2,FALSE)</f>
        <v>6</v>
      </c>
      <c r="K57" s="9">
        <f>VLOOKUP(Tabla410[[#This Row],[Año]],Tabla6[[#All],[name]:[id_2]],2)</f>
        <v>16</v>
      </c>
      <c r="L57" s="9">
        <f>VLOOKUP(Tabla410[[#This Row],[Sexo]],Tabla8[[#All],[name]:[gender_id]],2,FALSE)</f>
        <v>2</v>
      </c>
      <c r="M57" s="9" t="str">
        <f>IF(LEN(Tabla410[[#This Row],[centros]])&gt;0,VLOOKUP(Tabla410[[#This Row],[centros]],Tabla2[[#All],[Centros]:[ID]],2,FALSE),"NULL")</f>
        <v>NULL</v>
      </c>
      <c r="N57" s="9">
        <f>VLOOKUP(Tabla410[[#This Row],[Entidad]],Tabla3[[#All],[name]:[ID_2]],2,FALSE)</f>
        <v>23</v>
      </c>
      <c r="O57" s="9">
        <f>IFERROR(VLOOKUP(Tabla410[[#This Row],[CLAVE PI]], Tabla10[], 10, FALSE), 0)</f>
        <v>0</v>
      </c>
      <c r="P57" s="42">
        <f>IFERROR(VLOOKUP(Tabla410[[#This Row],[CLAVE PS]], Tabla10[], 10, FALSE), 0)</f>
        <v>0</v>
      </c>
      <c r="Q57" s="48" t="str">
        <f t="shared" si="1"/>
        <v>INSERT INTO indicator_category_details (category_id, year_id, gender_id, center_id, state_id, PI, PS, status) VALUES (6, 16, 2, NULL, 23, 0, 0, 1);</v>
      </c>
    </row>
    <row r="58" spans="1:17" ht="15.75" x14ac:dyDescent="0.25">
      <c r="A58" s="52">
        <v>2015</v>
      </c>
      <c r="B58" s="60" t="s">
        <v>1046</v>
      </c>
      <c r="C58" s="60" t="s">
        <v>1050</v>
      </c>
      <c r="D58" s="34" t="s">
        <v>20</v>
      </c>
      <c r="E58" s="3" t="s">
        <v>1043</v>
      </c>
      <c r="F58" s="3" t="s">
        <v>741</v>
      </c>
      <c r="G58" s="4"/>
      <c r="H58" s="41" t="str">
        <f>Tabla410[[#This Row],[P1]] &amp; "|" &amp;Tabla410[[#This Row],[Agrupación]] &amp; "|" &amp; Tabla410[[#This Row],[Sexo]] &amp; "|" &amp; Tabla410[[#This Row],[Entidad]]</f>
        <v>PI|Acoso sexual|Hombre|San Luis Potosí</v>
      </c>
      <c r="I58" s="22" t="str">
        <f>Tabla410[[#This Row],[P2]] &amp; "|" &amp;Tabla410[[#This Row],[Agrupación]] &amp; "|" &amp; Tabla410[[#This Row],[Sexo]] &amp; "|" &amp; Tabla410[[#This Row],[Entidad]]</f>
        <v>PS|Acoso sexual|Hombre|San Luis Potosí</v>
      </c>
      <c r="J58" s="9">
        <f>VLOOKUP(Tabla410[[#This Row],[Agrupación]],Tabla5[[#All],[name]:[id_1]],2,FALSE)</f>
        <v>6</v>
      </c>
      <c r="K58" s="9">
        <f>VLOOKUP(Tabla410[[#This Row],[Año]],Tabla6[[#All],[name]:[id_2]],2)</f>
        <v>16</v>
      </c>
      <c r="L58" s="9">
        <f>VLOOKUP(Tabla410[[#This Row],[Sexo]],Tabla8[[#All],[name]:[gender_id]],2,FALSE)</f>
        <v>2</v>
      </c>
      <c r="M58" s="9" t="str">
        <f>IF(LEN(Tabla410[[#This Row],[centros]])&gt;0,VLOOKUP(Tabla410[[#This Row],[centros]],Tabla2[[#All],[Centros]:[ID]],2,FALSE),"NULL")</f>
        <v>NULL</v>
      </c>
      <c r="N58" s="9">
        <f>VLOOKUP(Tabla410[[#This Row],[Entidad]],Tabla3[[#All],[name]:[ID_2]],2,FALSE)</f>
        <v>24</v>
      </c>
      <c r="O58" s="9">
        <f>IFERROR(VLOOKUP(Tabla410[[#This Row],[CLAVE PI]], Tabla10[], 10, FALSE), 0)</f>
        <v>0</v>
      </c>
      <c r="P58" s="42">
        <f>IFERROR(VLOOKUP(Tabla410[[#This Row],[CLAVE PS]], Tabla10[], 10, FALSE), 0)</f>
        <v>0</v>
      </c>
      <c r="Q58" s="48" t="str">
        <f t="shared" si="1"/>
        <v>INSERT INTO indicator_category_details (category_id, year_id, gender_id, center_id, state_id, PI, PS, status) VALUES (6, 16, 2, NULL, 24, 0, 0, 1);</v>
      </c>
    </row>
    <row r="59" spans="1:17" ht="15.75" x14ac:dyDescent="0.25">
      <c r="A59" s="52">
        <v>2015</v>
      </c>
      <c r="B59" s="60" t="s">
        <v>1046</v>
      </c>
      <c r="C59" s="60" t="s">
        <v>1050</v>
      </c>
      <c r="D59" s="34" t="s">
        <v>20</v>
      </c>
      <c r="E59" s="3" t="s">
        <v>1043</v>
      </c>
      <c r="F59" s="3" t="s">
        <v>749</v>
      </c>
      <c r="G59" s="4"/>
      <c r="H59" s="41" t="str">
        <f>Tabla410[[#This Row],[P1]] &amp; "|" &amp;Tabla410[[#This Row],[Agrupación]] &amp; "|" &amp; Tabla410[[#This Row],[Sexo]] &amp; "|" &amp; Tabla410[[#This Row],[Entidad]]</f>
        <v>PI|Acoso sexual|Hombre|Sinaloa</v>
      </c>
      <c r="I59" s="22" t="str">
        <f>Tabla410[[#This Row],[P2]] &amp; "|" &amp;Tabla410[[#This Row],[Agrupación]] &amp; "|" &amp; Tabla410[[#This Row],[Sexo]] &amp; "|" &amp; Tabla410[[#This Row],[Entidad]]</f>
        <v>PS|Acoso sexual|Hombre|Sinaloa</v>
      </c>
      <c r="J59" s="9">
        <f>VLOOKUP(Tabla410[[#This Row],[Agrupación]],Tabla5[[#All],[name]:[id_1]],2,FALSE)</f>
        <v>6</v>
      </c>
      <c r="K59" s="9">
        <f>VLOOKUP(Tabla410[[#This Row],[Año]],Tabla6[[#All],[name]:[id_2]],2)</f>
        <v>16</v>
      </c>
      <c r="L59" s="9">
        <f>VLOOKUP(Tabla410[[#This Row],[Sexo]],Tabla8[[#All],[name]:[gender_id]],2,FALSE)</f>
        <v>2</v>
      </c>
      <c r="M59" s="9" t="str">
        <f>IF(LEN(Tabla410[[#This Row],[centros]])&gt;0,VLOOKUP(Tabla410[[#This Row],[centros]],Tabla2[[#All],[Centros]:[ID]],2,FALSE),"NULL")</f>
        <v>NULL</v>
      </c>
      <c r="N59" s="9">
        <f>VLOOKUP(Tabla410[[#This Row],[Entidad]],Tabla3[[#All],[name]:[ID_2]],2,FALSE)</f>
        <v>25</v>
      </c>
      <c r="O59" s="9">
        <f>IFERROR(VLOOKUP(Tabla410[[#This Row],[CLAVE PI]], Tabla10[], 10, FALSE), 0)</f>
        <v>0</v>
      </c>
      <c r="P59" s="42">
        <f>IFERROR(VLOOKUP(Tabla410[[#This Row],[CLAVE PS]], Tabla10[], 10, FALSE), 0)</f>
        <v>0</v>
      </c>
      <c r="Q59" s="48" t="str">
        <f t="shared" si="1"/>
        <v>INSERT INTO indicator_category_details (category_id, year_id, gender_id, center_id, state_id, PI, PS, status) VALUES (6, 16, 2, NULL, 25, 0, 0, 1);</v>
      </c>
    </row>
    <row r="60" spans="1:17" ht="15.75" x14ac:dyDescent="0.25">
      <c r="A60" s="52">
        <v>2015</v>
      </c>
      <c r="B60" s="60" t="s">
        <v>1046</v>
      </c>
      <c r="C60" s="60" t="s">
        <v>1050</v>
      </c>
      <c r="D60" s="34" t="s">
        <v>20</v>
      </c>
      <c r="E60" s="3" t="s">
        <v>1043</v>
      </c>
      <c r="F60" s="3" t="s">
        <v>755</v>
      </c>
      <c r="G60" s="4"/>
      <c r="H60" s="41" t="str">
        <f>Tabla410[[#This Row],[P1]] &amp; "|" &amp;Tabla410[[#This Row],[Agrupación]] &amp; "|" &amp; Tabla410[[#This Row],[Sexo]] &amp; "|" &amp; Tabla410[[#This Row],[Entidad]]</f>
        <v>PI|Acoso sexual|Hombre|Sonora</v>
      </c>
      <c r="I60" s="22" t="str">
        <f>Tabla410[[#This Row],[P2]] &amp; "|" &amp;Tabla410[[#This Row],[Agrupación]] &amp; "|" &amp; Tabla410[[#This Row],[Sexo]] &amp; "|" &amp; Tabla410[[#This Row],[Entidad]]</f>
        <v>PS|Acoso sexual|Hombre|Sonora</v>
      </c>
      <c r="J60" s="9">
        <f>VLOOKUP(Tabla410[[#This Row],[Agrupación]],Tabla5[[#All],[name]:[id_1]],2,FALSE)</f>
        <v>6</v>
      </c>
      <c r="K60" s="9">
        <f>VLOOKUP(Tabla410[[#This Row],[Año]],Tabla6[[#All],[name]:[id_2]],2)</f>
        <v>16</v>
      </c>
      <c r="L60" s="9">
        <f>VLOOKUP(Tabla410[[#This Row],[Sexo]],Tabla8[[#All],[name]:[gender_id]],2,FALSE)</f>
        <v>2</v>
      </c>
      <c r="M60" s="9" t="str">
        <f>IF(LEN(Tabla410[[#This Row],[centros]])&gt;0,VLOOKUP(Tabla410[[#This Row],[centros]],Tabla2[[#All],[Centros]:[ID]],2,FALSE),"NULL")</f>
        <v>NULL</v>
      </c>
      <c r="N60" s="9">
        <f>VLOOKUP(Tabla410[[#This Row],[Entidad]],Tabla3[[#All],[name]:[ID_2]],2,FALSE)</f>
        <v>26</v>
      </c>
      <c r="O60" s="9">
        <f>IFERROR(VLOOKUP(Tabla410[[#This Row],[CLAVE PI]], Tabla10[], 10, FALSE), 0)</f>
        <v>0</v>
      </c>
      <c r="P60" s="42">
        <f>IFERROR(VLOOKUP(Tabla410[[#This Row],[CLAVE PS]], Tabla10[], 10, FALSE), 0)</f>
        <v>0</v>
      </c>
      <c r="Q60" s="48" t="str">
        <f t="shared" si="1"/>
        <v>INSERT INTO indicator_category_details (category_id, year_id, gender_id, center_id, state_id, PI, PS, status) VALUES (6, 16, 2, NULL, 26, 0, 0, 1);</v>
      </c>
    </row>
    <row r="61" spans="1:17" ht="15.75" x14ac:dyDescent="0.25">
      <c r="A61" s="52">
        <v>2015</v>
      </c>
      <c r="B61" s="60" t="s">
        <v>1046</v>
      </c>
      <c r="C61" s="60" t="s">
        <v>1050</v>
      </c>
      <c r="D61" s="34" t="s">
        <v>20</v>
      </c>
      <c r="E61" s="3" t="s">
        <v>1043</v>
      </c>
      <c r="F61" s="3" t="s">
        <v>775</v>
      </c>
      <c r="G61" s="4"/>
      <c r="H61" s="41" t="str">
        <f>Tabla410[[#This Row],[P1]] &amp; "|" &amp;Tabla410[[#This Row],[Agrupación]] &amp; "|" &amp; Tabla410[[#This Row],[Sexo]] &amp; "|" &amp; Tabla410[[#This Row],[Entidad]]</f>
        <v>PI|Acoso sexual|Hombre|Tabasco</v>
      </c>
      <c r="I61" s="22" t="str">
        <f>Tabla410[[#This Row],[P2]] &amp; "|" &amp;Tabla410[[#This Row],[Agrupación]] &amp; "|" &amp; Tabla410[[#This Row],[Sexo]] &amp; "|" &amp; Tabla410[[#This Row],[Entidad]]</f>
        <v>PS|Acoso sexual|Hombre|Tabasco</v>
      </c>
      <c r="J61" s="9">
        <f>VLOOKUP(Tabla410[[#This Row],[Agrupación]],Tabla5[[#All],[name]:[id_1]],2,FALSE)</f>
        <v>6</v>
      </c>
      <c r="K61" s="9">
        <f>VLOOKUP(Tabla410[[#This Row],[Año]],Tabla6[[#All],[name]:[id_2]],2)</f>
        <v>16</v>
      </c>
      <c r="L61" s="9">
        <f>VLOOKUP(Tabla410[[#This Row],[Sexo]],Tabla8[[#All],[name]:[gender_id]],2,FALSE)</f>
        <v>2</v>
      </c>
      <c r="M61" s="9" t="str">
        <f>IF(LEN(Tabla410[[#This Row],[centros]])&gt;0,VLOOKUP(Tabla410[[#This Row],[centros]],Tabla2[[#All],[Centros]:[ID]],2,FALSE),"NULL")</f>
        <v>NULL</v>
      </c>
      <c r="N61" s="9">
        <f>VLOOKUP(Tabla410[[#This Row],[Entidad]],Tabla3[[#All],[name]:[ID_2]],2,FALSE)</f>
        <v>27</v>
      </c>
      <c r="O61" s="9">
        <f>IFERROR(VLOOKUP(Tabla410[[#This Row],[CLAVE PI]], Tabla10[], 10, FALSE), 0)</f>
        <v>0</v>
      </c>
      <c r="P61" s="42">
        <f>IFERROR(VLOOKUP(Tabla410[[#This Row],[CLAVE PS]], Tabla10[], 10, FALSE), 0)</f>
        <v>0</v>
      </c>
      <c r="Q61" s="48" t="str">
        <f t="shared" si="1"/>
        <v>INSERT INTO indicator_category_details (category_id, year_id, gender_id, center_id, state_id, PI, PS, status) VALUES (6, 16, 2, NULL, 27, 0, 0, 1);</v>
      </c>
    </row>
    <row r="62" spans="1:17" ht="15.75" x14ac:dyDescent="0.25">
      <c r="A62" s="52">
        <v>2015</v>
      </c>
      <c r="B62" s="60" t="s">
        <v>1046</v>
      </c>
      <c r="C62" s="60" t="s">
        <v>1050</v>
      </c>
      <c r="D62" s="34" t="s">
        <v>20</v>
      </c>
      <c r="E62" s="3" t="s">
        <v>1043</v>
      </c>
      <c r="F62" s="3" t="s">
        <v>785</v>
      </c>
      <c r="G62" s="4"/>
      <c r="H62" s="41" t="str">
        <f>Tabla410[[#This Row],[P1]] &amp; "|" &amp;Tabla410[[#This Row],[Agrupación]] &amp; "|" &amp; Tabla410[[#This Row],[Sexo]] &amp; "|" &amp; Tabla410[[#This Row],[Entidad]]</f>
        <v>PI|Acoso sexual|Hombre|Tamaulipas</v>
      </c>
      <c r="I62" s="22" t="str">
        <f>Tabla410[[#This Row],[P2]] &amp; "|" &amp;Tabla410[[#This Row],[Agrupación]] &amp; "|" &amp; Tabla410[[#This Row],[Sexo]] &amp; "|" &amp; Tabla410[[#This Row],[Entidad]]</f>
        <v>PS|Acoso sexual|Hombre|Tamaulipas</v>
      </c>
      <c r="J62" s="9">
        <f>VLOOKUP(Tabla410[[#This Row],[Agrupación]],Tabla5[[#All],[name]:[id_1]],2,FALSE)</f>
        <v>6</v>
      </c>
      <c r="K62" s="9">
        <f>VLOOKUP(Tabla410[[#This Row],[Año]],Tabla6[[#All],[name]:[id_2]],2)</f>
        <v>16</v>
      </c>
      <c r="L62" s="9">
        <f>VLOOKUP(Tabla410[[#This Row],[Sexo]],Tabla8[[#All],[name]:[gender_id]],2,FALSE)</f>
        <v>2</v>
      </c>
      <c r="M62" s="9" t="str">
        <f>IF(LEN(Tabla410[[#This Row],[centros]])&gt;0,VLOOKUP(Tabla410[[#This Row],[centros]],Tabla2[[#All],[Centros]:[ID]],2,FALSE),"NULL")</f>
        <v>NULL</v>
      </c>
      <c r="N62" s="9">
        <f>VLOOKUP(Tabla410[[#This Row],[Entidad]],Tabla3[[#All],[name]:[ID_2]],2,FALSE)</f>
        <v>28</v>
      </c>
      <c r="O62" s="9">
        <f>IFERROR(VLOOKUP(Tabla410[[#This Row],[CLAVE PI]], Tabla10[], 10, FALSE), 0)</f>
        <v>0</v>
      </c>
      <c r="P62" s="42">
        <f>IFERROR(VLOOKUP(Tabla410[[#This Row],[CLAVE PS]], Tabla10[], 10, FALSE), 0)</f>
        <v>0</v>
      </c>
      <c r="Q62" s="48" t="str">
        <f t="shared" si="1"/>
        <v>INSERT INTO indicator_category_details (category_id, year_id, gender_id, center_id, state_id, PI, PS, status) VALUES (6, 16, 2, NULL, 28, 0, 0, 1);</v>
      </c>
    </row>
    <row r="63" spans="1:17" ht="15.75" x14ac:dyDescent="0.25">
      <c r="A63" s="52">
        <v>2015</v>
      </c>
      <c r="B63" s="60" t="s">
        <v>1046</v>
      </c>
      <c r="C63" s="60" t="s">
        <v>1050</v>
      </c>
      <c r="D63" s="34" t="s">
        <v>20</v>
      </c>
      <c r="E63" s="3" t="s">
        <v>1043</v>
      </c>
      <c r="F63" s="3" t="s">
        <v>797</v>
      </c>
      <c r="G63" s="4"/>
      <c r="H63" s="41" t="str">
        <f>Tabla410[[#This Row],[P1]] &amp; "|" &amp;Tabla410[[#This Row],[Agrupación]] &amp; "|" &amp; Tabla410[[#This Row],[Sexo]] &amp; "|" &amp; Tabla410[[#This Row],[Entidad]]</f>
        <v>PI|Acoso sexual|Hombre|Tlaxcala</v>
      </c>
      <c r="I63" s="22" t="str">
        <f>Tabla410[[#This Row],[P2]] &amp; "|" &amp;Tabla410[[#This Row],[Agrupación]] &amp; "|" &amp; Tabla410[[#This Row],[Sexo]] &amp; "|" &amp; Tabla410[[#This Row],[Entidad]]</f>
        <v>PS|Acoso sexual|Hombre|Tlaxcala</v>
      </c>
      <c r="J63" s="9">
        <f>VLOOKUP(Tabla410[[#This Row],[Agrupación]],Tabla5[[#All],[name]:[id_1]],2,FALSE)</f>
        <v>6</v>
      </c>
      <c r="K63" s="9">
        <f>VLOOKUP(Tabla410[[#This Row],[Año]],Tabla6[[#All],[name]:[id_2]],2)</f>
        <v>16</v>
      </c>
      <c r="L63" s="9">
        <f>VLOOKUP(Tabla410[[#This Row],[Sexo]],Tabla8[[#All],[name]:[gender_id]],2,FALSE)</f>
        <v>2</v>
      </c>
      <c r="M63" s="9" t="str">
        <f>IF(LEN(Tabla410[[#This Row],[centros]])&gt;0,VLOOKUP(Tabla410[[#This Row],[centros]],Tabla2[[#All],[Centros]:[ID]],2,FALSE),"NULL")</f>
        <v>NULL</v>
      </c>
      <c r="N63" s="9">
        <f>VLOOKUP(Tabla410[[#This Row],[Entidad]],Tabla3[[#All],[name]:[ID_2]],2,FALSE)</f>
        <v>29</v>
      </c>
      <c r="O63" s="9">
        <f>IFERROR(VLOOKUP(Tabla410[[#This Row],[CLAVE PI]], Tabla10[], 10, FALSE), 0)</f>
        <v>0</v>
      </c>
      <c r="P63" s="42">
        <f>IFERROR(VLOOKUP(Tabla410[[#This Row],[CLAVE PS]], Tabla10[], 10, FALSE), 0)</f>
        <v>0</v>
      </c>
      <c r="Q63" s="48" t="str">
        <f t="shared" si="1"/>
        <v>INSERT INTO indicator_category_details (category_id, year_id, gender_id, center_id, state_id, PI, PS, status) VALUES (6, 16, 2, NULL, 29, 0, 0, 1);</v>
      </c>
    </row>
    <row r="64" spans="1:17" ht="15.75" x14ac:dyDescent="0.25">
      <c r="A64" s="52">
        <v>2015</v>
      </c>
      <c r="B64" s="60" t="s">
        <v>1046</v>
      </c>
      <c r="C64" s="60" t="s">
        <v>1050</v>
      </c>
      <c r="D64" s="34" t="s">
        <v>20</v>
      </c>
      <c r="E64" s="3" t="s">
        <v>1043</v>
      </c>
      <c r="F64" s="3" t="s">
        <v>802</v>
      </c>
      <c r="G64" s="4"/>
      <c r="H64" s="41" t="str">
        <f>Tabla410[[#This Row],[P1]] &amp; "|" &amp;Tabla410[[#This Row],[Agrupación]] &amp; "|" &amp; Tabla410[[#This Row],[Sexo]] &amp; "|" &amp; Tabla410[[#This Row],[Entidad]]</f>
        <v>PI|Acoso sexual|Hombre|Veracruz de Ignacio de la Llave</v>
      </c>
      <c r="I64" s="22" t="str">
        <f>Tabla410[[#This Row],[P2]] &amp; "|" &amp;Tabla410[[#This Row],[Agrupación]] &amp; "|" &amp; Tabla410[[#This Row],[Sexo]] &amp; "|" &amp; Tabla410[[#This Row],[Entidad]]</f>
        <v>PS|Acoso sexual|Hombre|Veracruz de Ignacio de la Llave</v>
      </c>
      <c r="J64" s="9">
        <f>VLOOKUP(Tabla410[[#This Row],[Agrupación]],Tabla5[[#All],[name]:[id_1]],2,FALSE)</f>
        <v>6</v>
      </c>
      <c r="K64" s="9">
        <f>VLOOKUP(Tabla410[[#This Row],[Año]],Tabla6[[#All],[name]:[id_2]],2)</f>
        <v>16</v>
      </c>
      <c r="L64" s="9">
        <f>VLOOKUP(Tabla410[[#This Row],[Sexo]],Tabla8[[#All],[name]:[gender_id]],2,FALSE)</f>
        <v>2</v>
      </c>
      <c r="M64" s="9" t="str">
        <f>IF(LEN(Tabla410[[#This Row],[centros]])&gt;0,VLOOKUP(Tabla410[[#This Row],[centros]],Tabla2[[#All],[Centros]:[ID]],2,FALSE),"NULL")</f>
        <v>NULL</v>
      </c>
      <c r="N64" s="9">
        <f>VLOOKUP(Tabla410[[#This Row],[Entidad]],Tabla3[[#All],[name]:[ID_2]],2,FALSE)</f>
        <v>30</v>
      </c>
      <c r="O64" s="9">
        <f>IFERROR(VLOOKUP(Tabla410[[#This Row],[CLAVE PI]], Tabla10[], 10, FALSE), 0)</f>
        <v>0</v>
      </c>
      <c r="P64" s="42">
        <f>IFERROR(VLOOKUP(Tabla410[[#This Row],[CLAVE PS]], Tabla10[], 10, FALSE), 0)</f>
        <v>0</v>
      </c>
      <c r="Q64" s="48" t="str">
        <f t="shared" si="1"/>
        <v>INSERT INTO indicator_category_details (category_id, year_id, gender_id, center_id, state_id, PI, PS, status) VALUES (6, 16, 2, NULL, 30, 0, 0, 1);</v>
      </c>
    </row>
    <row r="65" spans="1:17" ht="15.75" x14ac:dyDescent="0.25">
      <c r="A65" s="52">
        <v>2015</v>
      </c>
      <c r="B65" s="60" t="s">
        <v>1046</v>
      </c>
      <c r="C65" s="60" t="s">
        <v>1050</v>
      </c>
      <c r="D65" s="34" t="s">
        <v>20</v>
      </c>
      <c r="E65" s="3" t="s">
        <v>1043</v>
      </c>
      <c r="F65" s="3" t="s">
        <v>822</v>
      </c>
      <c r="G65" s="4"/>
      <c r="H65" s="41" t="str">
        <f>Tabla410[[#This Row],[P1]] &amp; "|" &amp;Tabla410[[#This Row],[Agrupación]] &amp; "|" &amp; Tabla410[[#This Row],[Sexo]] &amp; "|" &amp; Tabla410[[#This Row],[Entidad]]</f>
        <v>PI|Acoso sexual|Hombre|Yucatán</v>
      </c>
      <c r="I65" s="22" t="str">
        <f>Tabla410[[#This Row],[P2]] &amp; "|" &amp;Tabla410[[#This Row],[Agrupación]] &amp; "|" &amp; Tabla410[[#This Row],[Sexo]] &amp; "|" &amp; Tabla410[[#This Row],[Entidad]]</f>
        <v>PS|Acoso sexual|Hombre|Yucatán</v>
      </c>
      <c r="J65" s="9">
        <f>VLOOKUP(Tabla410[[#This Row],[Agrupación]],Tabla5[[#All],[name]:[id_1]],2,FALSE)</f>
        <v>6</v>
      </c>
      <c r="K65" s="9">
        <f>VLOOKUP(Tabla410[[#This Row],[Año]],Tabla6[[#All],[name]:[id_2]],2)</f>
        <v>16</v>
      </c>
      <c r="L65" s="9">
        <f>VLOOKUP(Tabla410[[#This Row],[Sexo]],Tabla8[[#All],[name]:[gender_id]],2,FALSE)</f>
        <v>2</v>
      </c>
      <c r="M65" s="9" t="str">
        <f>IF(LEN(Tabla410[[#This Row],[centros]])&gt;0,VLOOKUP(Tabla410[[#This Row],[centros]],Tabla2[[#All],[Centros]:[ID]],2,FALSE),"NULL")</f>
        <v>NULL</v>
      </c>
      <c r="N65" s="9">
        <f>VLOOKUP(Tabla410[[#This Row],[Entidad]],Tabla3[[#All],[name]:[ID_2]],2,FALSE)</f>
        <v>31</v>
      </c>
      <c r="O65" s="9">
        <f>IFERROR(VLOOKUP(Tabla410[[#This Row],[CLAVE PI]], Tabla10[], 10, FALSE), 0)</f>
        <v>0</v>
      </c>
      <c r="P65" s="42">
        <f>IFERROR(VLOOKUP(Tabla410[[#This Row],[CLAVE PS]], Tabla10[], 10, FALSE), 0)</f>
        <v>0</v>
      </c>
      <c r="Q65" s="48" t="str">
        <f t="shared" si="1"/>
        <v>INSERT INTO indicator_category_details (category_id, year_id, gender_id, center_id, state_id, PI, PS, status) VALUES (6, 16, 2, NULL, 31, 0, 0, 1);</v>
      </c>
    </row>
    <row r="66" spans="1:17" ht="15.75" x14ac:dyDescent="0.25">
      <c r="A66" s="52">
        <v>2015</v>
      </c>
      <c r="B66" s="63" t="s">
        <v>1046</v>
      </c>
      <c r="C66" s="63" t="s">
        <v>1050</v>
      </c>
      <c r="D66" s="34" t="s">
        <v>20</v>
      </c>
      <c r="E66" s="3" t="s">
        <v>1043</v>
      </c>
      <c r="F66" s="11" t="s">
        <v>827</v>
      </c>
      <c r="G66" s="12"/>
      <c r="H66" s="43" t="str">
        <f>Tabla410[[#This Row],[P1]] &amp; "|" &amp;Tabla410[[#This Row],[Agrupación]] &amp; "|" &amp; Tabla410[[#This Row],[Sexo]] &amp; "|" &amp; Tabla410[[#This Row],[Entidad]]</f>
        <v>PI|Acoso sexual|Hombre|Zacatecas</v>
      </c>
      <c r="I66" s="23" t="str">
        <f>Tabla410[[#This Row],[P2]] &amp; "|" &amp;Tabla410[[#This Row],[Agrupación]] &amp; "|" &amp; Tabla410[[#This Row],[Sexo]] &amp; "|" &amp; Tabla410[[#This Row],[Entidad]]</f>
        <v>PS|Acoso sexual|Hombre|Zacatecas</v>
      </c>
      <c r="J66" s="13">
        <f>VLOOKUP(Tabla410[[#This Row],[Agrupación]],Tabla5[[#All],[name]:[id_1]],2,FALSE)</f>
        <v>6</v>
      </c>
      <c r="K66" s="13">
        <f>VLOOKUP(Tabla410[[#This Row],[Año]],Tabla6[[#All],[name]:[id_2]],2)</f>
        <v>16</v>
      </c>
      <c r="L66" s="13">
        <f>VLOOKUP(Tabla410[[#This Row],[Sexo]],Tabla8[[#All],[name]:[gender_id]],2,FALSE)</f>
        <v>2</v>
      </c>
      <c r="M66" s="13" t="str">
        <f>IF(LEN(Tabla410[[#This Row],[centros]])&gt;0,VLOOKUP(Tabla410[[#This Row],[centros]],Tabla2[[#All],[Centros]:[ID]],2,FALSE),"NULL")</f>
        <v>NULL</v>
      </c>
      <c r="N66" s="13">
        <f>VLOOKUP(Tabla410[[#This Row],[Entidad]],Tabla3[[#All],[name]:[ID_2]],2,FALSE)</f>
        <v>32</v>
      </c>
      <c r="O66" s="13">
        <f>IFERROR(VLOOKUP(Tabla410[[#This Row],[CLAVE PI]], Tabla10[], 10, FALSE), 0)</f>
        <v>0</v>
      </c>
      <c r="P66" s="64">
        <f>IFERROR(VLOOKUP(Tabla410[[#This Row],[CLAVE PS]], Tabla10[], 10, FALSE), 0)</f>
        <v>0</v>
      </c>
      <c r="Q66" s="49" t="str">
        <f t="shared" si="1"/>
        <v>INSERT INTO indicator_category_details (category_id, year_id, gender_id, center_id, state_id, PI, PS, status) VALUES (6, 16, 2, NULL, 32, 0, 0, 1);</v>
      </c>
    </row>
  </sheetData>
  <mergeCells count="1">
    <mergeCell ref="O1:P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2015-06-05T18:19:34Z</dcterms:created>
  <dcterms:modified xsi:type="dcterms:W3CDTF">2026-02-03T16:46:45Z</dcterms:modified>
</cp:coreProperties>
</file>
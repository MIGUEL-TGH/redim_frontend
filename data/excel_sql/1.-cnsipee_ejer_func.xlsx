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PPI 11\Documents\GitHub\REDIM_1\data\excel_sql\"/>
    </mc:Choice>
  </mc:AlternateContent>
  <xr:revisionPtr revIDLastSave="0" documentId="13_ncr:1_{6B19105E-FBF1-43D3-A6B4-F02D2787288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EMP" sheetId="2" r:id="rId1"/>
    <sheet name="REPORT" sheetId="3" r:id="rId2"/>
  </sheets>
  <definedNames>
    <definedName name="_xlnm._FilterDatabase" localSheetId="0" hidden="1">TEMP!$A$1:$J$257</definedName>
    <definedName name="cnsipee_ejer_func_Tableau" localSheetId="0">TEMP!$A$1:$J$65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" i="3" l="1" a="1"/>
  <c r="B2" i="3" s="1"/>
  <c r="B3" i="3" l="1" a="1"/>
  <c r="B3" i="3" s="1"/>
  <c r="M2" i="3"/>
  <c r="C2" i="3"/>
  <c r="E2" i="3" s="1"/>
  <c r="D2" i="3"/>
  <c r="B4" i="3" l="1" a="1"/>
  <c r="B4" i="3" s="1"/>
  <c r="B5" i="3" s="1" a="1"/>
  <c r="B5" i="3" s="1"/>
  <c r="M3" i="3"/>
  <c r="D3" i="3"/>
  <c r="C3" i="3"/>
  <c r="E3" i="3" s="1"/>
  <c r="M4" i="3" l="1"/>
  <c r="M5" i="3" s="1"/>
  <c r="B6" i="3" a="1"/>
  <c r="B6" i="3" s="1"/>
  <c r="D4" i="3"/>
  <c r="C4" i="3"/>
  <c r="E4" i="3" s="1"/>
  <c r="M6" i="3" l="1"/>
  <c r="B7" i="3" a="1"/>
  <c r="B7" i="3" s="1"/>
  <c r="B8" i="3" s="1" a="1"/>
  <c r="B8" i="3" s="1"/>
  <c r="D5" i="3"/>
  <c r="C6" i="3"/>
  <c r="E6" i="3" s="1"/>
  <c r="C5" i="3"/>
  <c r="E5" i="3" s="1"/>
  <c r="M7" i="3" l="1"/>
  <c r="M8" i="3" s="1"/>
  <c r="B9" i="3" a="1"/>
  <c r="B9" i="3" s="1"/>
  <c r="D6" i="3"/>
  <c r="M9" i="3" l="1"/>
  <c r="B10" i="3" a="1"/>
  <c r="B10" i="3" s="1"/>
  <c r="C7" i="3"/>
  <c r="E7" i="3" s="1"/>
  <c r="D7" i="3"/>
  <c r="M10" i="3" l="1"/>
  <c r="B11" i="3" a="1"/>
  <c r="B11" i="3" s="1"/>
  <c r="D9" i="3"/>
  <c r="C9" i="3"/>
  <c r="E9" i="3" s="1"/>
  <c r="D8" i="3"/>
  <c r="C8" i="3"/>
  <c r="E8" i="3" s="1"/>
  <c r="M11" i="3" l="1"/>
  <c r="B12" i="3" a="1"/>
  <c r="B12" i="3" s="1"/>
  <c r="D10" i="3"/>
  <c r="C10" i="3"/>
  <c r="E10" i="3" s="1"/>
  <c r="M12" i="3" l="1"/>
  <c r="B13" i="3" a="1"/>
  <c r="B13" i="3" s="1"/>
  <c r="D11" i="3"/>
  <c r="C11" i="3"/>
  <c r="E11" i="3" s="1"/>
  <c r="M13" i="3" l="1"/>
  <c r="B14" i="3" a="1"/>
  <c r="B14" i="3" s="1"/>
  <c r="B15" i="3" s="1" a="1"/>
  <c r="B15" i="3" s="1"/>
  <c r="B16" i="3" s="1" a="1"/>
  <c r="B16" i="3" s="1"/>
  <c r="C12" i="3"/>
  <c r="E12" i="3" s="1"/>
  <c r="D12" i="3"/>
  <c r="M14" i="3" l="1"/>
  <c r="M15" i="3" s="1"/>
  <c r="M16" i="3" s="1"/>
  <c r="B17" i="3" a="1"/>
  <c r="B17" i="3" s="1"/>
  <c r="M17" i="3" s="1"/>
  <c r="C13" i="3"/>
  <c r="E13" i="3" s="1"/>
  <c r="D13" i="3"/>
  <c r="D14" i="3"/>
  <c r="B18" i="3" l="1" a="1"/>
  <c r="B18" i="3" s="1"/>
  <c r="B19" i="3" s="1" a="1"/>
  <c r="B19" i="3" s="1"/>
  <c r="B20" i="3" s="1" a="1"/>
  <c r="B20" i="3" s="1"/>
  <c r="B21" i="3" s="1" a="1"/>
  <c r="B21" i="3" s="1"/>
  <c r="B22" i="3" s="1" a="1"/>
  <c r="B22" i="3" s="1"/>
  <c r="B23" i="3" s="1" a="1"/>
  <c r="B23" i="3" s="1"/>
  <c r="B24" i="3" s="1" a="1"/>
  <c r="B24" i="3" s="1"/>
  <c r="B25" i="3" s="1" a="1"/>
  <c r="B25" i="3" s="1"/>
  <c r="B26" i="3" s="1" a="1"/>
  <c r="B26" i="3" s="1"/>
  <c r="B27" i="3" s="1" a="1"/>
  <c r="B27" i="3" s="1"/>
  <c r="B28" i="3" s="1" a="1"/>
  <c r="B28" i="3" s="1"/>
  <c r="B29" i="3" s="1" a="1"/>
  <c r="B29" i="3" s="1"/>
  <c r="B30" i="3" s="1" a="1"/>
  <c r="B30" i="3" s="1"/>
  <c r="B31" i="3" s="1" a="1"/>
  <c r="B31" i="3" s="1"/>
  <c r="C14" i="3"/>
  <c r="E14" i="3" s="1"/>
  <c r="M18" i="3" l="1"/>
  <c r="M19" i="3" s="1"/>
  <c r="M20" i="3" s="1"/>
  <c r="M21" i="3" s="1"/>
  <c r="M22" i="3" s="1"/>
  <c r="M23" i="3" s="1"/>
  <c r="M24" i="3" s="1"/>
  <c r="D15" i="3"/>
  <c r="C15" i="3"/>
  <c r="E15" i="3" s="1"/>
  <c r="M25" i="3" l="1"/>
  <c r="M26" i="3" s="1"/>
  <c r="M27" i="3" s="1"/>
  <c r="M28" i="3" s="1"/>
  <c r="M29" i="3" s="1"/>
  <c r="M30" i="3" s="1"/>
  <c r="M31" i="3" s="1"/>
  <c r="C16" i="3"/>
  <c r="E16" i="3" s="1"/>
  <c r="D16" i="3"/>
  <c r="H2" i="3" l="1"/>
  <c r="C17" i="3"/>
  <c r="E17" i="3" s="1"/>
  <c r="D17" i="3"/>
  <c r="D18" i="3" l="1"/>
  <c r="C18" i="3"/>
  <c r="E18" i="3" s="1"/>
  <c r="D19" i="3" l="1"/>
  <c r="C19" i="3"/>
  <c r="E19" i="3" s="1"/>
  <c r="D20" i="3" l="1"/>
  <c r="C20" i="3"/>
  <c r="E20" i="3" s="1"/>
  <c r="C21" i="3" l="1"/>
  <c r="E21" i="3" s="1"/>
  <c r="D21" i="3"/>
  <c r="D22" i="3" l="1"/>
  <c r="C22" i="3"/>
  <c r="E22" i="3" s="1"/>
  <c r="C23" i="3" l="1"/>
  <c r="E23" i="3" s="1"/>
  <c r="D23" i="3"/>
  <c r="C24" i="3" l="1"/>
  <c r="E24" i="3" s="1"/>
  <c r="D24" i="3"/>
  <c r="D25" i="3" l="1"/>
  <c r="C25" i="3"/>
  <c r="E25" i="3" s="1"/>
  <c r="D26" i="3" l="1"/>
  <c r="C26" i="3"/>
  <c r="E26" i="3" s="1"/>
  <c r="D27" i="3" l="1"/>
  <c r="C27" i="3"/>
  <c r="E27" i="3" s="1"/>
  <c r="C28" i="3" l="1"/>
  <c r="E28" i="3" s="1"/>
  <c r="D28" i="3"/>
  <c r="C29" i="3" l="1"/>
  <c r="E29" i="3" s="1"/>
  <c r="D29" i="3"/>
  <c r="D30" i="3" l="1"/>
  <c r="C30" i="3"/>
  <c r="E30" i="3" s="1"/>
  <c r="G2" i="3" l="1"/>
  <c r="K2" i="3" s="1"/>
  <c r="D31" i="3"/>
  <c r="J2" i="3" s="1"/>
  <c r="C31" i="3"/>
  <c r="E31" i="3" l="1"/>
  <c r="L2" i="3" s="1"/>
  <c r="I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cnsipee_ejer_func Tableau1" type="6" refreshedVersion="7" background="1" saveData="1">
    <textPr codePage="65001" sourceFile="C:\Users\IPPI 11\Downloads\cnsipee_ejer_func Tableau.csv" tab="0" semicolon="1">
      <textFields count="10"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<sst xmlns="http://schemas.openxmlformats.org/spreadsheetml/2006/main" count="1813" uniqueCount="53">
  <si>
    <t>Total</t>
  </si>
  <si>
    <t>Centro especializado de tratamiento o internamiento para adolescentes</t>
  </si>
  <si>
    <t>Porcentaje</t>
  </si>
  <si>
    <t>Tasa</t>
  </si>
  <si>
    <t>year</t>
  </si>
  <si>
    <t>population</t>
  </si>
  <si>
    <t>crime</t>
  </si>
  <si>
    <t>gender</t>
  </si>
  <si>
    <t>state</t>
  </si>
  <si>
    <t>value</t>
  </si>
  <si>
    <t>rango_fechas</t>
  </si>
  <si>
    <t>rows_in</t>
  </si>
  <si>
    <t>rows_out</t>
  </si>
  <si>
    <t>num</t>
  </si>
  <si>
    <t>num_fechas</t>
  </si>
  <si>
    <t>FECHAS</t>
  </si>
  <si>
    <t>Delitos</t>
  </si>
  <si>
    <t>Mujer</t>
  </si>
  <si>
    <t>Aguascalientes</t>
  </si>
  <si>
    <t>Baja California</t>
  </si>
  <si>
    <t>Baja California Sur</t>
  </si>
  <si>
    <t>Campeche</t>
  </si>
  <si>
    <t>Coahuila de Zaragoza</t>
  </si>
  <si>
    <t>Colima</t>
  </si>
  <si>
    <t>Chiapas</t>
  </si>
  <si>
    <t>Chihuahua</t>
  </si>
  <si>
    <t>Ciudad de México</t>
  </si>
  <si>
    <t>Durango</t>
  </si>
  <si>
    <t>Guanajuato</t>
  </si>
  <si>
    <t>Guerrero</t>
  </si>
  <si>
    <t>Hidalgo</t>
  </si>
  <si>
    <t>Jalisco</t>
  </si>
  <si>
    <t>México</t>
  </si>
  <si>
    <t>Michoacán de Ocampo</t>
  </si>
  <si>
    <t>Morelos</t>
  </si>
  <si>
    <t>Nayarit</t>
  </si>
  <si>
    <t>Nuevo León</t>
  </si>
  <si>
    <t>Oaxaca</t>
  </si>
  <si>
    <t>Puebla</t>
  </si>
  <si>
    <t>Querétaro</t>
  </si>
  <si>
    <t>Quintana Roo</t>
  </si>
  <si>
    <t>San Luis Potosí</t>
  </si>
  <si>
    <t>Sinaloa</t>
  </si>
  <si>
    <t>Sonora</t>
  </si>
  <si>
    <t>Tabasco</t>
  </si>
  <si>
    <t>Tamaulipas</t>
  </si>
  <si>
    <t>Tlaxcala</t>
  </si>
  <si>
    <t>Veracruz de Ignacio de la Llave</t>
  </si>
  <si>
    <t>Yucatán</t>
  </si>
  <si>
    <t>Zacatecas</t>
  </si>
  <si>
    <t>Hombre</t>
  </si>
  <si>
    <t>Delitos de personas en Centros penitenciarios</t>
  </si>
  <si>
    <t>Delitos contra la salud relacionados con narcóticos en su modalidad de narcomenudeo - No especificado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</si>
</sst>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17" fillId="17" borderId="0" xfId="26" applyAlignment="1">
      <alignment horizontal="center" vertical="top"/>
    </xf>
    <xf numFmtId="0" fontId="17" fillId="17" borderId="0" xfId="26" applyAlignment="1">
      <alignment horizontal="left" vertical="top"/>
    </xf>
    <xf numFmtId="0" fontId="0" fillId="0" borderId="10" xfId="0" applyBorder="1"/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7" fillId="17" borderId="10" xfId="26" applyBorder="1"/>
    <xf numFmtId="0" fontId="17" fillId="17" borderId="0" xfId="26"/>
    <xf numFmtId="0" fontId="17" fillId="17" borderId="11" xfId="26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6"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nsipee_ejer_func Tableau" connectionId="1" xr16:uid="{00000000-0016-0000-0000-000000000000}" autoFormatId="16" applyNumberFormats="0" applyBorderFormats="0" applyFontFormats="0" applyPatternFormats="0" applyAlignmentFormats="0" applyWidthHeightFormats="0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420EC4D-2FED-4128-8343-27034AE05F62}" name="Tabla1" displayName="Tabla1" ref="A1:E31" totalsRowShown="0" dataDxfId="5" headerRowCellStyle="Énfasis3" dataCellStyle="Énfasis1">
  <autoFilter ref="A1:E31" xr:uid="{F420EC4D-2FED-4128-8343-27034AE05F62}"/>
  <tableColumns count="5">
    <tableColumn id="5" xr3:uid="{A4E17DF3-34A6-4047-9561-8A633241B9E0}" name="num" dataDxfId="4"/>
    <tableColumn id="2" xr3:uid="{9F40A34F-4548-409F-87D6-EBBB861E4CB2}" name="rango_fechas" dataDxfId="3">
      <calculatedColumnFormula array="1">IFERROR(INDEX(TEMP!$A$2:$A$10000,MATCH(0,COUNTIF($B$1:B1,TEMP!$A$2:$A$10000),0)),0)</calculatedColumnFormula>
    </tableColumn>
    <tableColumn id="1" xr3:uid="{FBF8BB08-EF59-4FFD-A384-05375EAA1902}" name="value" dataDxfId="2">
      <calculatedColumnFormula>SUMIF(TEMP!$A:$A,B2,TEMP!$H:$H)</calculatedColumnFormula>
    </tableColumn>
    <tableColumn id="3" xr3:uid="{228355E4-F71C-4373-8BD4-EEAB5EDA2666}" name="rows_in" dataDxfId="1">
      <calculatedColumnFormula>IF(LEN(Tabla1[[#This Row],[rango_fechas]]) &gt; 0, COUNTIF(TEMP!$A:$A,B2), 0)</calculatedColumnFormula>
    </tableColumn>
    <tableColumn id="4" xr3:uid="{15E21E18-4F9B-4EBD-9211-0181CED4454E}" name="rows_out" dataDxfId="0">
      <calculatedColumnFormula>IF(Tabla1[[#This Row],[value]] &gt; 1, 64, 0)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49"/>
  <sheetViews>
    <sheetView tabSelected="1" zoomScaleNormal="100" workbookViewId="0">
      <pane ySplit="1" topLeftCell="A2" activePane="bottomLeft" state="frozen"/>
      <selection activeCell="D1" sqref="D1"/>
      <selection pane="bottomLeft" activeCell="A2" sqref="A2:J449"/>
    </sheetView>
  </sheetViews>
  <sheetFormatPr baseColWidth="10" defaultRowHeight="15" x14ac:dyDescent="0.25"/>
  <cols>
    <col min="1" max="1" width="9.5703125" bestFit="1" customWidth="1"/>
    <col min="2" max="3" width="40.7109375" customWidth="1"/>
    <col min="4" max="4" width="15.140625" bestFit="1" customWidth="1"/>
    <col min="5" max="5" width="33.5703125" customWidth="1"/>
    <col min="6" max="6" width="21.28515625" customWidth="1"/>
    <col min="7" max="10" width="10.7109375" customWidth="1"/>
  </cols>
  <sheetData>
    <row r="1" spans="1:10" ht="24.95" customHeight="1" x14ac:dyDescent="0.25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2" t="s">
        <v>1</v>
      </c>
      <c r="G1" s="1" t="s">
        <v>0</v>
      </c>
      <c r="H1" s="1" t="s">
        <v>9</v>
      </c>
      <c r="I1" s="1" t="s">
        <v>2</v>
      </c>
      <c r="J1" s="1" t="s">
        <v>3</v>
      </c>
    </row>
    <row r="2" spans="1:10" x14ac:dyDescent="0.25">
      <c r="A2">
        <v>2016</v>
      </c>
      <c r="B2" t="s">
        <v>51</v>
      </c>
      <c r="C2" t="s">
        <v>52</v>
      </c>
      <c r="D2" t="s">
        <v>17</v>
      </c>
      <c r="E2" t="s">
        <v>18</v>
      </c>
      <c r="H2">
        <v>0</v>
      </c>
    </row>
    <row r="3" spans="1:10" x14ac:dyDescent="0.25">
      <c r="A3">
        <v>2016</v>
      </c>
      <c r="B3" t="s">
        <v>51</v>
      </c>
      <c r="C3" t="s">
        <v>52</v>
      </c>
      <c r="D3" t="s">
        <v>17</v>
      </c>
      <c r="E3" t="s">
        <v>19</v>
      </c>
      <c r="H3">
        <v>135</v>
      </c>
    </row>
    <row r="4" spans="1:10" x14ac:dyDescent="0.25">
      <c r="A4">
        <v>2016</v>
      </c>
      <c r="B4" t="s">
        <v>51</v>
      </c>
      <c r="C4" t="s">
        <v>52</v>
      </c>
      <c r="D4" t="s">
        <v>17</v>
      </c>
      <c r="E4" t="s">
        <v>20</v>
      </c>
      <c r="H4">
        <v>0</v>
      </c>
    </row>
    <row r="5" spans="1:10" x14ac:dyDescent="0.25">
      <c r="A5">
        <v>2016</v>
      </c>
      <c r="B5" t="s">
        <v>51</v>
      </c>
      <c r="C5" t="s">
        <v>52</v>
      </c>
      <c r="D5" t="s">
        <v>17</v>
      </c>
      <c r="E5" t="s">
        <v>21</v>
      </c>
      <c r="H5">
        <v>0</v>
      </c>
    </row>
    <row r="6" spans="1:10" x14ac:dyDescent="0.25">
      <c r="A6">
        <v>2016</v>
      </c>
      <c r="B6" t="s">
        <v>51</v>
      </c>
      <c r="C6" t="s">
        <v>52</v>
      </c>
      <c r="D6" t="s">
        <v>17</v>
      </c>
      <c r="E6" t="s">
        <v>24</v>
      </c>
      <c r="H6">
        <v>0</v>
      </c>
    </row>
    <row r="7" spans="1:10" x14ac:dyDescent="0.25">
      <c r="A7">
        <v>2016</v>
      </c>
      <c r="B7" t="s">
        <v>51</v>
      </c>
      <c r="C7" t="s">
        <v>52</v>
      </c>
      <c r="D7" t="s">
        <v>17</v>
      </c>
      <c r="E7" t="s">
        <v>25</v>
      </c>
      <c r="H7">
        <v>0</v>
      </c>
    </row>
    <row r="8" spans="1:10" x14ac:dyDescent="0.25">
      <c r="A8">
        <v>2016</v>
      </c>
      <c r="B8" t="s">
        <v>51</v>
      </c>
      <c r="C8" t="s">
        <v>52</v>
      </c>
      <c r="D8" t="s">
        <v>17</v>
      </c>
      <c r="E8" t="s">
        <v>26</v>
      </c>
      <c r="H8">
        <v>0</v>
      </c>
    </row>
    <row r="9" spans="1:10" x14ac:dyDescent="0.25">
      <c r="A9">
        <v>2016</v>
      </c>
      <c r="B9" t="s">
        <v>51</v>
      </c>
      <c r="C9" t="s">
        <v>52</v>
      </c>
      <c r="D9" t="s">
        <v>17</v>
      </c>
      <c r="E9" t="s">
        <v>22</v>
      </c>
      <c r="H9">
        <v>0</v>
      </c>
    </row>
    <row r="10" spans="1:10" x14ac:dyDescent="0.25">
      <c r="A10">
        <v>2016</v>
      </c>
      <c r="B10" t="s">
        <v>51</v>
      </c>
      <c r="C10" t="s">
        <v>52</v>
      </c>
      <c r="D10" t="s">
        <v>17</v>
      </c>
      <c r="E10" t="s">
        <v>23</v>
      </c>
      <c r="H10">
        <v>0</v>
      </c>
    </row>
    <row r="11" spans="1:10" x14ac:dyDescent="0.25">
      <c r="A11">
        <v>2016</v>
      </c>
      <c r="B11" t="s">
        <v>51</v>
      </c>
      <c r="C11" t="s">
        <v>52</v>
      </c>
      <c r="D11" t="s">
        <v>17</v>
      </c>
      <c r="E11" t="s">
        <v>27</v>
      </c>
      <c r="H11">
        <v>0</v>
      </c>
    </row>
    <row r="12" spans="1:10" x14ac:dyDescent="0.25">
      <c r="A12">
        <v>2016</v>
      </c>
      <c r="B12" t="s">
        <v>51</v>
      </c>
      <c r="C12" t="s">
        <v>52</v>
      </c>
      <c r="D12" t="s">
        <v>17</v>
      </c>
      <c r="E12" t="s">
        <v>28</v>
      </c>
      <c r="H12">
        <v>0</v>
      </c>
    </row>
    <row r="13" spans="1:10" x14ac:dyDescent="0.25">
      <c r="A13">
        <v>2016</v>
      </c>
      <c r="B13" t="s">
        <v>51</v>
      </c>
      <c r="C13" t="s">
        <v>52</v>
      </c>
      <c r="D13" t="s">
        <v>17</v>
      </c>
      <c r="E13" t="s">
        <v>29</v>
      </c>
      <c r="H13">
        <v>0</v>
      </c>
    </row>
    <row r="14" spans="1:10" x14ac:dyDescent="0.25">
      <c r="A14">
        <v>2016</v>
      </c>
      <c r="B14" t="s">
        <v>51</v>
      </c>
      <c r="C14" t="s">
        <v>52</v>
      </c>
      <c r="D14" t="s">
        <v>17</v>
      </c>
      <c r="E14" t="s">
        <v>30</v>
      </c>
      <c r="H14">
        <v>0</v>
      </c>
    </row>
    <row r="15" spans="1:10" x14ac:dyDescent="0.25">
      <c r="A15">
        <v>2016</v>
      </c>
      <c r="B15" t="s">
        <v>51</v>
      </c>
      <c r="C15" t="s">
        <v>52</v>
      </c>
      <c r="D15" t="s">
        <v>17</v>
      </c>
      <c r="E15" t="s">
        <v>31</v>
      </c>
      <c r="H15">
        <v>0</v>
      </c>
    </row>
    <row r="16" spans="1:10" x14ac:dyDescent="0.25">
      <c r="A16">
        <v>2016</v>
      </c>
      <c r="B16" t="s">
        <v>51</v>
      </c>
      <c r="C16" t="s">
        <v>52</v>
      </c>
      <c r="D16" t="s">
        <v>17</v>
      </c>
      <c r="E16" t="s">
        <v>33</v>
      </c>
      <c r="H16">
        <v>25</v>
      </c>
    </row>
    <row r="17" spans="1:8" x14ac:dyDescent="0.25">
      <c r="A17">
        <v>2016</v>
      </c>
      <c r="B17" t="s">
        <v>51</v>
      </c>
      <c r="C17" t="s">
        <v>52</v>
      </c>
      <c r="D17" t="s">
        <v>17</v>
      </c>
      <c r="E17" t="s">
        <v>34</v>
      </c>
      <c r="H17">
        <v>0</v>
      </c>
    </row>
    <row r="18" spans="1:8" x14ac:dyDescent="0.25">
      <c r="A18">
        <v>2016</v>
      </c>
      <c r="B18" t="s">
        <v>51</v>
      </c>
      <c r="C18" t="s">
        <v>52</v>
      </c>
      <c r="D18" t="s">
        <v>17</v>
      </c>
      <c r="E18" t="s">
        <v>32</v>
      </c>
      <c r="H18">
        <v>0</v>
      </c>
    </row>
    <row r="19" spans="1:8" x14ac:dyDescent="0.25">
      <c r="A19">
        <v>2016</v>
      </c>
      <c r="B19" t="s">
        <v>51</v>
      </c>
      <c r="C19" t="s">
        <v>52</v>
      </c>
      <c r="D19" t="s">
        <v>17</v>
      </c>
      <c r="E19" t="s">
        <v>35</v>
      </c>
      <c r="H19">
        <v>0</v>
      </c>
    </row>
    <row r="20" spans="1:8" x14ac:dyDescent="0.25">
      <c r="A20">
        <v>2016</v>
      </c>
      <c r="B20" t="s">
        <v>51</v>
      </c>
      <c r="C20" t="s">
        <v>52</v>
      </c>
      <c r="D20" t="s">
        <v>17</v>
      </c>
      <c r="E20" t="s">
        <v>36</v>
      </c>
      <c r="H20">
        <v>0</v>
      </c>
    </row>
    <row r="21" spans="1:8" x14ac:dyDescent="0.25">
      <c r="A21">
        <v>2016</v>
      </c>
      <c r="B21" t="s">
        <v>51</v>
      </c>
      <c r="C21" t="s">
        <v>52</v>
      </c>
      <c r="D21" t="s">
        <v>17</v>
      </c>
      <c r="E21" t="s">
        <v>37</v>
      </c>
      <c r="H21">
        <v>0</v>
      </c>
    </row>
    <row r="22" spans="1:8" x14ac:dyDescent="0.25">
      <c r="A22">
        <v>2016</v>
      </c>
      <c r="B22" t="s">
        <v>51</v>
      </c>
      <c r="C22" t="s">
        <v>52</v>
      </c>
      <c r="D22" t="s">
        <v>17</v>
      </c>
      <c r="E22" t="s">
        <v>38</v>
      </c>
      <c r="H22">
        <v>0</v>
      </c>
    </row>
    <row r="23" spans="1:8" x14ac:dyDescent="0.25">
      <c r="A23">
        <v>2016</v>
      </c>
      <c r="B23" t="s">
        <v>51</v>
      </c>
      <c r="C23" t="s">
        <v>52</v>
      </c>
      <c r="D23" t="s">
        <v>17</v>
      </c>
      <c r="E23" t="s">
        <v>39</v>
      </c>
      <c r="H23">
        <v>0</v>
      </c>
    </row>
    <row r="24" spans="1:8" x14ac:dyDescent="0.25">
      <c r="A24">
        <v>2016</v>
      </c>
      <c r="B24" t="s">
        <v>51</v>
      </c>
      <c r="C24" t="s">
        <v>52</v>
      </c>
      <c r="D24" t="s">
        <v>17</v>
      </c>
      <c r="E24" t="s">
        <v>40</v>
      </c>
      <c r="H24">
        <v>0</v>
      </c>
    </row>
    <row r="25" spans="1:8" x14ac:dyDescent="0.25">
      <c r="A25">
        <v>2016</v>
      </c>
      <c r="B25" t="s">
        <v>51</v>
      </c>
      <c r="C25" t="s">
        <v>52</v>
      </c>
      <c r="D25" t="s">
        <v>17</v>
      </c>
      <c r="E25" t="s">
        <v>41</v>
      </c>
      <c r="H25">
        <v>0</v>
      </c>
    </row>
    <row r="26" spans="1:8" x14ac:dyDescent="0.25">
      <c r="A26">
        <v>2016</v>
      </c>
      <c r="B26" t="s">
        <v>51</v>
      </c>
      <c r="C26" t="s">
        <v>52</v>
      </c>
      <c r="D26" t="s">
        <v>17</v>
      </c>
      <c r="E26" t="s">
        <v>42</v>
      </c>
      <c r="H26">
        <v>0</v>
      </c>
    </row>
    <row r="27" spans="1:8" x14ac:dyDescent="0.25">
      <c r="A27">
        <v>2016</v>
      </c>
      <c r="B27" t="s">
        <v>51</v>
      </c>
      <c r="C27" t="s">
        <v>52</v>
      </c>
      <c r="D27" t="s">
        <v>17</v>
      </c>
      <c r="E27" t="s">
        <v>43</v>
      </c>
      <c r="H27">
        <v>0</v>
      </c>
    </row>
    <row r="28" spans="1:8" x14ac:dyDescent="0.25">
      <c r="A28">
        <v>2016</v>
      </c>
      <c r="B28" t="s">
        <v>51</v>
      </c>
      <c r="C28" t="s">
        <v>52</v>
      </c>
      <c r="D28" t="s">
        <v>17</v>
      </c>
      <c r="E28" t="s">
        <v>44</v>
      </c>
      <c r="H28">
        <v>42</v>
      </c>
    </row>
    <row r="29" spans="1:8" x14ac:dyDescent="0.25">
      <c r="A29">
        <v>2016</v>
      </c>
      <c r="B29" t="s">
        <v>51</v>
      </c>
      <c r="C29" t="s">
        <v>52</v>
      </c>
      <c r="D29" t="s">
        <v>17</v>
      </c>
      <c r="E29" t="s">
        <v>45</v>
      </c>
      <c r="H29">
        <v>0</v>
      </c>
    </row>
    <row r="30" spans="1:8" x14ac:dyDescent="0.25">
      <c r="A30">
        <v>2016</v>
      </c>
      <c r="B30" t="s">
        <v>51</v>
      </c>
      <c r="C30" t="s">
        <v>52</v>
      </c>
      <c r="D30" t="s">
        <v>17</v>
      </c>
      <c r="E30" t="s">
        <v>46</v>
      </c>
      <c r="H30">
        <v>0</v>
      </c>
    </row>
    <row r="31" spans="1:8" x14ac:dyDescent="0.25">
      <c r="A31">
        <v>2016</v>
      </c>
      <c r="B31" t="s">
        <v>51</v>
      </c>
      <c r="C31" t="s">
        <v>52</v>
      </c>
      <c r="D31" t="s">
        <v>17</v>
      </c>
      <c r="E31" t="s">
        <v>47</v>
      </c>
      <c r="H31">
        <v>0</v>
      </c>
    </row>
    <row r="32" spans="1:8" x14ac:dyDescent="0.25">
      <c r="A32">
        <v>2016</v>
      </c>
      <c r="B32" t="s">
        <v>51</v>
      </c>
      <c r="C32" t="s">
        <v>52</v>
      </c>
      <c r="D32" t="s">
        <v>17</v>
      </c>
      <c r="E32" t="s">
        <v>48</v>
      </c>
      <c r="H32">
        <v>0</v>
      </c>
    </row>
    <row r="33" spans="1:8" x14ac:dyDescent="0.25">
      <c r="A33">
        <v>2016</v>
      </c>
      <c r="B33" t="s">
        <v>51</v>
      </c>
      <c r="C33" t="s">
        <v>52</v>
      </c>
      <c r="D33" t="s">
        <v>17</v>
      </c>
      <c r="E33" t="s">
        <v>49</v>
      </c>
      <c r="H33">
        <v>0</v>
      </c>
    </row>
    <row r="34" spans="1:8" x14ac:dyDescent="0.25">
      <c r="A34">
        <v>2016</v>
      </c>
      <c r="B34" t="s">
        <v>51</v>
      </c>
      <c r="C34" t="s">
        <v>52</v>
      </c>
      <c r="D34" t="s">
        <v>50</v>
      </c>
      <c r="E34" t="s">
        <v>18</v>
      </c>
      <c r="H34">
        <v>0</v>
      </c>
    </row>
    <row r="35" spans="1:8" x14ac:dyDescent="0.25">
      <c r="A35">
        <v>2016</v>
      </c>
      <c r="B35" t="s">
        <v>51</v>
      </c>
      <c r="C35" t="s">
        <v>52</v>
      </c>
      <c r="D35" t="s">
        <v>50</v>
      </c>
      <c r="E35" t="s">
        <v>19</v>
      </c>
      <c r="H35">
        <v>3610</v>
      </c>
    </row>
    <row r="36" spans="1:8" x14ac:dyDescent="0.25">
      <c r="A36">
        <v>2016</v>
      </c>
      <c r="B36" t="s">
        <v>51</v>
      </c>
      <c r="C36" t="s">
        <v>52</v>
      </c>
      <c r="D36" t="s">
        <v>50</v>
      </c>
      <c r="E36" t="s">
        <v>20</v>
      </c>
      <c r="H36">
        <v>0</v>
      </c>
    </row>
    <row r="37" spans="1:8" x14ac:dyDescent="0.25">
      <c r="A37">
        <v>2016</v>
      </c>
      <c r="B37" t="s">
        <v>51</v>
      </c>
      <c r="C37" t="s">
        <v>52</v>
      </c>
      <c r="D37" t="s">
        <v>50</v>
      </c>
      <c r="E37" t="s">
        <v>21</v>
      </c>
      <c r="H37">
        <v>0</v>
      </c>
    </row>
    <row r="38" spans="1:8" x14ac:dyDescent="0.25">
      <c r="A38">
        <v>2016</v>
      </c>
      <c r="B38" t="s">
        <v>51</v>
      </c>
      <c r="C38" t="s">
        <v>52</v>
      </c>
      <c r="D38" t="s">
        <v>50</v>
      </c>
      <c r="E38" t="s">
        <v>24</v>
      </c>
      <c r="H38">
        <v>0</v>
      </c>
    </row>
    <row r="39" spans="1:8" x14ac:dyDescent="0.25">
      <c r="A39">
        <v>2016</v>
      </c>
      <c r="B39" t="s">
        <v>51</v>
      </c>
      <c r="C39" t="s">
        <v>52</v>
      </c>
      <c r="D39" t="s">
        <v>50</v>
      </c>
      <c r="E39" t="s">
        <v>25</v>
      </c>
      <c r="H39">
        <v>0</v>
      </c>
    </row>
    <row r="40" spans="1:8" x14ac:dyDescent="0.25">
      <c r="A40">
        <v>2016</v>
      </c>
      <c r="B40" t="s">
        <v>51</v>
      </c>
      <c r="C40" t="s">
        <v>52</v>
      </c>
      <c r="D40" t="s">
        <v>50</v>
      </c>
      <c r="E40" t="s">
        <v>26</v>
      </c>
      <c r="H40">
        <v>0</v>
      </c>
    </row>
    <row r="41" spans="1:8" x14ac:dyDescent="0.25">
      <c r="A41">
        <v>2016</v>
      </c>
      <c r="B41" t="s">
        <v>51</v>
      </c>
      <c r="C41" t="s">
        <v>52</v>
      </c>
      <c r="D41" t="s">
        <v>50</v>
      </c>
      <c r="E41" t="s">
        <v>22</v>
      </c>
      <c r="H41">
        <v>0</v>
      </c>
    </row>
    <row r="42" spans="1:8" x14ac:dyDescent="0.25">
      <c r="A42">
        <v>2016</v>
      </c>
      <c r="B42" t="s">
        <v>51</v>
      </c>
      <c r="C42" t="s">
        <v>52</v>
      </c>
      <c r="D42" t="s">
        <v>50</v>
      </c>
      <c r="E42" t="s">
        <v>23</v>
      </c>
      <c r="H42">
        <v>0</v>
      </c>
    </row>
    <row r="43" spans="1:8" x14ac:dyDescent="0.25">
      <c r="A43">
        <v>2016</v>
      </c>
      <c r="B43" t="s">
        <v>51</v>
      </c>
      <c r="C43" t="s">
        <v>52</v>
      </c>
      <c r="D43" t="s">
        <v>50</v>
      </c>
      <c r="E43" t="s">
        <v>27</v>
      </c>
      <c r="H43">
        <v>0</v>
      </c>
    </row>
    <row r="44" spans="1:8" x14ac:dyDescent="0.25">
      <c r="A44">
        <v>2016</v>
      </c>
      <c r="B44" t="s">
        <v>51</v>
      </c>
      <c r="C44" t="s">
        <v>52</v>
      </c>
      <c r="D44" t="s">
        <v>50</v>
      </c>
      <c r="E44" t="s">
        <v>28</v>
      </c>
      <c r="H44">
        <v>0</v>
      </c>
    </row>
    <row r="45" spans="1:8" x14ac:dyDescent="0.25">
      <c r="A45">
        <v>2016</v>
      </c>
      <c r="B45" t="s">
        <v>51</v>
      </c>
      <c r="C45" t="s">
        <v>52</v>
      </c>
      <c r="D45" t="s">
        <v>50</v>
      </c>
      <c r="E45" t="s">
        <v>29</v>
      </c>
      <c r="H45">
        <v>0</v>
      </c>
    </row>
    <row r="46" spans="1:8" x14ac:dyDescent="0.25">
      <c r="A46">
        <v>2016</v>
      </c>
      <c r="B46" t="s">
        <v>51</v>
      </c>
      <c r="C46" t="s">
        <v>52</v>
      </c>
      <c r="D46" t="s">
        <v>50</v>
      </c>
      <c r="E46" t="s">
        <v>30</v>
      </c>
      <c r="H46">
        <v>0</v>
      </c>
    </row>
    <row r="47" spans="1:8" x14ac:dyDescent="0.25">
      <c r="A47">
        <v>2016</v>
      </c>
      <c r="B47" t="s">
        <v>51</v>
      </c>
      <c r="C47" t="s">
        <v>52</v>
      </c>
      <c r="D47" t="s">
        <v>50</v>
      </c>
      <c r="E47" t="s">
        <v>31</v>
      </c>
      <c r="H47">
        <v>0</v>
      </c>
    </row>
    <row r="48" spans="1:8" x14ac:dyDescent="0.25">
      <c r="A48">
        <v>2016</v>
      </c>
      <c r="B48" t="s">
        <v>51</v>
      </c>
      <c r="C48" t="s">
        <v>52</v>
      </c>
      <c r="D48" t="s">
        <v>50</v>
      </c>
      <c r="E48" t="s">
        <v>33</v>
      </c>
      <c r="H48">
        <v>652</v>
      </c>
    </row>
    <row r="49" spans="1:8" x14ac:dyDescent="0.25">
      <c r="A49">
        <v>2016</v>
      </c>
      <c r="B49" t="s">
        <v>51</v>
      </c>
      <c r="C49" t="s">
        <v>52</v>
      </c>
      <c r="D49" t="s">
        <v>50</v>
      </c>
      <c r="E49" t="s">
        <v>34</v>
      </c>
      <c r="H49">
        <v>0</v>
      </c>
    </row>
    <row r="50" spans="1:8" x14ac:dyDescent="0.25">
      <c r="A50">
        <v>2016</v>
      </c>
      <c r="B50" t="s">
        <v>51</v>
      </c>
      <c r="C50" t="s">
        <v>52</v>
      </c>
      <c r="D50" t="s">
        <v>50</v>
      </c>
      <c r="E50" t="s">
        <v>32</v>
      </c>
      <c r="H50">
        <v>0</v>
      </c>
    </row>
    <row r="51" spans="1:8" x14ac:dyDescent="0.25">
      <c r="A51">
        <v>2016</v>
      </c>
      <c r="B51" t="s">
        <v>51</v>
      </c>
      <c r="C51" t="s">
        <v>52</v>
      </c>
      <c r="D51" t="s">
        <v>50</v>
      </c>
      <c r="E51" t="s">
        <v>35</v>
      </c>
      <c r="H51">
        <v>0</v>
      </c>
    </row>
    <row r="52" spans="1:8" x14ac:dyDescent="0.25">
      <c r="A52">
        <v>2016</v>
      </c>
      <c r="B52" t="s">
        <v>51</v>
      </c>
      <c r="C52" t="s">
        <v>52</v>
      </c>
      <c r="D52" t="s">
        <v>50</v>
      </c>
      <c r="E52" t="s">
        <v>36</v>
      </c>
      <c r="H52">
        <v>0</v>
      </c>
    </row>
    <row r="53" spans="1:8" x14ac:dyDescent="0.25">
      <c r="A53">
        <v>2016</v>
      </c>
      <c r="B53" t="s">
        <v>51</v>
      </c>
      <c r="C53" t="s">
        <v>52</v>
      </c>
      <c r="D53" t="s">
        <v>50</v>
      </c>
      <c r="E53" t="s">
        <v>37</v>
      </c>
      <c r="H53">
        <v>0</v>
      </c>
    </row>
    <row r="54" spans="1:8" x14ac:dyDescent="0.25">
      <c r="A54">
        <v>2016</v>
      </c>
      <c r="B54" t="s">
        <v>51</v>
      </c>
      <c r="C54" t="s">
        <v>52</v>
      </c>
      <c r="D54" t="s">
        <v>50</v>
      </c>
      <c r="E54" t="s">
        <v>38</v>
      </c>
      <c r="H54">
        <v>0</v>
      </c>
    </row>
    <row r="55" spans="1:8" x14ac:dyDescent="0.25">
      <c r="A55">
        <v>2016</v>
      </c>
      <c r="B55" t="s">
        <v>51</v>
      </c>
      <c r="C55" t="s">
        <v>52</v>
      </c>
      <c r="D55" t="s">
        <v>50</v>
      </c>
      <c r="E55" t="s">
        <v>39</v>
      </c>
      <c r="H55">
        <v>0</v>
      </c>
    </row>
    <row r="56" spans="1:8" x14ac:dyDescent="0.25">
      <c r="A56">
        <v>2016</v>
      </c>
      <c r="B56" t="s">
        <v>51</v>
      </c>
      <c r="C56" t="s">
        <v>52</v>
      </c>
      <c r="D56" t="s">
        <v>50</v>
      </c>
      <c r="E56" t="s">
        <v>40</v>
      </c>
      <c r="H56">
        <v>0</v>
      </c>
    </row>
    <row r="57" spans="1:8" x14ac:dyDescent="0.25">
      <c r="A57">
        <v>2016</v>
      </c>
      <c r="B57" t="s">
        <v>51</v>
      </c>
      <c r="C57" t="s">
        <v>52</v>
      </c>
      <c r="D57" t="s">
        <v>50</v>
      </c>
      <c r="E57" t="s">
        <v>41</v>
      </c>
      <c r="H57">
        <v>0</v>
      </c>
    </row>
    <row r="58" spans="1:8" x14ac:dyDescent="0.25">
      <c r="A58">
        <v>2016</v>
      </c>
      <c r="B58" t="s">
        <v>51</v>
      </c>
      <c r="C58" t="s">
        <v>52</v>
      </c>
      <c r="D58" t="s">
        <v>50</v>
      </c>
      <c r="E58" t="s">
        <v>42</v>
      </c>
      <c r="H58">
        <v>0</v>
      </c>
    </row>
    <row r="59" spans="1:8" x14ac:dyDescent="0.25">
      <c r="A59">
        <v>2016</v>
      </c>
      <c r="B59" t="s">
        <v>51</v>
      </c>
      <c r="C59" t="s">
        <v>52</v>
      </c>
      <c r="D59" t="s">
        <v>50</v>
      </c>
      <c r="E59" t="s">
        <v>43</v>
      </c>
      <c r="H59">
        <v>0</v>
      </c>
    </row>
    <row r="60" spans="1:8" x14ac:dyDescent="0.25">
      <c r="A60">
        <v>2016</v>
      </c>
      <c r="B60" t="s">
        <v>51</v>
      </c>
      <c r="C60" t="s">
        <v>52</v>
      </c>
      <c r="D60" t="s">
        <v>50</v>
      </c>
      <c r="E60" t="s">
        <v>44</v>
      </c>
      <c r="H60">
        <v>286</v>
      </c>
    </row>
    <row r="61" spans="1:8" x14ac:dyDescent="0.25">
      <c r="A61">
        <v>2016</v>
      </c>
      <c r="B61" t="s">
        <v>51</v>
      </c>
      <c r="C61" t="s">
        <v>52</v>
      </c>
      <c r="D61" t="s">
        <v>50</v>
      </c>
      <c r="E61" t="s">
        <v>45</v>
      </c>
      <c r="H61">
        <v>0</v>
      </c>
    </row>
    <row r="62" spans="1:8" x14ac:dyDescent="0.25">
      <c r="A62">
        <v>2016</v>
      </c>
      <c r="B62" t="s">
        <v>51</v>
      </c>
      <c r="C62" t="s">
        <v>52</v>
      </c>
      <c r="D62" t="s">
        <v>50</v>
      </c>
      <c r="E62" t="s">
        <v>46</v>
      </c>
      <c r="H62">
        <v>0</v>
      </c>
    </row>
    <row r="63" spans="1:8" x14ac:dyDescent="0.25">
      <c r="A63">
        <v>2016</v>
      </c>
      <c r="B63" t="s">
        <v>51</v>
      </c>
      <c r="C63" t="s">
        <v>52</v>
      </c>
      <c r="D63" t="s">
        <v>50</v>
      </c>
      <c r="E63" t="s">
        <v>47</v>
      </c>
      <c r="H63">
        <v>0</v>
      </c>
    </row>
    <row r="64" spans="1:8" x14ac:dyDescent="0.25">
      <c r="A64">
        <v>2016</v>
      </c>
      <c r="B64" t="s">
        <v>51</v>
      </c>
      <c r="C64" t="s">
        <v>52</v>
      </c>
      <c r="D64" t="s">
        <v>50</v>
      </c>
      <c r="E64" t="s">
        <v>48</v>
      </c>
      <c r="H64">
        <v>0</v>
      </c>
    </row>
    <row r="65" spans="1:8" x14ac:dyDescent="0.25">
      <c r="A65">
        <v>2016</v>
      </c>
      <c r="B65" t="s">
        <v>51</v>
      </c>
      <c r="C65" t="s">
        <v>52</v>
      </c>
      <c r="D65" t="s">
        <v>50</v>
      </c>
      <c r="E65" t="s">
        <v>49</v>
      </c>
      <c r="H65">
        <v>0</v>
      </c>
    </row>
    <row r="66" spans="1:8" x14ac:dyDescent="0.25">
      <c r="A66">
        <v>2017</v>
      </c>
      <c r="B66" t="s">
        <v>51</v>
      </c>
      <c r="C66" t="s">
        <v>52</v>
      </c>
      <c r="D66" t="s">
        <v>17</v>
      </c>
      <c r="E66" t="s">
        <v>18</v>
      </c>
      <c r="H66">
        <v>0</v>
      </c>
    </row>
    <row r="67" spans="1:8" x14ac:dyDescent="0.25">
      <c r="A67">
        <v>2017</v>
      </c>
      <c r="B67" t="s">
        <v>51</v>
      </c>
      <c r="C67" t="s">
        <v>52</v>
      </c>
      <c r="D67" t="s">
        <v>17</v>
      </c>
      <c r="E67" t="s">
        <v>19</v>
      </c>
      <c r="H67">
        <v>0</v>
      </c>
    </row>
    <row r="68" spans="1:8" x14ac:dyDescent="0.25">
      <c r="A68">
        <v>2017</v>
      </c>
      <c r="B68" t="s">
        <v>51</v>
      </c>
      <c r="C68" t="s">
        <v>52</v>
      </c>
      <c r="D68" t="s">
        <v>17</v>
      </c>
      <c r="E68" t="s">
        <v>20</v>
      </c>
      <c r="H68">
        <v>0</v>
      </c>
    </row>
    <row r="69" spans="1:8" x14ac:dyDescent="0.25">
      <c r="A69">
        <v>2017</v>
      </c>
      <c r="B69" t="s">
        <v>51</v>
      </c>
      <c r="C69" t="s">
        <v>52</v>
      </c>
      <c r="D69" t="s">
        <v>17</v>
      </c>
      <c r="E69" t="s">
        <v>21</v>
      </c>
      <c r="H69">
        <v>0</v>
      </c>
    </row>
    <row r="70" spans="1:8" x14ac:dyDescent="0.25">
      <c r="A70">
        <v>2017</v>
      </c>
      <c r="B70" t="s">
        <v>51</v>
      </c>
      <c r="C70" t="s">
        <v>52</v>
      </c>
      <c r="D70" t="s">
        <v>17</v>
      </c>
      <c r="E70" t="s">
        <v>24</v>
      </c>
      <c r="H70">
        <v>0</v>
      </c>
    </row>
    <row r="71" spans="1:8" x14ac:dyDescent="0.25">
      <c r="A71">
        <v>2017</v>
      </c>
      <c r="B71" t="s">
        <v>51</v>
      </c>
      <c r="C71" t="s">
        <v>52</v>
      </c>
      <c r="D71" t="s">
        <v>17</v>
      </c>
      <c r="E71" t="s">
        <v>25</v>
      </c>
      <c r="H71">
        <v>0</v>
      </c>
    </row>
    <row r="72" spans="1:8" x14ac:dyDescent="0.25">
      <c r="A72">
        <v>2017</v>
      </c>
      <c r="B72" t="s">
        <v>51</v>
      </c>
      <c r="C72" t="s">
        <v>52</v>
      </c>
      <c r="D72" t="s">
        <v>17</v>
      </c>
      <c r="E72" t="s">
        <v>26</v>
      </c>
      <c r="H72">
        <v>0</v>
      </c>
    </row>
    <row r="73" spans="1:8" x14ac:dyDescent="0.25">
      <c r="A73">
        <v>2017</v>
      </c>
      <c r="B73" t="s">
        <v>51</v>
      </c>
      <c r="C73" t="s">
        <v>52</v>
      </c>
      <c r="D73" t="s">
        <v>17</v>
      </c>
      <c r="E73" t="s">
        <v>22</v>
      </c>
      <c r="H73">
        <v>0</v>
      </c>
    </row>
    <row r="74" spans="1:8" x14ac:dyDescent="0.25">
      <c r="A74">
        <v>2017</v>
      </c>
      <c r="B74" t="s">
        <v>51</v>
      </c>
      <c r="C74" t="s">
        <v>52</v>
      </c>
      <c r="D74" t="s">
        <v>17</v>
      </c>
      <c r="E74" t="s">
        <v>23</v>
      </c>
      <c r="H74">
        <v>0</v>
      </c>
    </row>
    <row r="75" spans="1:8" x14ac:dyDescent="0.25">
      <c r="A75">
        <v>2017</v>
      </c>
      <c r="B75" t="s">
        <v>51</v>
      </c>
      <c r="C75" t="s">
        <v>52</v>
      </c>
      <c r="D75" t="s">
        <v>17</v>
      </c>
      <c r="E75" t="s">
        <v>27</v>
      </c>
      <c r="H75">
        <v>0</v>
      </c>
    </row>
    <row r="76" spans="1:8" x14ac:dyDescent="0.25">
      <c r="A76">
        <v>2017</v>
      </c>
      <c r="B76" t="s">
        <v>51</v>
      </c>
      <c r="C76" t="s">
        <v>52</v>
      </c>
      <c r="D76" t="s">
        <v>17</v>
      </c>
      <c r="E76" t="s">
        <v>28</v>
      </c>
      <c r="H76">
        <v>0</v>
      </c>
    </row>
    <row r="77" spans="1:8" x14ac:dyDescent="0.25">
      <c r="A77">
        <v>2017</v>
      </c>
      <c r="B77" t="s">
        <v>51</v>
      </c>
      <c r="C77" t="s">
        <v>52</v>
      </c>
      <c r="D77" t="s">
        <v>17</v>
      </c>
      <c r="E77" t="s">
        <v>29</v>
      </c>
      <c r="H77">
        <v>0</v>
      </c>
    </row>
    <row r="78" spans="1:8" x14ac:dyDescent="0.25">
      <c r="A78">
        <v>2017</v>
      </c>
      <c r="B78" t="s">
        <v>51</v>
      </c>
      <c r="C78" t="s">
        <v>52</v>
      </c>
      <c r="D78" t="s">
        <v>17</v>
      </c>
      <c r="E78" t="s">
        <v>30</v>
      </c>
      <c r="H78">
        <v>0</v>
      </c>
    </row>
    <row r="79" spans="1:8" x14ac:dyDescent="0.25">
      <c r="A79">
        <v>2017</v>
      </c>
      <c r="B79" t="s">
        <v>51</v>
      </c>
      <c r="C79" t="s">
        <v>52</v>
      </c>
      <c r="D79" t="s">
        <v>17</v>
      </c>
      <c r="E79" t="s">
        <v>31</v>
      </c>
      <c r="H79">
        <v>0</v>
      </c>
    </row>
    <row r="80" spans="1:8" x14ac:dyDescent="0.25">
      <c r="A80">
        <v>2017</v>
      </c>
      <c r="B80" t="s">
        <v>51</v>
      </c>
      <c r="C80" t="s">
        <v>52</v>
      </c>
      <c r="D80" t="s">
        <v>17</v>
      </c>
      <c r="E80" t="s">
        <v>33</v>
      </c>
      <c r="H80">
        <v>0</v>
      </c>
    </row>
    <row r="81" spans="1:8" x14ac:dyDescent="0.25">
      <c r="A81">
        <v>2017</v>
      </c>
      <c r="B81" t="s">
        <v>51</v>
      </c>
      <c r="C81" t="s">
        <v>52</v>
      </c>
      <c r="D81" t="s">
        <v>17</v>
      </c>
      <c r="E81" t="s">
        <v>34</v>
      </c>
      <c r="H81">
        <v>0</v>
      </c>
    </row>
    <row r="82" spans="1:8" x14ac:dyDescent="0.25">
      <c r="A82">
        <v>2017</v>
      </c>
      <c r="B82" t="s">
        <v>51</v>
      </c>
      <c r="C82" t="s">
        <v>52</v>
      </c>
      <c r="D82" t="s">
        <v>17</v>
      </c>
      <c r="E82" t="s">
        <v>32</v>
      </c>
      <c r="H82">
        <v>0</v>
      </c>
    </row>
    <row r="83" spans="1:8" x14ac:dyDescent="0.25">
      <c r="A83">
        <v>2017</v>
      </c>
      <c r="B83" t="s">
        <v>51</v>
      </c>
      <c r="C83" t="s">
        <v>52</v>
      </c>
      <c r="D83" t="s">
        <v>17</v>
      </c>
      <c r="E83" t="s">
        <v>35</v>
      </c>
      <c r="H83">
        <v>0</v>
      </c>
    </row>
    <row r="84" spans="1:8" x14ac:dyDescent="0.25">
      <c r="A84">
        <v>2017</v>
      </c>
      <c r="B84" t="s">
        <v>51</v>
      </c>
      <c r="C84" t="s">
        <v>52</v>
      </c>
      <c r="D84" t="s">
        <v>17</v>
      </c>
      <c r="E84" t="s">
        <v>36</v>
      </c>
      <c r="H84">
        <v>0</v>
      </c>
    </row>
    <row r="85" spans="1:8" x14ac:dyDescent="0.25">
      <c r="A85">
        <v>2017</v>
      </c>
      <c r="B85" t="s">
        <v>51</v>
      </c>
      <c r="C85" t="s">
        <v>52</v>
      </c>
      <c r="D85" t="s">
        <v>17</v>
      </c>
      <c r="E85" t="s">
        <v>37</v>
      </c>
      <c r="H85">
        <v>0</v>
      </c>
    </row>
    <row r="86" spans="1:8" x14ac:dyDescent="0.25">
      <c r="A86">
        <v>2017</v>
      </c>
      <c r="B86" t="s">
        <v>51</v>
      </c>
      <c r="C86" t="s">
        <v>52</v>
      </c>
      <c r="D86" t="s">
        <v>17</v>
      </c>
      <c r="E86" t="s">
        <v>38</v>
      </c>
      <c r="H86">
        <v>0</v>
      </c>
    </row>
    <row r="87" spans="1:8" x14ac:dyDescent="0.25">
      <c r="A87">
        <v>2017</v>
      </c>
      <c r="B87" t="s">
        <v>51</v>
      </c>
      <c r="C87" t="s">
        <v>52</v>
      </c>
      <c r="D87" t="s">
        <v>17</v>
      </c>
      <c r="E87" t="s">
        <v>39</v>
      </c>
      <c r="H87">
        <v>0</v>
      </c>
    </row>
    <row r="88" spans="1:8" x14ac:dyDescent="0.25">
      <c r="A88">
        <v>2017</v>
      </c>
      <c r="B88" t="s">
        <v>51</v>
      </c>
      <c r="C88" t="s">
        <v>52</v>
      </c>
      <c r="D88" t="s">
        <v>17</v>
      </c>
      <c r="E88" t="s">
        <v>40</v>
      </c>
      <c r="H88">
        <v>8</v>
      </c>
    </row>
    <row r="89" spans="1:8" x14ac:dyDescent="0.25">
      <c r="A89">
        <v>2017</v>
      </c>
      <c r="B89" t="s">
        <v>51</v>
      </c>
      <c r="C89" t="s">
        <v>52</v>
      </c>
      <c r="D89" t="s">
        <v>17</v>
      </c>
      <c r="E89" t="s">
        <v>41</v>
      </c>
      <c r="H89">
        <v>0</v>
      </c>
    </row>
    <row r="90" spans="1:8" x14ac:dyDescent="0.25">
      <c r="A90">
        <v>2017</v>
      </c>
      <c r="B90" t="s">
        <v>51</v>
      </c>
      <c r="C90" t="s">
        <v>52</v>
      </c>
      <c r="D90" t="s">
        <v>17</v>
      </c>
      <c r="E90" t="s">
        <v>42</v>
      </c>
      <c r="H90">
        <v>0</v>
      </c>
    </row>
    <row r="91" spans="1:8" x14ac:dyDescent="0.25">
      <c r="A91">
        <v>2017</v>
      </c>
      <c r="B91" t="s">
        <v>51</v>
      </c>
      <c r="C91" t="s">
        <v>52</v>
      </c>
      <c r="D91" t="s">
        <v>17</v>
      </c>
      <c r="E91" t="s">
        <v>43</v>
      </c>
      <c r="H91">
        <v>0</v>
      </c>
    </row>
    <row r="92" spans="1:8" x14ac:dyDescent="0.25">
      <c r="A92">
        <v>2017</v>
      </c>
      <c r="B92" t="s">
        <v>51</v>
      </c>
      <c r="C92" t="s">
        <v>52</v>
      </c>
      <c r="D92" t="s">
        <v>17</v>
      </c>
      <c r="E92" t="s">
        <v>44</v>
      </c>
      <c r="H92">
        <v>2</v>
      </c>
    </row>
    <row r="93" spans="1:8" x14ac:dyDescent="0.25">
      <c r="A93">
        <v>2017</v>
      </c>
      <c r="B93" t="s">
        <v>51</v>
      </c>
      <c r="C93" t="s">
        <v>52</v>
      </c>
      <c r="D93" t="s">
        <v>17</v>
      </c>
      <c r="E93" t="s">
        <v>45</v>
      </c>
      <c r="H93">
        <v>0</v>
      </c>
    </row>
    <row r="94" spans="1:8" x14ac:dyDescent="0.25">
      <c r="A94">
        <v>2017</v>
      </c>
      <c r="B94" t="s">
        <v>51</v>
      </c>
      <c r="C94" t="s">
        <v>52</v>
      </c>
      <c r="D94" t="s">
        <v>17</v>
      </c>
      <c r="E94" t="s">
        <v>46</v>
      </c>
      <c r="H94">
        <v>0</v>
      </c>
    </row>
    <row r="95" spans="1:8" x14ac:dyDescent="0.25">
      <c r="A95">
        <v>2017</v>
      </c>
      <c r="B95" t="s">
        <v>51</v>
      </c>
      <c r="C95" t="s">
        <v>52</v>
      </c>
      <c r="D95" t="s">
        <v>17</v>
      </c>
      <c r="E95" t="s">
        <v>47</v>
      </c>
      <c r="H95">
        <v>0</v>
      </c>
    </row>
    <row r="96" spans="1:8" x14ac:dyDescent="0.25">
      <c r="A96">
        <v>2017</v>
      </c>
      <c r="B96" t="s">
        <v>51</v>
      </c>
      <c r="C96" t="s">
        <v>52</v>
      </c>
      <c r="D96" t="s">
        <v>17</v>
      </c>
      <c r="E96" t="s">
        <v>48</v>
      </c>
      <c r="H96">
        <v>0</v>
      </c>
    </row>
    <row r="97" spans="1:8" x14ac:dyDescent="0.25">
      <c r="A97">
        <v>2017</v>
      </c>
      <c r="B97" t="s">
        <v>51</v>
      </c>
      <c r="C97" t="s">
        <v>52</v>
      </c>
      <c r="D97" t="s">
        <v>17</v>
      </c>
      <c r="E97" t="s">
        <v>49</v>
      </c>
      <c r="H97">
        <v>0</v>
      </c>
    </row>
    <row r="98" spans="1:8" x14ac:dyDescent="0.25">
      <c r="A98">
        <v>2017</v>
      </c>
      <c r="B98" t="s">
        <v>51</v>
      </c>
      <c r="C98" t="s">
        <v>52</v>
      </c>
      <c r="D98" t="s">
        <v>50</v>
      </c>
      <c r="E98" t="s">
        <v>18</v>
      </c>
      <c r="H98">
        <v>0</v>
      </c>
    </row>
    <row r="99" spans="1:8" x14ac:dyDescent="0.25">
      <c r="A99">
        <v>2017</v>
      </c>
      <c r="B99" t="s">
        <v>51</v>
      </c>
      <c r="C99" t="s">
        <v>52</v>
      </c>
      <c r="D99" t="s">
        <v>50</v>
      </c>
      <c r="E99" t="s">
        <v>19</v>
      </c>
      <c r="H99">
        <v>0</v>
      </c>
    </row>
    <row r="100" spans="1:8" x14ac:dyDescent="0.25">
      <c r="A100">
        <v>2017</v>
      </c>
      <c r="B100" t="s">
        <v>51</v>
      </c>
      <c r="C100" t="s">
        <v>52</v>
      </c>
      <c r="D100" t="s">
        <v>50</v>
      </c>
      <c r="E100" t="s">
        <v>20</v>
      </c>
      <c r="H100">
        <v>0</v>
      </c>
    </row>
    <row r="101" spans="1:8" x14ac:dyDescent="0.25">
      <c r="A101">
        <v>2017</v>
      </c>
      <c r="B101" t="s">
        <v>51</v>
      </c>
      <c r="C101" t="s">
        <v>52</v>
      </c>
      <c r="D101" t="s">
        <v>50</v>
      </c>
      <c r="E101" t="s">
        <v>21</v>
      </c>
      <c r="H101">
        <v>0</v>
      </c>
    </row>
    <row r="102" spans="1:8" x14ac:dyDescent="0.25">
      <c r="A102">
        <v>2017</v>
      </c>
      <c r="B102" t="s">
        <v>51</v>
      </c>
      <c r="C102" t="s">
        <v>52</v>
      </c>
      <c r="D102" t="s">
        <v>50</v>
      </c>
      <c r="E102" t="s">
        <v>24</v>
      </c>
      <c r="H102">
        <v>0</v>
      </c>
    </row>
    <row r="103" spans="1:8" x14ac:dyDescent="0.25">
      <c r="A103">
        <v>2017</v>
      </c>
      <c r="B103" t="s">
        <v>51</v>
      </c>
      <c r="C103" t="s">
        <v>52</v>
      </c>
      <c r="D103" t="s">
        <v>50</v>
      </c>
      <c r="E103" t="s">
        <v>25</v>
      </c>
      <c r="H103">
        <v>0</v>
      </c>
    </row>
    <row r="104" spans="1:8" x14ac:dyDescent="0.25">
      <c r="A104">
        <v>2017</v>
      </c>
      <c r="B104" t="s">
        <v>51</v>
      </c>
      <c r="C104" t="s">
        <v>52</v>
      </c>
      <c r="D104" t="s">
        <v>50</v>
      </c>
      <c r="E104" t="s">
        <v>26</v>
      </c>
      <c r="H104">
        <v>0</v>
      </c>
    </row>
    <row r="105" spans="1:8" x14ac:dyDescent="0.25">
      <c r="A105">
        <v>2017</v>
      </c>
      <c r="B105" t="s">
        <v>51</v>
      </c>
      <c r="C105" t="s">
        <v>52</v>
      </c>
      <c r="D105" t="s">
        <v>50</v>
      </c>
      <c r="E105" t="s">
        <v>22</v>
      </c>
      <c r="H105">
        <v>0</v>
      </c>
    </row>
    <row r="106" spans="1:8" x14ac:dyDescent="0.25">
      <c r="A106">
        <v>2017</v>
      </c>
      <c r="B106" t="s">
        <v>51</v>
      </c>
      <c r="C106" t="s">
        <v>52</v>
      </c>
      <c r="D106" t="s">
        <v>50</v>
      </c>
      <c r="E106" t="s">
        <v>23</v>
      </c>
      <c r="H106">
        <v>0</v>
      </c>
    </row>
    <row r="107" spans="1:8" x14ac:dyDescent="0.25">
      <c r="A107">
        <v>2017</v>
      </c>
      <c r="B107" t="s">
        <v>51</v>
      </c>
      <c r="C107" t="s">
        <v>52</v>
      </c>
      <c r="D107" t="s">
        <v>50</v>
      </c>
      <c r="E107" t="s">
        <v>27</v>
      </c>
      <c r="H107">
        <v>0</v>
      </c>
    </row>
    <row r="108" spans="1:8" x14ac:dyDescent="0.25">
      <c r="A108">
        <v>2017</v>
      </c>
      <c r="B108" t="s">
        <v>51</v>
      </c>
      <c r="C108" t="s">
        <v>52</v>
      </c>
      <c r="D108" t="s">
        <v>50</v>
      </c>
      <c r="E108" t="s">
        <v>28</v>
      </c>
      <c r="H108">
        <v>0</v>
      </c>
    </row>
    <row r="109" spans="1:8" x14ac:dyDescent="0.25">
      <c r="A109">
        <v>2017</v>
      </c>
      <c r="B109" t="s">
        <v>51</v>
      </c>
      <c r="C109" t="s">
        <v>52</v>
      </c>
      <c r="D109" t="s">
        <v>50</v>
      </c>
      <c r="E109" t="s">
        <v>29</v>
      </c>
      <c r="H109">
        <v>0</v>
      </c>
    </row>
    <row r="110" spans="1:8" x14ac:dyDescent="0.25">
      <c r="A110">
        <v>2017</v>
      </c>
      <c r="B110" t="s">
        <v>51</v>
      </c>
      <c r="C110" t="s">
        <v>52</v>
      </c>
      <c r="D110" t="s">
        <v>50</v>
      </c>
      <c r="E110" t="s">
        <v>30</v>
      </c>
      <c r="H110">
        <v>0</v>
      </c>
    </row>
    <row r="111" spans="1:8" x14ac:dyDescent="0.25">
      <c r="A111">
        <v>2017</v>
      </c>
      <c r="B111" t="s">
        <v>51</v>
      </c>
      <c r="C111" t="s">
        <v>52</v>
      </c>
      <c r="D111" t="s">
        <v>50</v>
      </c>
      <c r="E111" t="s">
        <v>31</v>
      </c>
      <c r="H111">
        <v>0</v>
      </c>
    </row>
    <row r="112" spans="1:8" x14ac:dyDescent="0.25">
      <c r="A112">
        <v>2017</v>
      </c>
      <c r="B112" t="s">
        <v>51</v>
      </c>
      <c r="C112" t="s">
        <v>52</v>
      </c>
      <c r="D112" t="s">
        <v>50</v>
      </c>
      <c r="E112" t="s">
        <v>33</v>
      </c>
      <c r="H112">
        <v>0</v>
      </c>
    </row>
    <row r="113" spans="1:8" x14ac:dyDescent="0.25">
      <c r="A113">
        <v>2017</v>
      </c>
      <c r="B113" t="s">
        <v>51</v>
      </c>
      <c r="C113" t="s">
        <v>52</v>
      </c>
      <c r="D113" t="s">
        <v>50</v>
      </c>
      <c r="E113" t="s">
        <v>34</v>
      </c>
      <c r="H113">
        <v>0</v>
      </c>
    </row>
    <row r="114" spans="1:8" x14ac:dyDescent="0.25">
      <c r="A114">
        <v>2017</v>
      </c>
      <c r="B114" t="s">
        <v>51</v>
      </c>
      <c r="C114" t="s">
        <v>52</v>
      </c>
      <c r="D114" t="s">
        <v>50</v>
      </c>
      <c r="E114" t="s">
        <v>32</v>
      </c>
      <c r="H114">
        <v>0</v>
      </c>
    </row>
    <row r="115" spans="1:8" x14ac:dyDescent="0.25">
      <c r="A115">
        <v>2017</v>
      </c>
      <c r="B115" t="s">
        <v>51</v>
      </c>
      <c r="C115" t="s">
        <v>52</v>
      </c>
      <c r="D115" t="s">
        <v>50</v>
      </c>
      <c r="E115" t="s">
        <v>35</v>
      </c>
      <c r="H115">
        <v>0</v>
      </c>
    </row>
    <row r="116" spans="1:8" x14ac:dyDescent="0.25">
      <c r="A116">
        <v>2017</v>
      </c>
      <c r="B116" t="s">
        <v>51</v>
      </c>
      <c r="C116" t="s">
        <v>52</v>
      </c>
      <c r="D116" t="s">
        <v>50</v>
      </c>
      <c r="E116" t="s">
        <v>36</v>
      </c>
      <c r="H116">
        <v>0</v>
      </c>
    </row>
    <row r="117" spans="1:8" x14ac:dyDescent="0.25">
      <c r="A117">
        <v>2017</v>
      </c>
      <c r="B117" t="s">
        <v>51</v>
      </c>
      <c r="C117" t="s">
        <v>52</v>
      </c>
      <c r="D117" t="s">
        <v>50</v>
      </c>
      <c r="E117" t="s">
        <v>37</v>
      </c>
      <c r="H117">
        <v>0</v>
      </c>
    </row>
    <row r="118" spans="1:8" x14ac:dyDescent="0.25">
      <c r="A118">
        <v>2017</v>
      </c>
      <c r="B118" t="s">
        <v>51</v>
      </c>
      <c r="C118" t="s">
        <v>52</v>
      </c>
      <c r="D118" t="s">
        <v>50</v>
      </c>
      <c r="E118" t="s">
        <v>38</v>
      </c>
      <c r="H118">
        <v>0</v>
      </c>
    </row>
    <row r="119" spans="1:8" x14ac:dyDescent="0.25">
      <c r="A119">
        <v>2017</v>
      </c>
      <c r="B119" t="s">
        <v>51</v>
      </c>
      <c r="C119" t="s">
        <v>52</v>
      </c>
      <c r="D119" t="s">
        <v>50</v>
      </c>
      <c r="E119" t="s">
        <v>39</v>
      </c>
      <c r="H119">
        <v>0</v>
      </c>
    </row>
    <row r="120" spans="1:8" x14ac:dyDescent="0.25">
      <c r="A120">
        <v>2017</v>
      </c>
      <c r="B120" t="s">
        <v>51</v>
      </c>
      <c r="C120" t="s">
        <v>52</v>
      </c>
      <c r="D120" t="s">
        <v>50</v>
      </c>
      <c r="E120" t="s">
        <v>40</v>
      </c>
      <c r="H120">
        <v>113</v>
      </c>
    </row>
    <row r="121" spans="1:8" x14ac:dyDescent="0.25">
      <c r="A121">
        <v>2017</v>
      </c>
      <c r="B121" t="s">
        <v>51</v>
      </c>
      <c r="C121" t="s">
        <v>52</v>
      </c>
      <c r="D121" t="s">
        <v>50</v>
      </c>
      <c r="E121" t="s">
        <v>41</v>
      </c>
      <c r="H121">
        <v>2</v>
      </c>
    </row>
    <row r="122" spans="1:8" x14ac:dyDescent="0.25">
      <c r="A122">
        <v>2017</v>
      </c>
      <c r="B122" t="s">
        <v>51</v>
      </c>
      <c r="C122" t="s">
        <v>52</v>
      </c>
      <c r="D122" t="s">
        <v>50</v>
      </c>
      <c r="E122" t="s">
        <v>42</v>
      </c>
      <c r="H122">
        <v>0</v>
      </c>
    </row>
    <row r="123" spans="1:8" x14ac:dyDescent="0.25">
      <c r="A123">
        <v>2017</v>
      </c>
      <c r="B123" t="s">
        <v>51</v>
      </c>
      <c r="C123" t="s">
        <v>52</v>
      </c>
      <c r="D123" t="s">
        <v>50</v>
      </c>
      <c r="E123" t="s">
        <v>43</v>
      </c>
      <c r="H123">
        <v>0</v>
      </c>
    </row>
    <row r="124" spans="1:8" x14ac:dyDescent="0.25">
      <c r="A124">
        <v>2017</v>
      </c>
      <c r="B124" t="s">
        <v>51</v>
      </c>
      <c r="C124" t="s">
        <v>52</v>
      </c>
      <c r="D124" t="s">
        <v>50</v>
      </c>
      <c r="E124" t="s">
        <v>44</v>
      </c>
      <c r="H124">
        <v>26</v>
      </c>
    </row>
    <row r="125" spans="1:8" x14ac:dyDescent="0.25">
      <c r="A125">
        <v>2017</v>
      </c>
      <c r="B125" t="s">
        <v>51</v>
      </c>
      <c r="C125" t="s">
        <v>52</v>
      </c>
      <c r="D125" t="s">
        <v>50</v>
      </c>
      <c r="E125" t="s">
        <v>45</v>
      </c>
      <c r="H125">
        <v>0</v>
      </c>
    </row>
    <row r="126" spans="1:8" x14ac:dyDescent="0.25">
      <c r="A126">
        <v>2017</v>
      </c>
      <c r="B126" t="s">
        <v>51</v>
      </c>
      <c r="C126" t="s">
        <v>52</v>
      </c>
      <c r="D126" t="s">
        <v>50</v>
      </c>
      <c r="E126" t="s">
        <v>46</v>
      </c>
      <c r="H126">
        <v>0</v>
      </c>
    </row>
    <row r="127" spans="1:8" x14ac:dyDescent="0.25">
      <c r="A127">
        <v>2017</v>
      </c>
      <c r="B127" t="s">
        <v>51</v>
      </c>
      <c r="C127" t="s">
        <v>52</v>
      </c>
      <c r="D127" t="s">
        <v>50</v>
      </c>
      <c r="E127" t="s">
        <v>47</v>
      </c>
      <c r="H127">
        <v>0</v>
      </c>
    </row>
    <row r="128" spans="1:8" x14ac:dyDescent="0.25">
      <c r="A128">
        <v>2017</v>
      </c>
      <c r="B128" t="s">
        <v>51</v>
      </c>
      <c r="C128" t="s">
        <v>52</v>
      </c>
      <c r="D128" t="s">
        <v>50</v>
      </c>
      <c r="E128" t="s">
        <v>48</v>
      </c>
      <c r="H128">
        <v>0</v>
      </c>
    </row>
    <row r="129" spans="1:8" x14ac:dyDescent="0.25">
      <c r="A129">
        <v>2017</v>
      </c>
      <c r="B129" t="s">
        <v>51</v>
      </c>
      <c r="C129" t="s">
        <v>52</v>
      </c>
      <c r="D129" t="s">
        <v>50</v>
      </c>
      <c r="E129" t="s">
        <v>49</v>
      </c>
      <c r="H129">
        <v>0</v>
      </c>
    </row>
    <row r="130" spans="1:8" x14ac:dyDescent="0.25">
      <c r="A130">
        <v>2018</v>
      </c>
      <c r="B130" t="s">
        <v>51</v>
      </c>
      <c r="C130" t="s">
        <v>52</v>
      </c>
      <c r="D130" t="s">
        <v>17</v>
      </c>
      <c r="E130" t="s">
        <v>49</v>
      </c>
      <c r="H130">
        <v>0</v>
      </c>
    </row>
    <row r="131" spans="1:8" x14ac:dyDescent="0.25">
      <c r="A131">
        <v>2018</v>
      </c>
      <c r="B131" t="s">
        <v>51</v>
      </c>
      <c r="C131" t="s">
        <v>52</v>
      </c>
      <c r="D131" t="s">
        <v>17</v>
      </c>
      <c r="E131" t="s">
        <v>18</v>
      </c>
      <c r="H131">
        <v>0</v>
      </c>
    </row>
    <row r="132" spans="1:8" x14ac:dyDescent="0.25">
      <c r="A132">
        <v>2018</v>
      </c>
      <c r="B132" t="s">
        <v>51</v>
      </c>
      <c r="C132" t="s">
        <v>52</v>
      </c>
      <c r="D132" t="s">
        <v>17</v>
      </c>
      <c r="E132" t="s">
        <v>19</v>
      </c>
      <c r="H132">
        <v>0</v>
      </c>
    </row>
    <row r="133" spans="1:8" x14ac:dyDescent="0.25">
      <c r="A133">
        <v>2018</v>
      </c>
      <c r="B133" t="s">
        <v>51</v>
      </c>
      <c r="C133" t="s">
        <v>52</v>
      </c>
      <c r="D133" t="s">
        <v>17</v>
      </c>
      <c r="E133" t="s">
        <v>20</v>
      </c>
      <c r="H133">
        <v>0</v>
      </c>
    </row>
    <row r="134" spans="1:8" x14ac:dyDescent="0.25">
      <c r="A134">
        <v>2018</v>
      </c>
      <c r="B134" t="s">
        <v>51</v>
      </c>
      <c r="C134" t="s">
        <v>52</v>
      </c>
      <c r="D134" t="s">
        <v>17</v>
      </c>
      <c r="E134" t="s">
        <v>21</v>
      </c>
      <c r="H134">
        <v>0</v>
      </c>
    </row>
    <row r="135" spans="1:8" x14ac:dyDescent="0.25">
      <c r="A135">
        <v>2018</v>
      </c>
      <c r="B135" t="s">
        <v>51</v>
      </c>
      <c r="C135" t="s">
        <v>52</v>
      </c>
      <c r="D135" t="s">
        <v>17</v>
      </c>
      <c r="E135" t="s">
        <v>24</v>
      </c>
      <c r="H135">
        <v>0</v>
      </c>
    </row>
    <row r="136" spans="1:8" x14ac:dyDescent="0.25">
      <c r="A136">
        <v>2018</v>
      </c>
      <c r="B136" t="s">
        <v>51</v>
      </c>
      <c r="C136" t="s">
        <v>52</v>
      </c>
      <c r="D136" t="s">
        <v>17</v>
      </c>
      <c r="E136" t="s">
        <v>25</v>
      </c>
      <c r="H136">
        <v>50</v>
      </c>
    </row>
    <row r="137" spans="1:8" x14ac:dyDescent="0.25">
      <c r="A137">
        <v>2018</v>
      </c>
      <c r="B137" t="s">
        <v>51</v>
      </c>
      <c r="C137" t="s">
        <v>52</v>
      </c>
      <c r="D137" t="s">
        <v>17</v>
      </c>
      <c r="E137" t="s">
        <v>26</v>
      </c>
      <c r="H137">
        <v>0</v>
      </c>
    </row>
    <row r="138" spans="1:8" x14ac:dyDescent="0.25">
      <c r="A138">
        <v>2018</v>
      </c>
      <c r="B138" t="s">
        <v>51</v>
      </c>
      <c r="C138" t="s">
        <v>52</v>
      </c>
      <c r="D138" t="s">
        <v>17</v>
      </c>
      <c r="E138" t="s">
        <v>22</v>
      </c>
      <c r="H138">
        <v>0</v>
      </c>
    </row>
    <row r="139" spans="1:8" x14ac:dyDescent="0.25">
      <c r="A139">
        <v>2018</v>
      </c>
      <c r="B139" t="s">
        <v>51</v>
      </c>
      <c r="C139" t="s">
        <v>52</v>
      </c>
      <c r="D139" t="s">
        <v>17</v>
      </c>
      <c r="E139" t="s">
        <v>23</v>
      </c>
      <c r="H139">
        <v>0</v>
      </c>
    </row>
    <row r="140" spans="1:8" x14ac:dyDescent="0.25">
      <c r="A140">
        <v>2018</v>
      </c>
      <c r="B140" t="s">
        <v>51</v>
      </c>
      <c r="C140" t="s">
        <v>52</v>
      </c>
      <c r="D140" t="s">
        <v>17</v>
      </c>
      <c r="E140" t="s">
        <v>27</v>
      </c>
      <c r="H140">
        <v>0</v>
      </c>
    </row>
    <row r="141" spans="1:8" x14ac:dyDescent="0.25">
      <c r="A141">
        <v>2018</v>
      </c>
      <c r="B141" t="s">
        <v>51</v>
      </c>
      <c r="C141" t="s">
        <v>52</v>
      </c>
      <c r="D141" t="s">
        <v>17</v>
      </c>
      <c r="E141" t="s">
        <v>28</v>
      </c>
      <c r="H141">
        <v>0</v>
      </c>
    </row>
    <row r="142" spans="1:8" x14ac:dyDescent="0.25">
      <c r="A142">
        <v>2018</v>
      </c>
      <c r="B142" t="s">
        <v>51</v>
      </c>
      <c r="C142" t="s">
        <v>52</v>
      </c>
      <c r="D142" t="s">
        <v>17</v>
      </c>
      <c r="E142" t="s">
        <v>29</v>
      </c>
      <c r="H142">
        <v>0</v>
      </c>
    </row>
    <row r="143" spans="1:8" x14ac:dyDescent="0.25">
      <c r="A143">
        <v>2018</v>
      </c>
      <c r="B143" t="s">
        <v>51</v>
      </c>
      <c r="C143" t="s">
        <v>52</v>
      </c>
      <c r="D143" t="s">
        <v>17</v>
      </c>
      <c r="E143" t="s">
        <v>30</v>
      </c>
      <c r="H143">
        <v>0</v>
      </c>
    </row>
    <row r="144" spans="1:8" x14ac:dyDescent="0.25">
      <c r="A144">
        <v>2018</v>
      </c>
      <c r="B144" t="s">
        <v>51</v>
      </c>
      <c r="C144" t="s">
        <v>52</v>
      </c>
      <c r="D144" t="s">
        <v>17</v>
      </c>
      <c r="E144" t="s">
        <v>31</v>
      </c>
      <c r="H144">
        <v>0</v>
      </c>
    </row>
    <row r="145" spans="1:8" x14ac:dyDescent="0.25">
      <c r="A145">
        <v>2018</v>
      </c>
      <c r="B145" t="s">
        <v>51</v>
      </c>
      <c r="C145" t="s">
        <v>52</v>
      </c>
      <c r="D145" t="s">
        <v>17</v>
      </c>
      <c r="E145" t="s">
        <v>33</v>
      </c>
      <c r="H145">
        <v>0</v>
      </c>
    </row>
    <row r="146" spans="1:8" x14ac:dyDescent="0.25">
      <c r="A146">
        <v>2018</v>
      </c>
      <c r="B146" t="s">
        <v>51</v>
      </c>
      <c r="C146" t="s">
        <v>52</v>
      </c>
      <c r="D146" t="s">
        <v>17</v>
      </c>
      <c r="E146" t="s">
        <v>34</v>
      </c>
      <c r="H146">
        <v>0</v>
      </c>
    </row>
    <row r="147" spans="1:8" x14ac:dyDescent="0.25">
      <c r="A147">
        <v>2018</v>
      </c>
      <c r="B147" t="s">
        <v>51</v>
      </c>
      <c r="C147" t="s">
        <v>52</v>
      </c>
      <c r="D147" t="s">
        <v>17</v>
      </c>
      <c r="E147" t="s">
        <v>32</v>
      </c>
      <c r="H147">
        <v>0</v>
      </c>
    </row>
    <row r="148" spans="1:8" x14ac:dyDescent="0.25">
      <c r="A148">
        <v>2018</v>
      </c>
      <c r="B148" t="s">
        <v>51</v>
      </c>
      <c r="C148" t="s">
        <v>52</v>
      </c>
      <c r="D148" t="s">
        <v>17</v>
      </c>
      <c r="E148" t="s">
        <v>35</v>
      </c>
      <c r="H148">
        <v>0</v>
      </c>
    </row>
    <row r="149" spans="1:8" x14ac:dyDescent="0.25">
      <c r="A149">
        <v>2018</v>
      </c>
      <c r="B149" t="s">
        <v>51</v>
      </c>
      <c r="C149" t="s">
        <v>52</v>
      </c>
      <c r="D149" t="s">
        <v>17</v>
      </c>
      <c r="E149" t="s">
        <v>36</v>
      </c>
      <c r="H149">
        <v>0</v>
      </c>
    </row>
    <row r="150" spans="1:8" x14ac:dyDescent="0.25">
      <c r="A150">
        <v>2018</v>
      </c>
      <c r="B150" t="s">
        <v>51</v>
      </c>
      <c r="C150" t="s">
        <v>52</v>
      </c>
      <c r="D150" t="s">
        <v>17</v>
      </c>
      <c r="E150" t="s">
        <v>37</v>
      </c>
      <c r="H150">
        <v>0</v>
      </c>
    </row>
    <row r="151" spans="1:8" x14ac:dyDescent="0.25">
      <c r="A151">
        <v>2018</v>
      </c>
      <c r="B151" t="s">
        <v>51</v>
      </c>
      <c r="C151" t="s">
        <v>52</v>
      </c>
      <c r="D151" t="s">
        <v>17</v>
      </c>
      <c r="E151" t="s">
        <v>38</v>
      </c>
      <c r="H151">
        <v>0</v>
      </c>
    </row>
    <row r="152" spans="1:8" x14ac:dyDescent="0.25">
      <c r="A152">
        <v>2018</v>
      </c>
      <c r="B152" t="s">
        <v>51</v>
      </c>
      <c r="C152" t="s">
        <v>52</v>
      </c>
      <c r="D152" t="s">
        <v>17</v>
      </c>
      <c r="E152" t="s">
        <v>39</v>
      </c>
      <c r="H152">
        <v>0</v>
      </c>
    </row>
    <row r="153" spans="1:8" x14ac:dyDescent="0.25">
      <c r="A153">
        <v>2018</v>
      </c>
      <c r="B153" t="s">
        <v>51</v>
      </c>
      <c r="C153" t="s">
        <v>52</v>
      </c>
      <c r="D153" t="s">
        <v>17</v>
      </c>
      <c r="E153" t="s">
        <v>40</v>
      </c>
      <c r="H153">
        <v>6</v>
      </c>
    </row>
    <row r="154" spans="1:8" x14ac:dyDescent="0.25">
      <c r="A154">
        <v>2018</v>
      </c>
      <c r="B154" t="s">
        <v>51</v>
      </c>
      <c r="C154" t="s">
        <v>52</v>
      </c>
      <c r="D154" t="s">
        <v>17</v>
      </c>
      <c r="E154" t="s">
        <v>41</v>
      </c>
      <c r="H154">
        <v>0</v>
      </c>
    </row>
    <row r="155" spans="1:8" x14ac:dyDescent="0.25">
      <c r="A155">
        <v>2018</v>
      </c>
      <c r="B155" t="s">
        <v>51</v>
      </c>
      <c r="C155" t="s">
        <v>52</v>
      </c>
      <c r="D155" t="s">
        <v>17</v>
      </c>
      <c r="E155" t="s">
        <v>42</v>
      </c>
      <c r="H155">
        <v>0</v>
      </c>
    </row>
    <row r="156" spans="1:8" x14ac:dyDescent="0.25">
      <c r="A156">
        <v>2018</v>
      </c>
      <c r="B156" t="s">
        <v>51</v>
      </c>
      <c r="C156" t="s">
        <v>52</v>
      </c>
      <c r="D156" t="s">
        <v>17</v>
      </c>
      <c r="E156" t="s">
        <v>43</v>
      </c>
      <c r="H156">
        <v>0</v>
      </c>
    </row>
    <row r="157" spans="1:8" x14ac:dyDescent="0.25">
      <c r="A157">
        <v>2018</v>
      </c>
      <c r="B157" t="s">
        <v>51</v>
      </c>
      <c r="C157" t="s">
        <v>52</v>
      </c>
      <c r="D157" t="s">
        <v>17</v>
      </c>
      <c r="E157" t="s">
        <v>44</v>
      </c>
      <c r="H157">
        <v>0</v>
      </c>
    </row>
    <row r="158" spans="1:8" x14ac:dyDescent="0.25">
      <c r="A158">
        <v>2018</v>
      </c>
      <c r="B158" t="s">
        <v>51</v>
      </c>
      <c r="C158" t="s">
        <v>52</v>
      </c>
      <c r="D158" t="s">
        <v>17</v>
      </c>
      <c r="E158" t="s">
        <v>45</v>
      </c>
      <c r="H158">
        <v>0</v>
      </c>
    </row>
    <row r="159" spans="1:8" x14ac:dyDescent="0.25">
      <c r="A159">
        <v>2018</v>
      </c>
      <c r="B159" t="s">
        <v>51</v>
      </c>
      <c r="C159" t="s">
        <v>52</v>
      </c>
      <c r="D159" t="s">
        <v>17</v>
      </c>
      <c r="E159" t="s">
        <v>46</v>
      </c>
      <c r="H159">
        <v>0</v>
      </c>
    </row>
    <row r="160" spans="1:8" x14ac:dyDescent="0.25">
      <c r="A160">
        <v>2018</v>
      </c>
      <c r="B160" t="s">
        <v>51</v>
      </c>
      <c r="C160" t="s">
        <v>52</v>
      </c>
      <c r="D160" t="s">
        <v>17</v>
      </c>
      <c r="E160" t="s">
        <v>47</v>
      </c>
      <c r="H160">
        <v>0</v>
      </c>
    </row>
    <row r="161" spans="1:8" x14ac:dyDescent="0.25">
      <c r="A161">
        <v>2018</v>
      </c>
      <c r="B161" t="s">
        <v>51</v>
      </c>
      <c r="C161" t="s">
        <v>52</v>
      </c>
      <c r="D161" t="s">
        <v>17</v>
      </c>
      <c r="E161" t="s">
        <v>48</v>
      </c>
      <c r="H161">
        <v>0</v>
      </c>
    </row>
    <row r="162" spans="1:8" x14ac:dyDescent="0.25">
      <c r="A162">
        <v>2018</v>
      </c>
      <c r="B162" t="s">
        <v>51</v>
      </c>
      <c r="C162" t="s">
        <v>52</v>
      </c>
      <c r="D162" t="s">
        <v>50</v>
      </c>
      <c r="E162" t="s">
        <v>18</v>
      </c>
      <c r="H162">
        <v>0</v>
      </c>
    </row>
    <row r="163" spans="1:8" x14ac:dyDescent="0.25">
      <c r="A163">
        <v>2018</v>
      </c>
      <c r="B163" t="s">
        <v>51</v>
      </c>
      <c r="C163" t="s">
        <v>52</v>
      </c>
      <c r="D163" t="s">
        <v>50</v>
      </c>
      <c r="E163" t="s">
        <v>19</v>
      </c>
      <c r="H163">
        <v>0</v>
      </c>
    </row>
    <row r="164" spans="1:8" x14ac:dyDescent="0.25">
      <c r="A164">
        <v>2018</v>
      </c>
      <c r="B164" t="s">
        <v>51</v>
      </c>
      <c r="C164" t="s">
        <v>52</v>
      </c>
      <c r="D164" t="s">
        <v>50</v>
      </c>
      <c r="E164" t="s">
        <v>20</v>
      </c>
      <c r="H164">
        <v>0</v>
      </c>
    </row>
    <row r="165" spans="1:8" x14ac:dyDescent="0.25">
      <c r="A165">
        <v>2018</v>
      </c>
      <c r="B165" t="s">
        <v>51</v>
      </c>
      <c r="C165" t="s">
        <v>52</v>
      </c>
      <c r="D165" t="s">
        <v>50</v>
      </c>
      <c r="E165" t="s">
        <v>21</v>
      </c>
      <c r="H165">
        <v>0</v>
      </c>
    </row>
    <row r="166" spans="1:8" x14ac:dyDescent="0.25">
      <c r="A166">
        <v>2018</v>
      </c>
      <c r="B166" t="s">
        <v>51</v>
      </c>
      <c r="C166" t="s">
        <v>52</v>
      </c>
      <c r="D166" t="s">
        <v>50</v>
      </c>
      <c r="E166" t="s">
        <v>24</v>
      </c>
      <c r="H166">
        <v>0</v>
      </c>
    </row>
    <row r="167" spans="1:8" x14ac:dyDescent="0.25">
      <c r="A167">
        <v>2018</v>
      </c>
      <c r="B167" t="s">
        <v>51</v>
      </c>
      <c r="C167" t="s">
        <v>52</v>
      </c>
      <c r="D167" t="s">
        <v>50</v>
      </c>
      <c r="E167" t="s">
        <v>25</v>
      </c>
      <c r="H167">
        <v>516</v>
      </c>
    </row>
    <row r="168" spans="1:8" x14ac:dyDescent="0.25">
      <c r="A168">
        <v>2018</v>
      </c>
      <c r="B168" t="s">
        <v>51</v>
      </c>
      <c r="C168" t="s">
        <v>52</v>
      </c>
      <c r="D168" t="s">
        <v>50</v>
      </c>
      <c r="E168" t="s">
        <v>26</v>
      </c>
      <c r="H168">
        <v>0</v>
      </c>
    </row>
    <row r="169" spans="1:8" x14ac:dyDescent="0.25">
      <c r="A169">
        <v>2018</v>
      </c>
      <c r="B169" t="s">
        <v>51</v>
      </c>
      <c r="C169" t="s">
        <v>52</v>
      </c>
      <c r="D169" t="s">
        <v>50</v>
      </c>
      <c r="E169" t="s">
        <v>22</v>
      </c>
      <c r="H169">
        <v>0</v>
      </c>
    </row>
    <row r="170" spans="1:8" x14ac:dyDescent="0.25">
      <c r="A170">
        <v>2018</v>
      </c>
      <c r="B170" t="s">
        <v>51</v>
      </c>
      <c r="C170" t="s">
        <v>52</v>
      </c>
      <c r="D170" t="s">
        <v>50</v>
      </c>
      <c r="E170" t="s">
        <v>23</v>
      </c>
      <c r="H170">
        <v>0</v>
      </c>
    </row>
    <row r="171" spans="1:8" x14ac:dyDescent="0.25">
      <c r="A171">
        <v>2018</v>
      </c>
      <c r="B171" t="s">
        <v>51</v>
      </c>
      <c r="C171" t="s">
        <v>52</v>
      </c>
      <c r="D171" t="s">
        <v>50</v>
      </c>
      <c r="E171" t="s">
        <v>27</v>
      </c>
      <c r="H171">
        <v>0</v>
      </c>
    </row>
    <row r="172" spans="1:8" x14ac:dyDescent="0.25">
      <c r="A172">
        <v>2018</v>
      </c>
      <c r="B172" t="s">
        <v>51</v>
      </c>
      <c r="C172" t="s">
        <v>52</v>
      </c>
      <c r="D172" t="s">
        <v>50</v>
      </c>
      <c r="E172" t="s">
        <v>28</v>
      </c>
      <c r="H172">
        <v>0</v>
      </c>
    </row>
    <row r="173" spans="1:8" x14ac:dyDescent="0.25">
      <c r="A173">
        <v>2018</v>
      </c>
      <c r="B173" t="s">
        <v>51</v>
      </c>
      <c r="C173" t="s">
        <v>52</v>
      </c>
      <c r="D173" t="s">
        <v>50</v>
      </c>
      <c r="E173" t="s">
        <v>29</v>
      </c>
      <c r="H173">
        <v>0</v>
      </c>
    </row>
    <row r="174" spans="1:8" x14ac:dyDescent="0.25">
      <c r="A174">
        <v>2018</v>
      </c>
      <c r="B174" t="s">
        <v>51</v>
      </c>
      <c r="C174" t="s">
        <v>52</v>
      </c>
      <c r="D174" t="s">
        <v>50</v>
      </c>
      <c r="E174" t="s">
        <v>30</v>
      </c>
      <c r="H174">
        <v>0</v>
      </c>
    </row>
    <row r="175" spans="1:8" x14ac:dyDescent="0.25">
      <c r="A175">
        <v>2018</v>
      </c>
      <c r="B175" t="s">
        <v>51</v>
      </c>
      <c r="C175" t="s">
        <v>52</v>
      </c>
      <c r="D175" t="s">
        <v>50</v>
      </c>
      <c r="E175" t="s">
        <v>31</v>
      </c>
      <c r="H175">
        <v>0</v>
      </c>
    </row>
    <row r="176" spans="1:8" x14ac:dyDescent="0.25">
      <c r="A176">
        <v>2018</v>
      </c>
      <c r="B176" t="s">
        <v>51</v>
      </c>
      <c r="C176" t="s">
        <v>52</v>
      </c>
      <c r="D176" t="s">
        <v>50</v>
      </c>
      <c r="E176" t="s">
        <v>33</v>
      </c>
      <c r="H176">
        <v>0</v>
      </c>
    </row>
    <row r="177" spans="1:8" x14ac:dyDescent="0.25">
      <c r="A177">
        <v>2018</v>
      </c>
      <c r="B177" t="s">
        <v>51</v>
      </c>
      <c r="C177" t="s">
        <v>52</v>
      </c>
      <c r="D177" t="s">
        <v>50</v>
      </c>
      <c r="E177" t="s">
        <v>34</v>
      </c>
      <c r="H177">
        <v>0</v>
      </c>
    </row>
    <row r="178" spans="1:8" x14ac:dyDescent="0.25">
      <c r="A178">
        <v>2018</v>
      </c>
      <c r="B178" t="s">
        <v>51</v>
      </c>
      <c r="C178" t="s">
        <v>52</v>
      </c>
      <c r="D178" t="s">
        <v>50</v>
      </c>
      <c r="E178" t="s">
        <v>32</v>
      </c>
      <c r="H178">
        <v>0</v>
      </c>
    </row>
    <row r="179" spans="1:8" x14ac:dyDescent="0.25">
      <c r="A179">
        <v>2018</v>
      </c>
      <c r="B179" t="s">
        <v>51</v>
      </c>
      <c r="C179" t="s">
        <v>52</v>
      </c>
      <c r="D179" t="s">
        <v>50</v>
      </c>
      <c r="E179" t="s">
        <v>35</v>
      </c>
      <c r="H179">
        <v>0</v>
      </c>
    </row>
    <row r="180" spans="1:8" x14ac:dyDescent="0.25">
      <c r="A180">
        <v>2018</v>
      </c>
      <c r="B180" t="s">
        <v>51</v>
      </c>
      <c r="C180" t="s">
        <v>52</v>
      </c>
      <c r="D180" t="s">
        <v>50</v>
      </c>
      <c r="E180" t="s">
        <v>36</v>
      </c>
      <c r="H180">
        <v>0</v>
      </c>
    </row>
    <row r="181" spans="1:8" x14ac:dyDescent="0.25">
      <c r="A181">
        <v>2018</v>
      </c>
      <c r="B181" t="s">
        <v>51</v>
      </c>
      <c r="C181" t="s">
        <v>52</v>
      </c>
      <c r="D181" t="s">
        <v>50</v>
      </c>
      <c r="E181" t="s">
        <v>37</v>
      </c>
      <c r="H181">
        <v>0</v>
      </c>
    </row>
    <row r="182" spans="1:8" x14ac:dyDescent="0.25">
      <c r="A182">
        <v>2018</v>
      </c>
      <c r="B182" t="s">
        <v>51</v>
      </c>
      <c r="C182" t="s">
        <v>52</v>
      </c>
      <c r="D182" t="s">
        <v>50</v>
      </c>
      <c r="E182" t="s">
        <v>38</v>
      </c>
      <c r="H182">
        <v>0</v>
      </c>
    </row>
    <row r="183" spans="1:8" x14ac:dyDescent="0.25">
      <c r="A183">
        <v>2018</v>
      </c>
      <c r="B183" t="s">
        <v>51</v>
      </c>
      <c r="C183" t="s">
        <v>52</v>
      </c>
      <c r="D183" t="s">
        <v>50</v>
      </c>
      <c r="E183" t="s">
        <v>39</v>
      </c>
      <c r="H183">
        <v>0</v>
      </c>
    </row>
    <row r="184" spans="1:8" x14ac:dyDescent="0.25">
      <c r="A184">
        <v>2018</v>
      </c>
      <c r="B184" t="s">
        <v>51</v>
      </c>
      <c r="C184" t="s">
        <v>52</v>
      </c>
      <c r="D184" t="s">
        <v>50</v>
      </c>
      <c r="E184" t="s">
        <v>40</v>
      </c>
      <c r="H184">
        <v>67</v>
      </c>
    </row>
    <row r="185" spans="1:8" x14ac:dyDescent="0.25">
      <c r="A185">
        <v>2018</v>
      </c>
      <c r="B185" t="s">
        <v>51</v>
      </c>
      <c r="C185" t="s">
        <v>52</v>
      </c>
      <c r="D185" t="s">
        <v>50</v>
      </c>
      <c r="E185" t="s">
        <v>41</v>
      </c>
      <c r="H185">
        <v>0</v>
      </c>
    </row>
    <row r="186" spans="1:8" x14ac:dyDescent="0.25">
      <c r="A186">
        <v>2018</v>
      </c>
      <c r="B186" t="s">
        <v>51</v>
      </c>
      <c r="C186" t="s">
        <v>52</v>
      </c>
      <c r="D186" t="s">
        <v>50</v>
      </c>
      <c r="E186" t="s">
        <v>42</v>
      </c>
      <c r="H186">
        <v>0</v>
      </c>
    </row>
    <row r="187" spans="1:8" x14ac:dyDescent="0.25">
      <c r="A187">
        <v>2018</v>
      </c>
      <c r="B187" t="s">
        <v>51</v>
      </c>
      <c r="C187" t="s">
        <v>52</v>
      </c>
      <c r="D187" t="s">
        <v>50</v>
      </c>
      <c r="E187" t="s">
        <v>43</v>
      </c>
      <c r="H187">
        <v>0</v>
      </c>
    </row>
    <row r="188" spans="1:8" x14ac:dyDescent="0.25">
      <c r="A188">
        <v>2018</v>
      </c>
      <c r="B188" t="s">
        <v>51</v>
      </c>
      <c r="C188" t="s">
        <v>52</v>
      </c>
      <c r="D188" t="s">
        <v>50</v>
      </c>
      <c r="E188" t="s">
        <v>44</v>
      </c>
      <c r="H188">
        <v>0</v>
      </c>
    </row>
    <row r="189" spans="1:8" x14ac:dyDescent="0.25">
      <c r="A189">
        <v>2018</v>
      </c>
      <c r="B189" t="s">
        <v>51</v>
      </c>
      <c r="C189" t="s">
        <v>52</v>
      </c>
      <c r="D189" t="s">
        <v>50</v>
      </c>
      <c r="E189" t="s">
        <v>45</v>
      </c>
      <c r="H189">
        <v>0</v>
      </c>
    </row>
    <row r="190" spans="1:8" x14ac:dyDescent="0.25">
      <c r="A190">
        <v>2018</v>
      </c>
      <c r="B190" t="s">
        <v>51</v>
      </c>
      <c r="C190" t="s">
        <v>52</v>
      </c>
      <c r="D190" t="s">
        <v>50</v>
      </c>
      <c r="E190" t="s">
        <v>46</v>
      </c>
      <c r="H190">
        <v>0</v>
      </c>
    </row>
    <row r="191" spans="1:8" x14ac:dyDescent="0.25">
      <c r="A191">
        <v>2018</v>
      </c>
      <c r="B191" t="s">
        <v>51</v>
      </c>
      <c r="C191" t="s">
        <v>52</v>
      </c>
      <c r="D191" t="s">
        <v>50</v>
      </c>
      <c r="E191" t="s">
        <v>47</v>
      </c>
      <c r="H191">
        <v>0</v>
      </c>
    </row>
    <row r="192" spans="1:8" x14ac:dyDescent="0.25">
      <c r="A192">
        <v>2018</v>
      </c>
      <c r="B192" t="s">
        <v>51</v>
      </c>
      <c r="C192" t="s">
        <v>52</v>
      </c>
      <c r="D192" t="s">
        <v>50</v>
      </c>
      <c r="E192" t="s">
        <v>48</v>
      </c>
      <c r="H192">
        <v>0</v>
      </c>
    </row>
    <row r="193" spans="1:8" x14ac:dyDescent="0.25">
      <c r="A193">
        <v>2018</v>
      </c>
      <c r="B193" t="s">
        <v>51</v>
      </c>
      <c r="C193" t="s">
        <v>52</v>
      </c>
      <c r="D193" t="s">
        <v>50</v>
      </c>
      <c r="E193" t="s">
        <v>49</v>
      </c>
      <c r="H193">
        <v>0</v>
      </c>
    </row>
    <row r="194" spans="1:8" x14ac:dyDescent="0.25">
      <c r="A194">
        <v>2019</v>
      </c>
      <c r="B194" t="s">
        <v>16</v>
      </c>
      <c r="C194" t="s">
        <v>52</v>
      </c>
      <c r="D194" t="s">
        <v>17</v>
      </c>
      <c r="E194" t="s">
        <v>18</v>
      </c>
      <c r="H194">
        <v>0</v>
      </c>
    </row>
    <row r="195" spans="1:8" x14ac:dyDescent="0.25">
      <c r="A195">
        <v>2019</v>
      </c>
      <c r="B195" t="s">
        <v>16</v>
      </c>
      <c r="C195" t="s">
        <v>52</v>
      </c>
      <c r="D195" t="s">
        <v>17</v>
      </c>
      <c r="E195" t="s">
        <v>19</v>
      </c>
      <c r="H195">
        <v>0</v>
      </c>
    </row>
    <row r="196" spans="1:8" x14ac:dyDescent="0.25">
      <c r="A196">
        <v>2019</v>
      </c>
      <c r="B196" t="s">
        <v>16</v>
      </c>
      <c r="C196" t="s">
        <v>52</v>
      </c>
      <c r="D196" t="s">
        <v>17</v>
      </c>
      <c r="E196" t="s">
        <v>20</v>
      </c>
      <c r="H196">
        <v>0</v>
      </c>
    </row>
    <row r="197" spans="1:8" x14ac:dyDescent="0.25">
      <c r="A197">
        <v>2019</v>
      </c>
      <c r="B197" t="s">
        <v>16</v>
      </c>
      <c r="C197" t="s">
        <v>52</v>
      </c>
      <c r="D197" t="s">
        <v>17</v>
      </c>
      <c r="E197" t="s">
        <v>21</v>
      </c>
      <c r="H197">
        <v>0</v>
      </c>
    </row>
    <row r="198" spans="1:8" x14ac:dyDescent="0.25">
      <c r="A198">
        <v>2019</v>
      </c>
      <c r="B198" t="s">
        <v>16</v>
      </c>
      <c r="C198" t="s">
        <v>52</v>
      </c>
      <c r="D198" t="s">
        <v>17</v>
      </c>
      <c r="E198" t="s">
        <v>22</v>
      </c>
      <c r="H198">
        <v>0</v>
      </c>
    </row>
    <row r="199" spans="1:8" x14ac:dyDescent="0.25">
      <c r="A199">
        <v>2019</v>
      </c>
      <c r="B199" t="s">
        <v>16</v>
      </c>
      <c r="C199" t="s">
        <v>52</v>
      </c>
      <c r="D199" t="s">
        <v>17</v>
      </c>
      <c r="E199" t="s">
        <v>23</v>
      </c>
      <c r="H199">
        <v>0</v>
      </c>
    </row>
    <row r="200" spans="1:8" x14ac:dyDescent="0.25">
      <c r="A200">
        <v>2019</v>
      </c>
      <c r="B200" t="s">
        <v>16</v>
      </c>
      <c r="C200" t="s">
        <v>52</v>
      </c>
      <c r="D200" t="s">
        <v>17</v>
      </c>
      <c r="E200" t="s">
        <v>24</v>
      </c>
      <c r="H200">
        <v>0</v>
      </c>
    </row>
    <row r="201" spans="1:8" x14ac:dyDescent="0.25">
      <c r="A201">
        <v>2019</v>
      </c>
      <c r="B201" t="s">
        <v>16</v>
      </c>
      <c r="C201" t="s">
        <v>52</v>
      </c>
      <c r="D201" t="s">
        <v>17</v>
      </c>
      <c r="E201" t="s">
        <v>25</v>
      </c>
      <c r="H201">
        <v>0</v>
      </c>
    </row>
    <row r="202" spans="1:8" x14ac:dyDescent="0.25">
      <c r="A202">
        <v>2019</v>
      </c>
      <c r="B202" t="s">
        <v>16</v>
      </c>
      <c r="C202" t="s">
        <v>52</v>
      </c>
      <c r="D202" t="s">
        <v>17</v>
      </c>
      <c r="E202" t="s">
        <v>26</v>
      </c>
      <c r="H202">
        <v>0</v>
      </c>
    </row>
    <row r="203" spans="1:8" x14ac:dyDescent="0.25">
      <c r="A203">
        <v>2019</v>
      </c>
      <c r="B203" t="s">
        <v>16</v>
      </c>
      <c r="C203" t="s">
        <v>52</v>
      </c>
      <c r="D203" t="s">
        <v>17</v>
      </c>
      <c r="E203" t="s">
        <v>27</v>
      </c>
      <c r="H203">
        <v>0</v>
      </c>
    </row>
    <row r="204" spans="1:8" x14ac:dyDescent="0.25">
      <c r="A204">
        <v>2019</v>
      </c>
      <c r="B204" t="s">
        <v>16</v>
      </c>
      <c r="C204" t="s">
        <v>52</v>
      </c>
      <c r="D204" t="s">
        <v>17</v>
      </c>
      <c r="E204" t="s">
        <v>28</v>
      </c>
      <c r="H204">
        <v>0</v>
      </c>
    </row>
    <row r="205" spans="1:8" x14ac:dyDescent="0.25">
      <c r="A205">
        <v>2019</v>
      </c>
      <c r="B205" t="s">
        <v>16</v>
      </c>
      <c r="C205" t="s">
        <v>52</v>
      </c>
      <c r="D205" t="s">
        <v>17</v>
      </c>
      <c r="E205" t="s">
        <v>29</v>
      </c>
      <c r="H205">
        <v>0</v>
      </c>
    </row>
    <row r="206" spans="1:8" x14ac:dyDescent="0.25">
      <c r="A206">
        <v>2019</v>
      </c>
      <c r="B206" t="s">
        <v>16</v>
      </c>
      <c r="C206" t="s">
        <v>52</v>
      </c>
      <c r="D206" t="s">
        <v>17</v>
      </c>
      <c r="E206" t="s">
        <v>30</v>
      </c>
      <c r="H206">
        <v>0</v>
      </c>
    </row>
    <row r="207" spans="1:8" x14ac:dyDescent="0.25">
      <c r="A207">
        <v>2019</v>
      </c>
      <c r="B207" t="s">
        <v>16</v>
      </c>
      <c r="C207" t="s">
        <v>52</v>
      </c>
      <c r="D207" t="s">
        <v>17</v>
      </c>
      <c r="E207" t="s">
        <v>31</v>
      </c>
      <c r="H207">
        <v>0</v>
      </c>
    </row>
    <row r="208" spans="1:8" x14ac:dyDescent="0.25">
      <c r="A208">
        <v>2019</v>
      </c>
      <c r="B208" t="s">
        <v>16</v>
      </c>
      <c r="C208" t="s">
        <v>52</v>
      </c>
      <c r="D208" t="s">
        <v>17</v>
      </c>
      <c r="E208" t="s">
        <v>32</v>
      </c>
      <c r="H208">
        <v>0</v>
      </c>
    </row>
    <row r="209" spans="1:8" x14ac:dyDescent="0.25">
      <c r="A209">
        <v>2019</v>
      </c>
      <c r="B209" t="s">
        <v>16</v>
      </c>
      <c r="C209" t="s">
        <v>52</v>
      </c>
      <c r="D209" t="s">
        <v>17</v>
      </c>
      <c r="E209" t="s">
        <v>33</v>
      </c>
      <c r="H209">
        <v>0</v>
      </c>
    </row>
    <row r="210" spans="1:8" x14ac:dyDescent="0.25">
      <c r="A210">
        <v>2019</v>
      </c>
      <c r="B210" t="s">
        <v>16</v>
      </c>
      <c r="C210" t="s">
        <v>52</v>
      </c>
      <c r="D210" t="s">
        <v>17</v>
      </c>
      <c r="E210" t="s">
        <v>34</v>
      </c>
      <c r="H210">
        <v>0</v>
      </c>
    </row>
    <row r="211" spans="1:8" x14ac:dyDescent="0.25">
      <c r="A211">
        <v>2019</v>
      </c>
      <c r="B211" t="s">
        <v>16</v>
      </c>
      <c r="C211" t="s">
        <v>52</v>
      </c>
      <c r="D211" t="s">
        <v>17</v>
      </c>
      <c r="E211" t="s">
        <v>35</v>
      </c>
      <c r="H211">
        <v>0</v>
      </c>
    </row>
    <row r="212" spans="1:8" x14ac:dyDescent="0.25">
      <c r="A212">
        <v>2019</v>
      </c>
      <c r="B212" t="s">
        <v>16</v>
      </c>
      <c r="C212" t="s">
        <v>52</v>
      </c>
      <c r="D212" t="s">
        <v>17</v>
      </c>
      <c r="E212" t="s">
        <v>36</v>
      </c>
      <c r="H212">
        <v>0</v>
      </c>
    </row>
    <row r="213" spans="1:8" x14ac:dyDescent="0.25">
      <c r="A213">
        <v>2019</v>
      </c>
      <c r="B213" t="s">
        <v>16</v>
      </c>
      <c r="C213" t="s">
        <v>52</v>
      </c>
      <c r="D213" t="s">
        <v>17</v>
      </c>
      <c r="E213" t="s">
        <v>37</v>
      </c>
      <c r="H213">
        <v>0</v>
      </c>
    </row>
    <row r="214" spans="1:8" x14ac:dyDescent="0.25">
      <c r="A214">
        <v>2019</v>
      </c>
      <c r="B214" t="s">
        <v>16</v>
      </c>
      <c r="C214" t="s">
        <v>52</v>
      </c>
      <c r="D214" t="s">
        <v>17</v>
      </c>
      <c r="E214" t="s">
        <v>38</v>
      </c>
      <c r="H214">
        <v>0</v>
      </c>
    </row>
    <row r="215" spans="1:8" x14ac:dyDescent="0.25">
      <c r="A215">
        <v>2019</v>
      </c>
      <c r="B215" t="s">
        <v>16</v>
      </c>
      <c r="C215" t="s">
        <v>52</v>
      </c>
      <c r="D215" t="s">
        <v>17</v>
      </c>
      <c r="E215" t="s">
        <v>39</v>
      </c>
      <c r="H215">
        <v>0</v>
      </c>
    </row>
    <row r="216" spans="1:8" x14ac:dyDescent="0.25">
      <c r="A216">
        <v>2019</v>
      </c>
      <c r="B216" t="s">
        <v>16</v>
      </c>
      <c r="C216" t="s">
        <v>52</v>
      </c>
      <c r="D216" t="s">
        <v>17</v>
      </c>
      <c r="E216" t="s">
        <v>40</v>
      </c>
      <c r="H216">
        <v>0</v>
      </c>
    </row>
    <row r="217" spans="1:8" x14ac:dyDescent="0.25">
      <c r="A217">
        <v>2019</v>
      </c>
      <c r="B217" t="s">
        <v>16</v>
      </c>
      <c r="C217" t="s">
        <v>52</v>
      </c>
      <c r="D217" t="s">
        <v>17</v>
      </c>
      <c r="E217" t="s">
        <v>41</v>
      </c>
      <c r="H217">
        <v>0</v>
      </c>
    </row>
    <row r="218" spans="1:8" x14ac:dyDescent="0.25">
      <c r="A218">
        <v>2019</v>
      </c>
      <c r="B218" t="s">
        <v>16</v>
      </c>
      <c r="C218" t="s">
        <v>52</v>
      </c>
      <c r="D218" t="s">
        <v>17</v>
      </c>
      <c r="E218" t="s">
        <v>42</v>
      </c>
      <c r="H218">
        <v>0</v>
      </c>
    </row>
    <row r="219" spans="1:8" x14ac:dyDescent="0.25">
      <c r="A219">
        <v>2019</v>
      </c>
      <c r="B219" t="s">
        <v>16</v>
      </c>
      <c r="C219" t="s">
        <v>52</v>
      </c>
      <c r="D219" t="s">
        <v>17</v>
      </c>
      <c r="E219" t="s">
        <v>43</v>
      </c>
      <c r="H219">
        <v>0</v>
      </c>
    </row>
    <row r="220" spans="1:8" x14ac:dyDescent="0.25">
      <c r="A220">
        <v>2019</v>
      </c>
      <c r="B220" t="s">
        <v>16</v>
      </c>
      <c r="C220" t="s">
        <v>52</v>
      </c>
      <c r="D220" t="s">
        <v>17</v>
      </c>
      <c r="E220" t="s">
        <v>44</v>
      </c>
      <c r="H220">
        <v>0</v>
      </c>
    </row>
    <row r="221" spans="1:8" x14ac:dyDescent="0.25">
      <c r="A221">
        <v>2019</v>
      </c>
      <c r="B221" t="s">
        <v>16</v>
      </c>
      <c r="C221" t="s">
        <v>52</v>
      </c>
      <c r="D221" t="s">
        <v>17</v>
      </c>
      <c r="E221" t="s">
        <v>45</v>
      </c>
      <c r="H221">
        <v>0</v>
      </c>
    </row>
    <row r="222" spans="1:8" x14ac:dyDescent="0.25">
      <c r="A222">
        <v>2019</v>
      </c>
      <c r="B222" t="s">
        <v>16</v>
      </c>
      <c r="C222" t="s">
        <v>52</v>
      </c>
      <c r="D222" t="s">
        <v>17</v>
      </c>
      <c r="E222" t="s">
        <v>46</v>
      </c>
      <c r="H222">
        <v>0</v>
      </c>
    </row>
    <row r="223" spans="1:8" x14ac:dyDescent="0.25">
      <c r="A223">
        <v>2019</v>
      </c>
      <c r="B223" t="s">
        <v>16</v>
      </c>
      <c r="C223" t="s">
        <v>52</v>
      </c>
      <c r="D223" t="s">
        <v>17</v>
      </c>
      <c r="E223" t="s">
        <v>47</v>
      </c>
      <c r="H223">
        <v>0</v>
      </c>
    </row>
    <row r="224" spans="1:8" x14ac:dyDescent="0.25">
      <c r="A224">
        <v>2019</v>
      </c>
      <c r="B224" t="s">
        <v>16</v>
      </c>
      <c r="C224" t="s">
        <v>52</v>
      </c>
      <c r="D224" t="s">
        <v>17</v>
      </c>
      <c r="E224" t="s">
        <v>48</v>
      </c>
      <c r="H224">
        <v>0</v>
      </c>
    </row>
    <row r="225" spans="1:8" x14ac:dyDescent="0.25">
      <c r="A225">
        <v>2019</v>
      </c>
      <c r="B225" t="s">
        <v>16</v>
      </c>
      <c r="C225" t="s">
        <v>52</v>
      </c>
      <c r="D225" t="s">
        <v>17</v>
      </c>
      <c r="E225" t="s">
        <v>49</v>
      </c>
      <c r="H225">
        <v>0</v>
      </c>
    </row>
    <row r="226" spans="1:8" x14ac:dyDescent="0.25">
      <c r="A226">
        <v>2019</v>
      </c>
      <c r="B226" t="s">
        <v>16</v>
      </c>
      <c r="C226" t="s">
        <v>52</v>
      </c>
      <c r="D226" t="s">
        <v>50</v>
      </c>
      <c r="E226" t="s">
        <v>18</v>
      </c>
      <c r="H226">
        <v>0</v>
      </c>
    </row>
    <row r="227" spans="1:8" x14ac:dyDescent="0.25">
      <c r="A227">
        <v>2019</v>
      </c>
      <c r="B227" t="s">
        <v>16</v>
      </c>
      <c r="C227" t="s">
        <v>52</v>
      </c>
      <c r="D227" t="s">
        <v>50</v>
      </c>
      <c r="E227" t="s">
        <v>19</v>
      </c>
      <c r="H227">
        <v>0</v>
      </c>
    </row>
    <row r="228" spans="1:8" x14ac:dyDescent="0.25">
      <c r="A228">
        <v>2019</v>
      </c>
      <c r="B228" t="s">
        <v>16</v>
      </c>
      <c r="C228" t="s">
        <v>52</v>
      </c>
      <c r="D228" t="s">
        <v>50</v>
      </c>
      <c r="E228" t="s">
        <v>20</v>
      </c>
      <c r="H228">
        <v>0</v>
      </c>
    </row>
    <row r="229" spans="1:8" x14ac:dyDescent="0.25">
      <c r="A229">
        <v>2019</v>
      </c>
      <c r="B229" t="s">
        <v>16</v>
      </c>
      <c r="C229" t="s">
        <v>52</v>
      </c>
      <c r="D229" t="s">
        <v>50</v>
      </c>
      <c r="E229" t="s">
        <v>21</v>
      </c>
      <c r="H229">
        <v>0</v>
      </c>
    </row>
    <row r="230" spans="1:8" x14ac:dyDescent="0.25">
      <c r="A230">
        <v>2019</v>
      </c>
      <c r="B230" t="s">
        <v>16</v>
      </c>
      <c r="C230" t="s">
        <v>52</v>
      </c>
      <c r="D230" t="s">
        <v>50</v>
      </c>
      <c r="E230" t="s">
        <v>22</v>
      </c>
      <c r="H230">
        <v>0</v>
      </c>
    </row>
    <row r="231" spans="1:8" x14ac:dyDescent="0.25">
      <c r="A231">
        <v>2019</v>
      </c>
      <c r="B231" t="s">
        <v>16</v>
      </c>
      <c r="C231" t="s">
        <v>52</v>
      </c>
      <c r="D231" t="s">
        <v>50</v>
      </c>
      <c r="E231" t="s">
        <v>23</v>
      </c>
      <c r="H231">
        <v>0</v>
      </c>
    </row>
    <row r="232" spans="1:8" x14ac:dyDescent="0.25">
      <c r="A232">
        <v>2019</v>
      </c>
      <c r="B232" t="s">
        <v>16</v>
      </c>
      <c r="C232" t="s">
        <v>52</v>
      </c>
      <c r="D232" t="s">
        <v>50</v>
      </c>
      <c r="E232" t="s">
        <v>24</v>
      </c>
      <c r="H232">
        <v>0</v>
      </c>
    </row>
    <row r="233" spans="1:8" x14ac:dyDescent="0.25">
      <c r="A233">
        <v>2019</v>
      </c>
      <c r="B233" t="s">
        <v>16</v>
      </c>
      <c r="C233" t="s">
        <v>52</v>
      </c>
      <c r="D233" t="s">
        <v>50</v>
      </c>
      <c r="E233" t="s">
        <v>25</v>
      </c>
      <c r="H233">
        <v>0</v>
      </c>
    </row>
    <row r="234" spans="1:8" x14ac:dyDescent="0.25">
      <c r="A234">
        <v>2019</v>
      </c>
      <c r="B234" t="s">
        <v>16</v>
      </c>
      <c r="C234" t="s">
        <v>52</v>
      </c>
      <c r="D234" t="s">
        <v>50</v>
      </c>
      <c r="E234" t="s">
        <v>26</v>
      </c>
      <c r="H234">
        <v>0</v>
      </c>
    </row>
    <row r="235" spans="1:8" x14ac:dyDescent="0.25">
      <c r="A235">
        <v>2019</v>
      </c>
      <c r="B235" t="s">
        <v>16</v>
      </c>
      <c r="C235" t="s">
        <v>52</v>
      </c>
      <c r="D235" t="s">
        <v>50</v>
      </c>
      <c r="E235" t="s">
        <v>27</v>
      </c>
      <c r="H235">
        <v>0</v>
      </c>
    </row>
    <row r="236" spans="1:8" x14ac:dyDescent="0.25">
      <c r="A236">
        <v>2019</v>
      </c>
      <c r="B236" t="s">
        <v>16</v>
      </c>
      <c r="C236" t="s">
        <v>52</v>
      </c>
      <c r="D236" t="s">
        <v>50</v>
      </c>
      <c r="E236" t="s">
        <v>28</v>
      </c>
      <c r="H236">
        <v>0</v>
      </c>
    </row>
    <row r="237" spans="1:8" x14ac:dyDescent="0.25">
      <c r="A237">
        <v>2019</v>
      </c>
      <c r="B237" t="s">
        <v>16</v>
      </c>
      <c r="C237" t="s">
        <v>52</v>
      </c>
      <c r="D237" t="s">
        <v>50</v>
      </c>
      <c r="E237" t="s">
        <v>29</v>
      </c>
      <c r="H237">
        <v>0</v>
      </c>
    </row>
    <row r="238" spans="1:8" x14ac:dyDescent="0.25">
      <c r="A238">
        <v>2019</v>
      </c>
      <c r="B238" t="s">
        <v>16</v>
      </c>
      <c r="C238" t="s">
        <v>52</v>
      </c>
      <c r="D238" t="s">
        <v>50</v>
      </c>
      <c r="E238" t="s">
        <v>30</v>
      </c>
      <c r="H238">
        <v>0</v>
      </c>
    </row>
    <row r="239" spans="1:8" x14ac:dyDescent="0.25">
      <c r="A239">
        <v>2019</v>
      </c>
      <c r="B239" t="s">
        <v>16</v>
      </c>
      <c r="C239" t="s">
        <v>52</v>
      </c>
      <c r="D239" t="s">
        <v>50</v>
      </c>
      <c r="E239" t="s">
        <v>31</v>
      </c>
      <c r="H239">
        <v>0</v>
      </c>
    </row>
    <row r="240" spans="1:8" x14ac:dyDescent="0.25">
      <c r="A240">
        <v>2019</v>
      </c>
      <c r="B240" t="s">
        <v>16</v>
      </c>
      <c r="C240" t="s">
        <v>52</v>
      </c>
      <c r="D240" t="s">
        <v>50</v>
      </c>
      <c r="E240" t="s">
        <v>32</v>
      </c>
      <c r="H240">
        <v>0</v>
      </c>
    </row>
    <row r="241" spans="1:8" x14ac:dyDescent="0.25">
      <c r="A241">
        <v>2019</v>
      </c>
      <c r="B241" t="s">
        <v>16</v>
      </c>
      <c r="C241" t="s">
        <v>52</v>
      </c>
      <c r="D241" t="s">
        <v>50</v>
      </c>
      <c r="E241" t="s">
        <v>33</v>
      </c>
      <c r="H241">
        <v>0</v>
      </c>
    </row>
    <row r="242" spans="1:8" x14ac:dyDescent="0.25">
      <c r="A242">
        <v>2019</v>
      </c>
      <c r="B242" t="s">
        <v>16</v>
      </c>
      <c r="C242" t="s">
        <v>52</v>
      </c>
      <c r="D242" t="s">
        <v>50</v>
      </c>
      <c r="E242" t="s">
        <v>34</v>
      </c>
      <c r="H242">
        <v>0</v>
      </c>
    </row>
    <row r="243" spans="1:8" x14ac:dyDescent="0.25">
      <c r="A243">
        <v>2019</v>
      </c>
      <c r="B243" t="s">
        <v>16</v>
      </c>
      <c r="C243" t="s">
        <v>52</v>
      </c>
      <c r="D243" t="s">
        <v>50</v>
      </c>
      <c r="E243" t="s">
        <v>35</v>
      </c>
      <c r="H243">
        <v>0</v>
      </c>
    </row>
    <row r="244" spans="1:8" x14ac:dyDescent="0.25">
      <c r="A244">
        <v>2019</v>
      </c>
      <c r="B244" t="s">
        <v>16</v>
      </c>
      <c r="C244" t="s">
        <v>52</v>
      </c>
      <c r="D244" t="s">
        <v>50</v>
      </c>
      <c r="E244" t="s">
        <v>36</v>
      </c>
      <c r="H244">
        <v>0</v>
      </c>
    </row>
    <row r="245" spans="1:8" x14ac:dyDescent="0.25">
      <c r="A245">
        <v>2019</v>
      </c>
      <c r="B245" t="s">
        <v>16</v>
      </c>
      <c r="C245" t="s">
        <v>52</v>
      </c>
      <c r="D245" t="s">
        <v>50</v>
      </c>
      <c r="E245" t="s">
        <v>37</v>
      </c>
      <c r="H245">
        <v>0</v>
      </c>
    </row>
    <row r="246" spans="1:8" x14ac:dyDescent="0.25">
      <c r="A246">
        <v>2019</v>
      </c>
      <c r="B246" t="s">
        <v>16</v>
      </c>
      <c r="C246" t="s">
        <v>52</v>
      </c>
      <c r="D246" t="s">
        <v>50</v>
      </c>
      <c r="E246" t="s">
        <v>38</v>
      </c>
      <c r="H246">
        <v>0</v>
      </c>
    </row>
    <row r="247" spans="1:8" x14ac:dyDescent="0.25">
      <c r="A247">
        <v>2019</v>
      </c>
      <c r="B247" t="s">
        <v>16</v>
      </c>
      <c r="C247" t="s">
        <v>52</v>
      </c>
      <c r="D247" t="s">
        <v>50</v>
      </c>
      <c r="E247" t="s">
        <v>39</v>
      </c>
      <c r="H247">
        <v>0</v>
      </c>
    </row>
    <row r="248" spans="1:8" x14ac:dyDescent="0.25">
      <c r="A248">
        <v>2019</v>
      </c>
      <c r="B248" t="s">
        <v>16</v>
      </c>
      <c r="C248" t="s">
        <v>52</v>
      </c>
      <c r="D248" t="s">
        <v>50</v>
      </c>
      <c r="E248" t="s">
        <v>40</v>
      </c>
      <c r="H248">
        <v>0</v>
      </c>
    </row>
    <row r="249" spans="1:8" x14ac:dyDescent="0.25">
      <c r="A249">
        <v>2019</v>
      </c>
      <c r="B249" t="s">
        <v>16</v>
      </c>
      <c r="C249" t="s">
        <v>52</v>
      </c>
      <c r="D249" t="s">
        <v>50</v>
      </c>
      <c r="E249" t="s">
        <v>41</v>
      </c>
      <c r="H249">
        <v>0</v>
      </c>
    </row>
    <row r="250" spans="1:8" x14ac:dyDescent="0.25">
      <c r="A250">
        <v>2019</v>
      </c>
      <c r="B250" t="s">
        <v>16</v>
      </c>
      <c r="C250" t="s">
        <v>52</v>
      </c>
      <c r="D250" t="s">
        <v>50</v>
      </c>
      <c r="E250" t="s">
        <v>42</v>
      </c>
      <c r="H250">
        <v>0</v>
      </c>
    </row>
    <row r="251" spans="1:8" x14ac:dyDescent="0.25">
      <c r="A251">
        <v>2019</v>
      </c>
      <c r="B251" t="s">
        <v>16</v>
      </c>
      <c r="C251" t="s">
        <v>52</v>
      </c>
      <c r="D251" t="s">
        <v>50</v>
      </c>
      <c r="E251" t="s">
        <v>43</v>
      </c>
      <c r="H251">
        <v>0</v>
      </c>
    </row>
    <row r="252" spans="1:8" x14ac:dyDescent="0.25">
      <c r="A252">
        <v>2019</v>
      </c>
      <c r="B252" t="s">
        <v>16</v>
      </c>
      <c r="C252" t="s">
        <v>52</v>
      </c>
      <c r="D252" t="s">
        <v>50</v>
      </c>
      <c r="E252" t="s">
        <v>44</v>
      </c>
      <c r="H252">
        <v>0</v>
      </c>
    </row>
    <row r="253" spans="1:8" x14ac:dyDescent="0.25">
      <c r="A253">
        <v>2019</v>
      </c>
      <c r="B253" t="s">
        <v>16</v>
      </c>
      <c r="C253" t="s">
        <v>52</v>
      </c>
      <c r="D253" t="s">
        <v>50</v>
      </c>
      <c r="E253" t="s">
        <v>45</v>
      </c>
      <c r="H253">
        <v>0</v>
      </c>
    </row>
    <row r="254" spans="1:8" x14ac:dyDescent="0.25">
      <c r="A254">
        <v>2019</v>
      </c>
      <c r="B254" t="s">
        <v>16</v>
      </c>
      <c r="C254" t="s">
        <v>52</v>
      </c>
      <c r="D254" t="s">
        <v>50</v>
      </c>
      <c r="E254" t="s">
        <v>46</v>
      </c>
      <c r="H254">
        <v>0</v>
      </c>
    </row>
    <row r="255" spans="1:8" x14ac:dyDescent="0.25">
      <c r="A255">
        <v>2019</v>
      </c>
      <c r="B255" t="s">
        <v>16</v>
      </c>
      <c r="C255" t="s">
        <v>52</v>
      </c>
      <c r="D255" t="s">
        <v>50</v>
      </c>
      <c r="E255" t="s">
        <v>47</v>
      </c>
      <c r="H255">
        <v>0</v>
      </c>
    </row>
    <row r="256" spans="1:8" x14ac:dyDescent="0.25">
      <c r="A256">
        <v>2019</v>
      </c>
      <c r="B256" t="s">
        <v>16</v>
      </c>
      <c r="C256" t="s">
        <v>52</v>
      </c>
      <c r="D256" t="s">
        <v>50</v>
      </c>
      <c r="E256" t="s">
        <v>48</v>
      </c>
      <c r="H256">
        <v>0</v>
      </c>
    </row>
    <row r="257" spans="1:8" x14ac:dyDescent="0.25">
      <c r="A257">
        <v>2019</v>
      </c>
      <c r="B257" t="s">
        <v>16</v>
      </c>
      <c r="C257" t="s">
        <v>52</v>
      </c>
      <c r="D257" t="s">
        <v>50</v>
      </c>
      <c r="E257" t="s">
        <v>49</v>
      </c>
      <c r="H257">
        <v>0</v>
      </c>
    </row>
    <row r="258" spans="1:8" x14ac:dyDescent="0.25">
      <c r="A258">
        <v>2019</v>
      </c>
      <c r="B258" t="s">
        <v>51</v>
      </c>
      <c r="C258" t="s">
        <v>52</v>
      </c>
      <c r="D258" t="s">
        <v>17</v>
      </c>
      <c r="E258" t="s">
        <v>18</v>
      </c>
      <c r="H258">
        <v>0</v>
      </c>
    </row>
    <row r="259" spans="1:8" x14ac:dyDescent="0.25">
      <c r="A259">
        <v>2019</v>
      </c>
      <c r="B259" t="s">
        <v>51</v>
      </c>
      <c r="C259" t="s">
        <v>52</v>
      </c>
      <c r="D259" t="s">
        <v>17</v>
      </c>
      <c r="E259" t="s">
        <v>19</v>
      </c>
      <c r="H259">
        <v>0</v>
      </c>
    </row>
    <row r="260" spans="1:8" x14ac:dyDescent="0.25">
      <c r="A260">
        <v>2019</v>
      </c>
      <c r="B260" t="s">
        <v>51</v>
      </c>
      <c r="C260" t="s">
        <v>52</v>
      </c>
      <c r="D260" t="s">
        <v>17</v>
      </c>
      <c r="E260" t="s">
        <v>20</v>
      </c>
      <c r="H260">
        <v>0</v>
      </c>
    </row>
    <row r="261" spans="1:8" x14ac:dyDescent="0.25">
      <c r="A261">
        <v>2019</v>
      </c>
      <c r="B261" t="s">
        <v>51</v>
      </c>
      <c r="C261" t="s">
        <v>52</v>
      </c>
      <c r="D261" t="s">
        <v>17</v>
      </c>
      <c r="E261" t="s">
        <v>21</v>
      </c>
      <c r="H261">
        <v>0</v>
      </c>
    </row>
    <row r="262" spans="1:8" x14ac:dyDescent="0.25">
      <c r="A262">
        <v>2019</v>
      </c>
      <c r="B262" t="s">
        <v>51</v>
      </c>
      <c r="C262" t="s">
        <v>52</v>
      </c>
      <c r="D262" t="s">
        <v>17</v>
      </c>
      <c r="E262" t="s">
        <v>24</v>
      </c>
      <c r="H262">
        <v>0</v>
      </c>
    </row>
    <row r="263" spans="1:8" x14ac:dyDescent="0.25">
      <c r="A263">
        <v>2019</v>
      </c>
      <c r="B263" t="s">
        <v>51</v>
      </c>
      <c r="C263" t="s">
        <v>52</v>
      </c>
      <c r="D263" t="s">
        <v>17</v>
      </c>
      <c r="E263" t="s">
        <v>25</v>
      </c>
      <c r="H263">
        <v>0</v>
      </c>
    </row>
    <row r="264" spans="1:8" x14ac:dyDescent="0.25">
      <c r="A264">
        <v>2019</v>
      </c>
      <c r="B264" t="s">
        <v>51</v>
      </c>
      <c r="C264" t="s">
        <v>52</v>
      </c>
      <c r="D264" t="s">
        <v>17</v>
      </c>
      <c r="E264" t="s">
        <v>26</v>
      </c>
      <c r="H264">
        <v>0</v>
      </c>
    </row>
    <row r="265" spans="1:8" x14ac:dyDescent="0.25">
      <c r="A265">
        <v>2019</v>
      </c>
      <c r="B265" t="s">
        <v>51</v>
      </c>
      <c r="C265" t="s">
        <v>52</v>
      </c>
      <c r="D265" t="s">
        <v>17</v>
      </c>
      <c r="E265" t="s">
        <v>22</v>
      </c>
      <c r="H265">
        <v>0</v>
      </c>
    </row>
    <row r="266" spans="1:8" x14ac:dyDescent="0.25">
      <c r="A266">
        <v>2019</v>
      </c>
      <c r="B266" t="s">
        <v>51</v>
      </c>
      <c r="C266" t="s">
        <v>52</v>
      </c>
      <c r="D266" t="s">
        <v>17</v>
      </c>
      <c r="E266" t="s">
        <v>23</v>
      </c>
      <c r="H266">
        <v>0</v>
      </c>
    </row>
    <row r="267" spans="1:8" x14ac:dyDescent="0.25">
      <c r="A267">
        <v>2019</v>
      </c>
      <c r="B267" t="s">
        <v>51</v>
      </c>
      <c r="C267" t="s">
        <v>52</v>
      </c>
      <c r="D267" t="s">
        <v>17</v>
      </c>
      <c r="E267" t="s">
        <v>27</v>
      </c>
      <c r="H267">
        <v>0</v>
      </c>
    </row>
    <row r="268" spans="1:8" x14ac:dyDescent="0.25">
      <c r="A268">
        <v>2019</v>
      </c>
      <c r="B268" t="s">
        <v>51</v>
      </c>
      <c r="C268" t="s">
        <v>52</v>
      </c>
      <c r="D268" t="s">
        <v>17</v>
      </c>
      <c r="E268" t="s">
        <v>28</v>
      </c>
      <c r="H268">
        <v>0</v>
      </c>
    </row>
    <row r="269" spans="1:8" x14ac:dyDescent="0.25">
      <c r="A269">
        <v>2019</v>
      </c>
      <c r="B269" t="s">
        <v>51</v>
      </c>
      <c r="C269" t="s">
        <v>52</v>
      </c>
      <c r="D269" t="s">
        <v>17</v>
      </c>
      <c r="E269" t="s">
        <v>29</v>
      </c>
      <c r="H269">
        <v>0</v>
      </c>
    </row>
    <row r="270" spans="1:8" x14ac:dyDescent="0.25">
      <c r="A270">
        <v>2019</v>
      </c>
      <c r="B270" t="s">
        <v>51</v>
      </c>
      <c r="C270" t="s">
        <v>52</v>
      </c>
      <c r="D270" t="s">
        <v>17</v>
      </c>
      <c r="E270" t="s">
        <v>30</v>
      </c>
      <c r="H270">
        <v>0</v>
      </c>
    </row>
    <row r="271" spans="1:8" x14ac:dyDescent="0.25">
      <c r="A271">
        <v>2019</v>
      </c>
      <c r="B271" t="s">
        <v>51</v>
      </c>
      <c r="C271" t="s">
        <v>52</v>
      </c>
      <c r="D271" t="s">
        <v>17</v>
      </c>
      <c r="E271" t="s">
        <v>31</v>
      </c>
      <c r="H271">
        <v>0</v>
      </c>
    </row>
    <row r="272" spans="1:8" x14ac:dyDescent="0.25">
      <c r="A272">
        <v>2019</v>
      </c>
      <c r="B272" t="s">
        <v>51</v>
      </c>
      <c r="C272" t="s">
        <v>52</v>
      </c>
      <c r="D272" t="s">
        <v>17</v>
      </c>
      <c r="E272" t="s">
        <v>33</v>
      </c>
      <c r="H272">
        <v>0</v>
      </c>
    </row>
    <row r="273" spans="1:8" x14ac:dyDescent="0.25">
      <c r="A273">
        <v>2019</v>
      </c>
      <c r="B273" t="s">
        <v>51</v>
      </c>
      <c r="C273" t="s">
        <v>52</v>
      </c>
      <c r="D273" t="s">
        <v>17</v>
      </c>
      <c r="E273" t="s">
        <v>34</v>
      </c>
      <c r="H273">
        <v>0</v>
      </c>
    </row>
    <row r="274" spans="1:8" x14ac:dyDescent="0.25">
      <c r="A274">
        <v>2019</v>
      </c>
      <c r="B274" t="s">
        <v>51</v>
      </c>
      <c r="C274" t="s">
        <v>52</v>
      </c>
      <c r="D274" t="s">
        <v>17</v>
      </c>
      <c r="E274" t="s">
        <v>32</v>
      </c>
      <c r="H274">
        <v>0</v>
      </c>
    </row>
    <row r="275" spans="1:8" x14ac:dyDescent="0.25">
      <c r="A275">
        <v>2019</v>
      </c>
      <c r="B275" t="s">
        <v>51</v>
      </c>
      <c r="C275" t="s">
        <v>52</v>
      </c>
      <c r="D275" t="s">
        <v>17</v>
      </c>
      <c r="E275" t="s">
        <v>35</v>
      </c>
      <c r="H275">
        <v>0</v>
      </c>
    </row>
    <row r="276" spans="1:8" x14ac:dyDescent="0.25">
      <c r="A276">
        <v>2019</v>
      </c>
      <c r="B276" t="s">
        <v>51</v>
      </c>
      <c r="C276" t="s">
        <v>52</v>
      </c>
      <c r="D276" t="s">
        <v>17</v>
      </c>
      <c r="E276" t="s">
        <v>36</v>
      </c>
      <c r="H276">
        <v>0</v>
      </c>
    </row>
    <row r="277" spans="1:8" x14ac:dyDescent="0.25">
      <c r="A277">
        <v>2019</v>
      </c>
      <c r="B277" t="s">
        <v>51</v>
      </c>
      <c r="C277" t="s">
        <v>52</v>
      </c>
      <c r="D277" t="s">
        <v>17</v>
      </c>
      <c r="E277" t="s">
        <v>37</v>
      </c>
      <c r="H277">
        <v>0</v>
      </c>
    </row>
    <row r="278" spans="1:8" x14ac:dyDescent="0.25">
      <c r="A278">
        <v>2019</v>
      </c>
      <c r="B278" t="s">
        <v>51</v>
      </c>
      <c r="C278" t="s">
        <v>52</v>
      </c>
      <c r="D278" t="s">
        <v>17</v>
      </c>
      <c r="E278" t="s">
        <v>38</v>
      </c>
      <c r="H278">
        <v>0</v>
      </c>
    </row>
    <row r="279" spans="1:8" x14ac:dyDescent="0.25">
      <c r="A279">
        <v>2019</v>
      </c>
      <c r="B279" t="s">
        <v>51</v>
      </c>
      <c r="C279" t="s">
        <v>52</v>
      </c>
      <c r="D279" t="s">
        <v>17</v>
      </c>
      <c r="E279" t="s">
        <v>39</v>
      </c>
      <c r="H279">
        <v>0</v>
      </c>
    </row>
    <row r="280" spans="1:8" x14ac:dyDescent="0.25">
      <c r="A280">
        <v>2019</v>
      </c>
      <c r="B280" t="s">
        <v>51</v>
      </c>
      <c r="C280" t="s">
        <v>52</v>
      </c>
      <c r="D280" t="s">
        <v>17</v>
      </c>
      <c r="E280" t="s">
        <v>40</v>
      </c>
      <c r="H280">
        <v>0</v>
      </c>
    </row>
    <row r="281" spans="1:8" x14ac:dyDescent="0.25">
      <c r="A281">
        <v>2019</v>
      </c>
      <c r="B281" t="s">
        <v>51</v>
      </c>
      <c r="C281" t="s">
        <v>52</v>
      </c>
      <c r="D281" t="s">
        <v>17</v>
      </c>
      <c r="E281" t="s">
        <v>41</v>
      </c>
      <c r="H281">
        <v>0</v>
      </c>
    </row>
    <row r="282" spans="1:8" x14ac:dyDescent="0.25">
      <c r="A282">
        <v>2019</v>
      </c>
      <c r="B282" t="s">
        <v>51</v>
      </c>
      <c r="C282" t="s">
        <v>52</v>
      </c>
      <c r="D282" t="s">
        <v>17</v>
      </c>
      <c r="E282" t="s">
        <v>42</v>
      </c>
      <c r="H282">
        <v>0</v>
      </c>
    </row>
    <row r="283" spans="1:8" x14ac:dyDescent="0.25">
      <c r="A283">
        <v>2019</v>
      </c>
      <c r="B283" t="s">
        <v>51</v>
      </c>
      <c r="C283" t="s">
        <v>52</v>
      </c>
      <c r="D283" t="s">
        <v>17</v>
      </c>
      <c r="E283" t="s">
        <v>43</v>
      </c>
      <c r="H283">
        <v>0</v>
      </c>
    </row>
    <row r="284" spans="1:8" x14ac:dyDescent="0.25">
      <c r="A284">
        <v>2019</v>
      </c>
      <c r="B284" t="s">
        <v>51</v>
      </c>
      <c r="C284" t="s">
        <v>52</v>
      </c>
      <c r="D284" t="s">
        <v>17</v>
      </c>
      <c r="E284" t="s">
        <v>44</v>
      </c>
      <c r="H284">
        <v>0</v>
      </c>
    </row>
    <row r="285" spans="1:8" x14ac:dyDescent="0.25">
      <c r="A285">
        <v>2019</v>
      </c>
      <c r="B285" t="s">
        <v>51</v>
      </c>
      <c r="C285" t="s">
        <v>52</v>
      </c>
      <c r="D285" t="s">
        <v>17</v>
      </c>
      <c r="E285" t="s">
        <v>45</v>
      </c>
      <c r="H285">
        <v>0</v>
      </c>
    </row>
    <row r="286" spans="1:8" x14ac:dyDescent="0.25">
      <c r="A286">
        <v>2019</v>
      </c>
      <c r="B286" t="s">
        <v>51</v>
      </c>
      <c r="C286" t="s">
        <v>52</v>
      </c>
      <c r="D286" t="s">
        <v>17</v>
      </c>
      <c r="E286" t="s">
        <v>46</v>
      </c>
      <c r="H286">
        <v>0</v>
      </c>
    </row>
    <row r="287" spans="1:8" x14ac:dyDescent="0.25">
      <c r="A287">
        <v>2019</v>
      </c>
      <c r="B287" t="s">
        <v>51</v>
      </c>
      <c r="C287" t="s">
        <v>52</v>
      </c>
      <c r="D287" t="s">
        <v>17</v>
      </c>
      <c r="E287" t="s">
        <v>47</v>
      </c>
      <c r="H287">
        <v>0</v>
      </c>
    </row>
    <row r="288" spans="1:8" x14ac:dyDescent="0.25">
      <c r="A288">
        <v>2019</v>
      </c>
      <c r="B288" t="s">
        <v>51</v>
      </c>
      <c r="C288" t="s">
        <v>52</v>
      </c>
      <c r="D288" t="s">
        <v>17</v>
      </c>
      <c r="E288" t="s">
        <v>48</v>
      </c>
      <c r="H288">
        <v>0</v>
      </c>
    </row>
    <row r="289" spans="1:8" x14ac:dyDescent="0.25">
      <c r="A289">
        <v>2019</v>
      </c>
      <c r="B289" t="s">
        <v>51</v>
      </c>
      <c r="C289" t="s">
        <v>52</v>
      </c>
      <c r="D289" t="s">
        <v>17</v>
      </c>
      <c r="E289" t="s">
        <v>49</v>
      </c>
      <c r="H289">
        <v>0</v>
      </c>
    </row>
    <row r="290" spans="1:8" x14ac:dyDescent="0.25">
      <c r="A290">
        <v>2019</v>
      </c>
      <c r="B290" t="s">
        <v>51</v>
      </c>
      <c r="C290" t="s">
        <v>52</v>
      </c>
      <c r="D290" t="s">
        <v>50</v>
      </c>
      <c r="E290" t="s">
        <v>18</v>
      </c>
      <c r="H290">
        <v>0</v>
      </c>
    </row>
    <row r="291" spans="1:8" x14ac:dyDescent="0.25">
      <c r="A291">
        <v>2019</v>
      </c>
      <c r="B291" t="s">
        <v>51</v>
      </c>
      <c r="C291" t="s">
        <v>52</v>
      </c>
      <c r="D291" t="s">
        <v>50</v>
      </c>
      <c r="E291" t="s">
        <v>19</v>
      </c>
      <c r="H291">
        <v>0</v>
      </c>
    </row>
    <row r="292" spans="1:8" x14ac:dyDescent="0.25">
      <c r="A292">
        <v>2019</v>
      </c>
      <c r="B292" t="s">
        <v>51</v>
      </c>
      <c r="C292" t="s">
        <v>52</v>
      </c>
      <c r="D292" t="s">
        <v>50</v>
      </c>
      <c r="E292" t="s">
        <v>20</v>
      </c>
      <c r="H292">
        <v>0</v>
      </c>
    </row>
    <row r="293" spans="1:8" x14ac:dyDescent="0.25">
      <c r="A293">
        <v>2019</v>
      </c>
      <c r="B293" t="s">
        <v>51</v>
      </c>
      <c r="C293" t="s">
        <v>52</v>
      </c>
      <c r="D293" t="s">
        <v>50</v>
      </c>
      <c r="E293" t="s">
        <v>21</v>
      </c>
      <c r="H293">
        <v>0</v>
      </c>
    </row>
    <row r="294" spans="1:8" x14ac:dyDescent="0.25">
      <c r="A294">
        <v>2019</v>
      </c>
      <c r="B294" t="s">
        <v>51</v>
      </c>
      <c r="C294" t="s">
        <v>52</v>
      </c>
      <c r="D294" t="s">
        <v>50</v>
      </c>
      <c r="E294" t="s">
        <v>24</v>
      </c>
      <c r="H294">
        <v>0</v>
      </c>
    </row>
    <row r="295" spans="1:8" x14ac:dyDescent="0.25">
      <c r="A295">
        <v>2019</v>
      </c>
      <c r="B295" t="s">
        <v>51</v>
      </c>
      <c r="C295" t="s">
        <v>52</v>
      </c>
      <c r="D295" t="s">
        <v>50</v>
      </c>
      <c r="E295" t="s">
        <v>25</v>
      </c>
      <c r="H295">
        <v>0</v>
      </c>
    </row>
    <row r="296" spans="1:8" x14ac:dyDescent="0.25">
      <c r="A296">
        <v>2019</v>
      </c>
      <c r="B296" t="s">
        <v>51</v>
      </c>
      <c r="C296" t="s">
        <v>52</v>
      </c>
      <c r="D296" t="s">
        <v>50</v>
      </c>
      <c r="E296" t="s">
        <v>26</v>
      </c>
      <c r="H296">
        <v>0</v>
      </c>
    </row>
    <row r="297" spans="1:8" x14ac:dyDescent="0.25">
      <c r="A297">
        <v>2019</v>
      </c>
      <c r="B297" t="s">
        <v>51</v>
      </c>
      <c r="C297" t="s">
        <v>52</v>
      </c>
      <c r="D297" t="s">
        <v>50</v>
      </c>
      <c r="E297" t="s">
        <v>22</v>
      </c>
      <c r="H297">
        <v>0</v>
      </c>
    </row>
    <row r="298" spans="1:8" x14ac:dyDescent="0.25">
      <c r="A298">
        <v>2019</v>
      </c>
      <c r="B298" t="s">
        <v>51</v>
      </c>
      <c r="C298" t="s">
        <v>52</v>
      </c>
      <c r="D298" t="s">
        <v>50</v>
      </c>
      <c r="E298" t="s">
        <v>23</v>
      </c>
      <c r="H298">
        <v>0</v>
      </c>
    </row>
    <row r="299" spans="1:8" x14ac:dyDescent="0.25">
      <c r="A299">
        <v>2019</v>
      </c>
      <c r="B299" t="s">
        <v>51</v>
      </c>
      <c r="C299" t="s">
        <v>52</v>
      </c>
      <c r="D299" t="s">
        <v>50</v>
      </c>
      <c r="E299" t="s">
        <v>27</v>
      </c>
      <c r="H299">
        <v>0</v>
      </c>
    </row>
    <row r="300" spans="1:8" x14ac:dyDescent="0.25">
      <c r="A300">
        <v>2019</v>
      </c>
      <c r="B300" t="s">
        <v>51</v>
      </c>
      <c r="C300" t="s">
        <v>52</v>
      </c>
      <c r="D300" t="s">
        <v>50</v>
      </c>
      <c r="E300" t="s">
        <v>28</v>
      </c>
      <c r="H300">
        <v>0</v>
      </c>
    </row>
    <row r="301" spans="1:8" x14ac:dyDescent="0.25">
      <c r="A301">
        <v>2019</v>
      </c>
      <c r="B301" t="s">
        <v>51</v>
      </c>
      <c r="C301" t="s">
        <v>52</v>
      </c>
      <c r="D301" t="s">
        <v>50</v>
      </c>
      <c r="E301" t="s">
        <v>29</v>
      </c>
      <c r="H301">
        <v>0</v>
      </c>
    </row>
    <row r="302" spans="1:8" x14ac:dyDescent="0.25">
      <c r="A302">
        <v>2019</v>
      </c>
      <c r="B302" t="s">
        <v>51</v>
      </c>
      <c r="C302" t="s">
        <v>52</v>
      </c>
      <c r="D302" t="s">
        <v>50</v>
      </c>
      <c r="E302" t="s">
        <v>30</v>
      </c>
      <c r="H302">
        <v>0</v>
      </c>
    </row>
    <row r="303" spans="1:8" x14ac:dyDescent="0.25">
      <c r="A303">
        <v>2019</v>
      </c>
      <c r="B303" t="s">
        <v>51</v>
      </c>
      <c r="C303" t="s">
        <v>52</v>
      </c>
      <c r="D303" t="s">
        <v>50</v>
      </c>
      <c r="E303" t="s">
        <v>31</v>
      </c>
      <c r="H303">
        <v>0</v>
      </c>
    </row>
    <row r="304" spans="1:8" x14ac:dyDescent="0.25">
      <c r="A304">
        <v>2019</v>
      </c>
      <c r="B304" t="s">
        <v>51</v>
      </c>
      <c r="C304" t="s">
        <v>52</v>
      </c>
      <c r="D304" t="s">
        <v>50</v>
      </c>
      <c r="E304" t="s">
        <v>33</v>
      </c>
      <c r="H304">
        <v>0</v>
      </c>
    </row>
    <row r="305" spans="1:8" x14ac:dyDescent="0.25">
      <c r="A305">
        <v>2019</v>
      </c>
      <c r="B305" t="s">
        <v>51</v>
      </c>
      <c r="C305" t="s">
        <v>52</v>
      </c>
      <c r="D305" t="s">
        <v>50</v>
      </c>
      <c r="E305" t="s">
        <v>34</v>
      </c>
      <c r="H305">
        <v>0</v>
      </c>
    </row>
    <row r="306" spans="1:8" x14ac:dyDescent="0.25">
      <c r="A306">
        <v>2019</v>
      </c>
      <c r="B306" t="s">
        <v>51</v>
      </c>
      <c r="C306" t="s">
        <v>52</v>
      </c>
      <c r="D306" t="s">
        <v>50</v>
      </c>
      <c r="E306" t="s">
        <v>32</v>
      </c>
      <c r="H306">
        <v>0</v>
      </c>
    </row>
    <row r="307" spans="1:8" x14ac:dyDescent="0.25">
      <c r="A307">
        <v>2019</v>
      </c>
      <c r="B307" t="s">
        <v>51</v>
      </c>
      <c r="C307" t="s">
        <v>52</v>
      </c>
      <c r="D307" t="s">
        <v>50</v>
      </c>
      <c r="E307" t="s">
        <v>35</v>
      </c>
      <c r="H307">
        <v>0</v>
      </c>
    </row>
    <row r="308" spans="1:8" x14ac:dyDescent="0.25">
      <c r="A308">
        <v>2019</v>
      </c>
      <c r="B308" t="s">
        <v>51</v>
      </c>
      <c r="C308" t="s">
        <v>52</v>
      </c>
      <c r="D308" t="s">
        <v>50</v>
      </c>
      <c r="E308" t="s">
        <v>36</v>
      </c>
      <c r="H308">
        <v>0</v>
      </c>
    </row>
    <row r="309" spans="1:8" x14ac:dyDescent="0.25">
      <c r="A309">
        <v>2019</v>
      </c>
      <c r="B309" t="s">
        <v>51</v>
      </c>
      <c r="C309" t="s">
        <v>52</v>
      </c>
      <c r="D309" t="s">
        <v>50</v>
      </c>
      <c r="E309" t="s">
        <v>37</v>
      </c>
      <c r="H309">
        <v>0</v>
      </c>
    </row>
    <row r="310" spans="1:8" x14ac:dyDescent="0.25">
      <c r="A310">
        <v>2019</v>
      </c>
      <c r="B310" t="s">
        <v>51</v>
      </c>
      <c r="C310" t="s">
        <v>52</v>
      </c>
      <c r="D310" t="s">
        <v>50</v>
      </c>
      <c r="E310" t="s">
        <v>38</v>
      </c>
      <c r="H310">
        <v>0</v>
      </c>
    </row>
    <row r="311" spans="1:8" x14ac:dyDescent="0.25">
      <c r="A311">
        <v>2019</v>
      </c>
      <c r="B311" t="s">
        <v>51</v>
      </c>
      <c r="C311" t="s">
        <v>52</v>
      </c>
      <c r="D311" t="s">
        <v>50</v>
      </c>
      <c r="E311" t="s">
        <v>39</v>
      </c>
      <c r="H311">
        <v>0</v>
      </c>
    </row>
    <row r="312" spans="1:8" x14ac:dyDescent="0.25">
      <c r="A312">
        <v>2019</v>
      </c>
      <c r="B312" t="s">
        <v>51</v>
      </c>
      <c r="C312" t="s">
        <v>52</v>
      </c>
      <c r="D312" t="s">
        <v>50</v>
      </c>
      <c r="E312" t="s">
        <v>40</v>
      </c>
      <c r="H312">
        <v>0</v>
      </c>
    </row>
    <row r="313" spans="1:8" x14ac:dyDescent="0.25">
      <c r="A313">
        <v>2019</v>
      </c>
      <c r="B313" t="s">
        <v>51</v>
      </c>
      <c r="C313" t="s">
        <v>52</v>
      </c>
      <c r="D313" t="s">
        <v>50</v>
      </c>
      <c r="E313" t="s">
        <v>41</v>
      </c>
      <c r="H313">
        <v>0</v>
      </c>
    </row>
    <row r="314" spans="1:8" x14ac:dyDescent="0.25">
      <c r="A314">
        <v>2019</v>
      </c>
      <c r="B314" t="s">
        <v>51</v>
      </c>
      <c r="C314" t="s">
        <v>52</v>
      </c>
      <c r="D314" t="s">
        <v>50</v>
      </c>
      <c r="E314" t="s">
        <v>42</v>
      </c>
      <c r="H314">
        <v>0</v>
      </c>
    </row>
    <row r="315" spans="1:8" x14ac:dyDescent="0.25">
      <c r="A315">
        <v>2019</v>
      </c>
      <c r="B315" t="s">
        <v>51</v>
      </c>
      <c r="C315" t="s">
        <v>52</v>
      </c>
      <c r="D315" t="s">
        <v>50</v>
      </c>
      <c r="E315" t="s">
        <v>43</v>
      </c>
      <c r="H315">
        <v>0</v>
      </c>
    </row>
    <row r="316" spans="1:8" x14ac:dyDescent="0.25">
      <c r="A316">
        <v>2019</v>
      </c>
      <c r="B316" t="s">
        <v>51</v>
      </c>
      <c r="C316" t="s">
        <v>52</v>
      </c>
      <c r="D316" t="s">
        <v>50</v>
      </c>
      <c r="E316" t="s">
        <v>44</v>
      </c>
      <c r="H316">
        <v>0</v>
      </c>
    </row>
    <row r="317" spans="1:8" x14ac:dyDescent="0.25">
      <c r="A317">
        <v>2019</v>
      </c>
      <c r="B317" t="s">
        <v>51</v>
      </c>
      <c r="C317" t="s">
        <v>52</v>
      </c>
      <c r="D317" t="s">
        <v>50</v>
      </c>
      <c r="E317" t="s">
        <v>45</v>
      </c>
      <c r="H317">
        <v>0</v>
      </c>
    </row>
    <row r="318" spans="1:8" x14ac:dyDescent="0.25">
      <c r="A318">
        <v>2019</v>
      </c>
      <c r="B318" t="s">
        <v>51</v>
      </c>
      <c r="C318" t="s">
        <v>52</v>
      </c>
      <c r="D318" t="s">
        <v>50</v>
      </c>
      <c r="E318" t="s">
        <v>46</v>
      </c>
      <c r="H318">
        <v>0</v>
      </c>
    </row>
    <row r="319" spans="1:8" x14ac:dyDescent="0.25">
      <c r="A319">
        <v>2019</v>
      </c>
      <c r="B319" t="s">
        <v>51</v>
      </c>
      <c r="C319" t="s">
        <v>52</v>
      </c>
      <c r="D319" t="s">
        <v>50</v>
      </c>
      <c r="E319" t="s">
        <v>47</v>
      </c>
      <c r="H319">
        <v>0</v>
      </c>
    </row>
    <row r="320" spans="1:8" x14ac:dyDescent="0.25">
      <c r="A320">
        <v>2019</v>
      </c>
      <c r="B320" t="s">
        <v>51</v>
      </c>
      <c r="C320" t="s">
        <v>52</v>
      </c>
      <c r="D320" t="s">
        <v>50</v>
      </c>
      <c r="E320" t="s">
        <v>48</v>
      </c>
      <c r="H320">
        <v>0</v>
      </c>
    </row>
    <row r="321" spans="1:8" x14ac:dyDescent="0.25">
      <c r="A321">
        <v>2019</v>
      </c>
      <c r="B321" t="s">
        <v>51</v>
      </c>
      <c r="C321" t="s">
        <v>52</v>
      </c>
      <c r="D321" t="s">
        <v>50</v>
      </c>
      <c r="E321" t="s">
        <v>49</v>
      </c>
      <c r="H321">
        <v>0</v>
      </c>
    </row>
    <row r="322" spans="1:8" x14ac:dyDescent="0.25">
      <c r="A322">
        <v>2024</v>
      </c>
      <c r="B322" t="s">
        <v>16</v>
      </c>
      <c r="C322" t="s">
        <v>52</v>
      </c>
      <c r="D322" t="s">
        <v>17</v>
      </c>
      <c r="E322" t="s">
        <v>18</v>
      </c>
    </row>
    <row r="323" spans="1:8" x14ac:dyDescent="0.25">
      <c r="A323">
        <v>2024</v>
      </c>
      <c r="B323" t="s">
        <v>16</v>
      </c>
      <c r="C323" t="s">
        <v>52</v>
      </c>
      <c r="D323" t="s">
        <v>17</v>
      </c>
      <c r="E323" t="s">
        <v>19</v>
      </c>
    </row>
    <row r="324" spans="1:8" x14ac:dyDescent="0.25">
      <c r="A324">
        <v>2024</v>
      </c>
      <c r="B324" t="s">
        <v>16</v>
      </c>
      <c r="C324" t="s">
        <v>52</v>
      </c>
      <c r="D324" t="s">
        <v>17</v>
      </c>
      <c r="E324" t="s">
        <v>20</v>
      </c>
    </row>
    <row r="325" spans="1:8" x14ac:dyDescent="0.25">
      <c r="A325">
        <v>2024</v>
      </c>
      <c r="B325" t="s">
        <v>16</v>
      </c>
      <c r="C325" t="s">
        <v>52</v>
      </c>
      <c r="D325" t="s">
        <v>17</v>
      </c>
      <c r="E325" t="s">
        <v>21</v>
      </c>
    </row>
    <row r="326" spans="1:8" x14ac:dyDescent="0.25">
      <c r="A326">
        <v>2024</v>
      </c>
      <c r="B326" t="s">
        <v>16</v>
      </c>
      <c r="C326" t="s">
        <v>52</v>
      </c>
      <c r="D326" t="s">
        <v>17</v>
      </c>
      <c r="E326" t="s">
        <v>22</v>
      </c>
    </row>
    <row r="327" spans="1:8" x14ac:dyDescent="0.25">
      <c r="A327">
        <v>2024</v>
      </c>
      <c r="B327" t="s">
        <v>16</v>
      </c>
      <c r="C327" t="s">
        <v>52</v>
      </c>
      <c r="D327" t="s">
        <v>17</v>
      </c>
      <c r="E327" t="s">
        <v>23</v>
      </c>
    </row>
    <row r="328" spans="1:8" x14ac:dyDescent="0.25">
      <c r="A328">
        <v>2024</v>
      </c>
      <c r="B328" t="s">
        <v>16</v>
      </c>
      <c r="C328" t="s">
        <v>52</v>
      </c>
      <c r="D328" t="s">
        <v>17</v>
      </c>
      <c r="E328" t="s">
        <v>24</v>
      </c>
    </row>
    <row r="329" spans="1:8" x14ac:dyDescent="0.25">
      <c r="A329">
        <v>2024</v>
      </c>
      <c r="B329" t="s">
        <v>16</v>
      </c>
      <c r="C329" t="s">
        <v>52</v>
      </c>
      <c r="D329" t="s">
        <v>17</v>
      </c>
      <c r="E329" t="s">
        <v>25</v>
      </c>
    </row>
    <row r="330" spans="1:8" x14ac:dyDescent="0.25">
      <c r="A330">
        <v>2024</v>
      </c>
      <c r="B330" t="s">
        <v>16</v>
      </c>
      <c r="C330" t="s">
        <v>52</v>
      </c>
      <c r="D330" t="s">
        <v>17</v>
      </c>
      <c r="E330" t="s">
        <v>26</v>
      </c>
    </row>
    <row r="331" spans="1:8" x14ac:dyDescent="0.25">
      <c r="A331">
        <v>2024</v>
      </c>
      <c r="B331" t="s">
        <v>16</v>
      </c>
      <c r="C331" t="s">
        <v>52</v>
      </c>
      <c r="D331" t="s">
        <v>17</v>
      </c>
      <c r="E331" t="s">
        <v>27</v>
      </c>
    </row>
    <row r="332" spans="1:8" x14ac:dyDescent="0.25">
      <c r="A332">
        <v>2024</v>
      </c>
      <c r="B332" t="s">
        <v>16</v>
      </c>
      <c r="C332" t="s">
        <v>52</v>
      </c>
      <c r="D332" t="s">
        <v>17</v>
      </c>
      <c r="E332" t="s">
        <v>28</v>
      </c>
    </row>
    <row r="333" spans="1:8" x14ac:dyDescent="0.25">
      <c r="A333">
        <v>2024</v>
      </c>
      <c r="B333" t="s">
        <v>16</v>
      </c>
      <c r="C333" t="s">
        <v>52</v>
      </c>
      <c r="D333" t="s">
        <v>17</v>
      </c>
      <c r="E333" t="s">
        <v>29</v>
      </c>
    </row>
    <row r="334" spans="1:8" x14ac:dyDescent="0.25">
      <c r="A334">
        <v>2024</v>
      </c>
      <c r="B334" t="s">
        <v>16</v>
      </c>
      <c r="C334" t="s">
        <v>52</v>
      </c>
      <c r="D334" t="s">
        <v>17</v>
      </c>
      <c r="E334" t="s">
        <v>30</v>
      </c>
    </row>
    <row r="335" spans="1:8" x14ac:dyDescent="0.25">
      <c r="A335">
        <v>2024</v>
      </c>
      <c r="B335" t="s">
        <v>16</v>
      </c>
      <c r="C335" t="s">
        <v>52</v>
      </c>
      <c r="D335" t="s">
        <v>17</v>
      </c>
      <c r="E335" t="s">
        <v>31</v>
      </c>
    </row>
    <row r="336" spans="1:8" x14ac:dyDescent="0.25">
      <c r="A336">
        <v>2024</v>
      </c>
      <c r="B336" t="s">
        <v>16</v>
      </c>
      <c r="C336" t="s">
        <v>52</v>
      </c>
      <c r="D336" t="s">
        <v>17</v>
      </c>
      <c r="E336" t="s">
        <v>32</v>
      </c>
    </row>
    <row r="337" spans="1:8" x14ac:dyDescent="0.25">
      <c r="A337">
        <v>2024</v>
      </c>
      <c r="B337" t="s">
        <v>16</v>
      </c>
      <c r="C337" t="s">
        <v>52</v>
      </c>
      <c r="D337" t="s">
        <v>17</v>
      </c>
      <c r="E337" t="s">
        <v>33</v>
      </c>
      <c r="H337">
        <v>0</v>
      </c>
    </row>
    <row r="338" spans="1:8" x14ac:dyDescent="0.25">
      <c r="A338">
        <v>2024</v>
      </c>
      <c r="B338" t="s">
        <v>16</v>
      </c>
      <c r="C338" t="s">
        <v>52</v>
      </c>
      <c r="D338" t="s">
        <v>17</v>
      </c>
      <c r="E338" t="s">
        <v>34</v>
      </c>
    </row>
    <row r="339" spans="1:8" x14ac:dyDescent="0.25">
      <c r="A339">
        <v>2024</v>
      </c>
      <c r="B339" t="s">
        <v>16</v>
      </c>
      <c r="C339" t="s">
        <v>52</v>
      </c>
      <c r="D339" t="s">
        <v>17</v>
      </c>
      <c r="E339" t="s">
        <v>35</v>
      </c>
    </row>
    <row r="340" spans="1:8" x14ac:dyDescent="0.25">
      <c r="A340">
        <v>2024</v>
      </c>
      <c r="B340" t="s">
        <v>16</v>
      </c>
      <c r="C340" t="s">
        <v>52</v>
      </c>
      <c r="D340" t="s">
        <v>17</v>
      </c>
      <c r="E340" t="s">
        <v>36</v>
      </c>
    </row>
    <row r="341" spans="1:8" x14ac:dyDescent="0.25">
      <c r="A341">
        <v>2024</v>
      </c>
      <c r="B341" t="s">
        <v>16</v>
      </c>
      <c r="C341" t="s">
        <v>52</v>
      </c>
      <c r="D341" t="s">
        <v>17</v>
      </c>
      <c r="E341" t="s">
        <v>37</v>
      </c>
    </row>
    <row r="342" spans="1:8" x14ac:dyDescent="0.25">
      <c r="A342">
        <v>2024</v>
      </c>
      <c r="B342" t="s">
        <v>16</v>
      </c>
      <c r="C342" t="s">
        <v>52</v>
      </c>
      <c r="D342" t="s">
        <v>17</v>
      </c>
      <c r="E342" t="s">
        <v>38</v>
      </c>
    </row>
    <row r="343" spans="1:8" x14ac:dyDescent="0.25">
      <c r="A343">
        <v>2024</v>
      </c>
      <c r="B343" t="s">
        <v>16</v>
      </c>
      <c r="C343" t="s">
        <v>52</v>
      </c>
      <c r="D343" t="s">
        <v>17</v>
      </c>
      <c r="E343" t="s">
        <v>39</v>
      </c>
    </row>
    <row r="344" spans="1:8" x14ac:dyDescent="0.25">
      <c r="A344">
        <v>2024</v>
      </c>
      <c r="B344" t="s">
        <v>16</v>
      </c>
      <c r="C344" t="s">
        <v>52</v>
      </c>
      <c r="D344" t="s">
        <v>17</v>
      </c>
      <c r="E344" t="s">
        <v>40</v>
      </c>
    </row>
    <row r="345" spans="1:8" x14ac:dyDescent="0.25">
      <c r="A345">
        <v>2024</v>
      </c>
      <c r="B345" t="s">
        <v>16</v>
      </c>
      <c r="C345" t="s">
        <v>52</v>
      </c>
      <c r="D345" t="s">
        <v>17</v>
      </c>
      <c r="E345" t="s">
        <v>41</v>
      </c>
    </row>
    <row r="346" spans="1:8" x14ac:dyDescent="0.25">
      <c r="A346">
        <v>2024</v>
      </c>
      <c r="B346" t="s">
        <v>16</v>
      </c>
      <c r="C346" t="s">
        <v>52</v>
      </c>
      <c r="D346" t="s">
        <v>17</v>
      </c>
      <c r="E346" t="s">
        <v>42</v>
      </c>
    </row>
    <row r="347" spans="1:8" x14ac:dyDescent="0.25">
      <c r="A347">
        <v>2024</v>
      </c>
      <c r="B347" t="s">
        <v>16</v>
      </c>
      <c r="C347" t="s">
        <v>52</v>
      </c>
      <c r="D347" t="s">
        <v>17</v>
      </c>
      <c r="E347" t="s">
        <v>43</v>
      </c>
    </row>
    <row r="348" spans="1:8" x14ac:dyDescent="0.25">
      <c r="A348">
        <v>2024</v>
      </c>
      <c r="B348" t="s">
        <v>16</v>
      </c>
      <c r="C348" t="s">
        <v>52</v>
      </c>
      <c r="D348" t="s">
        <v>17</v>
      </c>
      <c r="E348" t="s">
        <v>44</v>
      </c>
    </row>
    <row r="349" spans="1:8" x14ac:dyDescent="0.25">
      <c r="A349">
        <v>2024</v>
      </c>
      <c r="B349" t="s">
        <v>16</v>
      </c>
      <c r="C349" t="s">
        <v>52</v>
      </c>
      <c r="D349" t="s">
        <v>17</v>
      </c>
      <c r="E349" t="s">
        <v>45</v>
      </c>
    </row>
    <row r="350" spans="1:8" x14ac:dyDescent="0.25">
      <c r="A350">
        <v>2024</v>
      </c>
      <c r="B350" t="s">
        <v>16</v>
      </c>
      <c r="C350" t="s">
        <v>52</v>
      </c>
      <c r="D350" t="s">
        <v>17</v>
      </c>
      <c r="E350" t="s">
        <v>46</v>
      </c>
      <c r="H350">
        <v>0</v>
      </c>
    </row>
    <row r="351" spans="1:8" x14ac:dyDescent="0.25">
      <c r="A351">
        <v>2024</v>
      </c>
      <c r="B351" t="s">
        <v>16</v>
      </c>
      <c r="C351" t="s">
        <v>52</v>
      </c>
      <c r="D351" t="s">
        <v>17</v>
      </c>
      <c r="E351" t="s">
        <v>47</v>
      </c>
    </row>
    <row r="352" spans="1:8" x14ac:dyDescent="0.25">
      <c r="A352">
        <v>2024</v>
      </c>
      <c r="B352" t="s">
        <v>16</v>
      </c>
      <c r="C352" t="s">
        <v>52</v>
      </c>
      <c r="D352" t="s">
        <v>17</v>
      </c>
      <c r="E352" t="s">
        <v>48</v>
      </c>
    </row>
    <row r="353" spans="1:5" x14ac:dyDescent="0.25">
      <c r="A353">
        <v>2024</v>
      </c>
      <c r="B353" t="s">
        <v>16</v>
      </c>
      <c r="C353" t="s">
        <v>52</v>
      </c>
      <c r="D353" t="s">
        <v>17</v>
      </c>
      <c r="E353" t="s">
        <v>49</v>
      </c>
    </row>
    <row r="354" spans="1:5" x14ac:dyDescent="0.25">
      <c r="A354">
        <v>2024</v>
      </c>
      <c r="B354" t="s">
        <v>16</v>
      </c>
      <c r="C354" t="s">
        <v>52</v>
      </c>
      <c r="D354" t="s">
        <v>50</v>
      </c>
      <c r="E354" t="s">
        <v>18</v>
      </c>
    </row>
    <row r="355" spans="1:5" x14ac:dyDescent="0.25">
      <c r="A355">
        <v>2024</v>
      </c>
      <c r="B355" t="s">
        <v>16</v>
      </c>
      <c r="C355" t="s">
        <v>52</v>
      </c>
      <c r="D355" t="s">
        <v>50</v>
      </c>
      <c r="E355" t="s">
        <v>19</v>
      </c>
    </row>
    <row r="356" spans="1:5" x14ac:dyDescent="0.25">
      <c r="A356">
        <v>2024</v>
      </c>
      <c r="B356" t="s">
        <v>16</v>
      </c>
      <c r="C356" t="s">
        <v>52</v>
      </c>
      <c r="D356" t="s">
        <v>50</v>
      </c>
      <c r="E356" t="s">
        <v>20</v>
      </c>
    </row>
    <row r="357" spans="1:5" x14ac:dyDescent="0.25">
      <c r="A357">
        <v>2024</v>
      </c>
      <c r="B357" t="s">
        <v>16</v>
      </c>
      <c r="C357" t="s">
        <v>52</v>
      </c>
      <c r="D357" t="s">
        <v>50</v>
      </c>
      <c r="E357" t="s">
        <v>21</v>
      </c>
    </row>
    <row r="358" spans="1:5" x14ac:dyDescent="0.25">
      <c r="A358">
        <v>2024</v>
      </c>
      <c r="B358" t="s">
        <v>16</v>
      </c>
      <c r="C358" t="s">
        <v>52</v>
      </c>
      <c r="D358" t="s">
        <v>50</v>
      </c>
      <c r="E358" t="s">
        <v>22</v>
      </c>
    </row>
    <row r="359" spans="1:5" x14ac:dyDescent="0.25">
      <c r="A359">
        <v>2024</v>
      </c>
      <c r="B359" t="s">
        <v>16</v>
      </c>
      <c r="C359" t="s">
        <v>52</v>
      </c>
      <c r="D359" t="s">
        <v>50</v>
      </c>
      <c r="E359" t="s">
        <v>23</v>
      </c>
    </row>
    <row r="360" spans="1:5" x14ac:dyDescent="0.25">
      <c r="A360">
        <v>2024</v>
      </c>
      <c r="B360" t="s">
        <v>16</v>
      </c>
      <c r="C360" t="s">
        <v>52</v>
      </c>
      <c r="D360" t="s">
        <v>50</v>
      </c>
      <c r="E360" t="s">
        <v>24</v>
      </c>
    </row>
    <row r="361" spans="1:5" x14ac:dyDescent="0.25">
      <c r="A361">
        <v>2024</v>
      </c>
      <c r="B361" t="s">
        <v>16</v>
      </c>
      <c r="C361" t="s">
        <v>52</v>
      </c>
      <c r="D361" t="s">
        <v>50</v>
      </c>
      <c r="E361" t="s">
        <v>25</v>
      </c>
    </row>
    <row r="362" spans="1:5" x14ac:dyDescent="0.25">
      <c r="A362">
        <v>2024</v>
      </c>
      <c r="B362" t="s">
        <v>16</v>
      </c>
      <c r="C362" t="s">
        <v>52</v>
      </c>
      <c r="D362" t="s">
        <v>50</v>
      </c>
      <c r="E362" t="s">
        <v>26</v>
      </c>
    </row>
    <row r="363" spans="1:5" x14ac:dyDescent="0.25">
      <c r="A363">
        <v>2024</v>
      </c>
      <c r="B363" t="s">
        <v>16</v>
      </c>
      <c r="C363" t="s">
        <v>52</v>
      </c>
      <c r="D363" t="s">
        <v>50</v>
      </c>
      <c r="E363" t="s">
        <v>27</v>
      </c>
    </row>
    <row r="364" spans="1:5" x14ac:dyDescent="0.25">
      <c r="A364">
        <v>2024</v>
      </c>
      <c r="B364" t="s">
        <v>16</v>
      </c>
      <c r="C364" t="s">
        <v>52</v>
      </c>
      <c r="D364" t="s">
        <v>50</v>
      </c>
      <c r="E364" t="s">
        <v>28</v>
      </c>
    </row>
    <row r="365" spans="1:5" x14ac:dyDescent="0.25">
      <c r="A365">
        <v>2024</v>
      </c>
      <c r="B365" t="s">
        <v>16</v>
      </c>
      <c r="C365" t="s">
        <v>52</v>
      </c>
      <c r="D365" t="s">
        <v>50</v>
      </c>
      <c r="E365" t="s">
        <v>29</v>
      </c>
    </row>
    <row r="366" spans="1:5" x14ac:dyDescent="0.25">
      <c r="A366">
        <v>2024</v>
      </c>
      <c r="B366" t="s">
        <v>16</v>
      </c>
      <c r="C366" t="s">
        <v>52</v>
      </c>
      <c r="D366" t="s">
        <v>50</v>
      </c>
      <c r="E366" t="s">
        <v>30</v>
      </c>
    </row>
    <row r="367" spans="1:5" x14ac:dyDescent="0.25">
      <c r="A367">
        <v>2024</v>
      </c>
      <c r="B367" t="s">
        <v>16</v>
      </c>
      <c r="C367" t="s">
        <v>52</v>
      </c>
      <c r="D367" t="s">
        <v>50</v>
      </c>
      <c r="E367" t="s">
        <v>31</v>
      </c>
    </row>
    <row r="368" spans="1:5" x14ac:dyDescent="0.25">
      <c r="A368">
        <v>2024</v>
      </c>
      <c r="B368" t="s">
        <v>16</v>
      </c>
      <c r="C368" t="s">
        <v>52</v>
      </c>
      <c r="D368" t="s">
        <v>50</v>
      </c>
      <c r="E368" t="s">
        <v>32</v>
      </c>
    </row>
    <row r="369" spans="1:8" x14ac:dyDescent="0.25">
      <c r="A369">
        <v>2024</v>
      </c>
      <c r="B369" t="s">
        <v>16</v>
      </c>
      <c r="C369" t="s">
        <v>52</v>
      </c>
      <c r="D369" t="s">
        <v>50</v>
      </c>
      <c r="E369" t="s">
        <v>33</v>
      </c>
      <c r="H369">
        <v>0</v>
      </c>
    </row>
    <row r="370" spans="1:8" x14ac:dyDescent="0.25">
      <c r="A370">
        <v>2024</v>
      </c>
      <c r="B370" t="s">
        <v>16</v>
      </c>
      <c r="C370" t="s">
        <v>52</v>
      </c>
      <c r="D370" t="s">
        <v>50</v>
      </c>
      <c r="E370" t="s">
        <v>34</v>
      </c>
    </row>
    <row r="371" spans="1:8" x14ac:dyDescent="0.25">
      <c r="A371">
        <v>2024</v>
      </c>
      <c r="B371" t="s">
        <v>16</v>
      </c>
      <c r="C371" t="s">
        <v>52</v>
      </c>
      <c r="D371" t="s">
        <v>50</v>
      </c>
      <c r="E371" t="s">
        <v>35</v>
      </c>
    </row>
    <row r="372" spans="1:8" x14ac:dyDescent="0.25">
      <c r="A372">
        <v>2024</v>
      </c>
      <c r="B372" t="s">
        <v>16</v>
      </c>
      <c r="C372" t="s">
        <v>52</v>
      </c>
      <c r="D372" t="s">
        <v>50</v>
      </c>
      <c r="E372" t="s">
        <v>36</v>
      </c>
    </row>
    <row r="373" spans="1:8" x14ac:dyDescent="0.25">
      <c r="A373">
        <v>2024</v>
      </c>
      <c r="B373" t="s">
        <v>16</v>
      </c>
      <c r="C373" t="s">
        <v>52</v>
      </c>
      <c r="D373" t="s">
        <v>50</v>
      </c>
      <c r="E373" t="s">
        <v>37</v>
      </c>
    </row>
    <row r="374" spans="1:8" x14ac:dyDescent="0.25">
      <c r="A374">
        <v>2024</v>
      </c>
      <c r="B374" t="s">
        <v>16</v>
      </c>
      <c r="C374" t="s">
        <v>52</v>
      </c>
      <c r="D374" t="s">
        <v>50</v>
      </c>
      <c r="E374" t="s">
        <v>38</v>
      </c>
    </row>
    <row r="375" spans="1:8" x14ac:dyDescent="0.25">
      <c r="A375">
        <v>2024</v>
      </c>
      <c r="B375" t="s">
        <v>16</v>
      </c>
      <c r="C375" t="s">
        <v>52</v>
      </c>
      <c r="D375" t="s">
        <v>50</v>
      </c>
      <c r="E375" t="s">
        <v>39</v>
      </c>
    </row>
    <row r="376" spans="1:8" x14ac:dyDescent="0.25">
      <c r="A376">
        <v>2024</v>
      </c>
      <c r="B376" t="s">
        <v>16</v>
      </c>
      <c r="C376" t="s">
        <v>52</v>
      </c>
      <c r="D376" t="s">
        <v>50</v>
      </c>
      <c r="E376" t="s">
        <v>40</v>
      </c>
    </row>
    <row r="377" spans="1:8" x14ac:dyDescent="0.25">
      <c r="A377">
        <v>2024</v>
      </c>
      <c r="B377" t="s">
        <v>16</v>
      </c>
      <c r="C377" t="s">
        <v>52</v>
      </c>
      <c r="D377" t="s">
        <v>50</v>
      </c>
      <c r="E377" t="s">
        <v>41</v>
      </c>
    </row>
    <row r="378" spans="1:8" x14ac:dyDescent="0.25">
      <c r="A378">
        <v>2024</v>
      </c>
      <c r="B378" t="s">
        <v>16</v>
      </c>
      <c r="C378" t="s">
        <v>52</v>
      </c>
      <c r="D378" t="s">
        <v>50</v>
      </c>
      <c r="E378" t="s">
        <v>42</v>
      </c>
    </row>
    <row r="379" spans="1:8" x14ac:dyDescent="0.25">
      <c r="A379">
        <v>2024</v>
      </c>
      <c r="B379" t="s">
        <v>16</v>
      </c>
      <c r="C379" t="s">
        <v>52</v>
      </c>
      <c r="D379" t="s">
        <v>50</v>
      </c>
      <c r="E379" t="s">
        <v>43</v>
      </c>
    </row>
    <row r="380" spans="1:8" x14ac:dyDescent="0.25">
      <c r="A380">
        <v>2024</v>
      </c>
      <c r="B380" t="s">
        <v>16</v>
      </c>
      <c r="C380" t="s">
        <v>52</v>
      </c>
      <c r="D380" t="s">
        <v>50</v>
      </c>
      <c r="E380" t="s">
        <v>44</v>
      </c>
    </row>
    <row r="381" spans="1:8" x14ac:dyDescent="0.25">
      <c r="A381">
        <v>2024</v>
      </c>
      <c r="B381" t="s">
        <v>16</v>
      </c>
      <c r="C381" t="s">
        <v>52</v>
      </c>
      <c r="D381" t="s">
        <v>50</v>
      </c>
      <c r="E381" t="s">
        <v>45</v>
      </c>
    </row>
    <row r="382" spans="1:8" x14ac:dyDescent="0.25">
      <c r="A382">
        <v>2024</v>
      </c>
      <c r="B382" t="s">
        <v>16</v>
      </c>
      <c r="C382" t="s">
        <v>52</v>
      </c>
      <c r="D382" t="s">
        <v>50</v>
      </c>
      <c r="E382" t="s">
        <v>46</v>
      </c>
      <c r="H382">
        <v>0</v>
      </c>
    </row>
    <row r="383" spans="1:8" x14ac:dyDescent="0.25">
      <c r="A383">
        <v>2024</v>
      </c>
      <c r="B383" t="s">
        <v>16</v>
      </c>
      <c r="C383" t="s">
        <v>52</v>
      </c>
      <c r="D383" t="s">
        <v>50</v>
      </c>
      <c r="E383" t="s">
        <v>47</v>
      </c>
    </row>
    <row r="384" spans="1:8" x14ac:dyDescent="0.25">
      <c r="A384">
        <v>2024</v>
      </c>
      <c r="B384" t="s">
        <v>16</v>
      </c>
      <c r="C384" t="s">
        <v>52</v>
      </c>
      <c r="D384" t="s">
        <v>50</v>
      </c>
      <c r="E384" t="s">
        <v>48</v>
      </c>
    </row>
    <row r="385" spans="1:5" x14ac:dyDescent="0.25">
      <c r="A385">
        <v>2024</v>
      </c>
      <c r="B385" t="s">
        <v>16</v>
      </c>
      <c r="C385" t="s">
        <v>52</v>
      </c>
      <c r="D385" t="s">
        <v>50</v>
      </c>
      <c r="E385" t="s">
        <v>49</v>
      </c>
    </row>
    <row r="386" spans="1:5" x14ac:dyDescent="0.25">
      <c r="A386">
        <v>2024</v>
      </c>
      <c r="B386" t="s">
        <v>51</v>
      </c>
      <c r="C386" t="s">
        <v>52</v>
      </c>
      <c r="D386" t="s">
        <v>17</v>
      </c>
      <c r="E386" t="s">
        <v>18</v>
      </c>
    </row>
    <row r="387" spans="1:5" x14ac:dyDescent="0.25">
      <c r="A387">
        <v>2024</v>
      </c>
      <c r="B387" t="s">
        <v>51</v>
      </c>
      <c r="C387" t="s">
        <v>52</v>
      </c>
      <c r="D387" t="s">
        <v>17</v>
      </c>
      <c r="E387" t="s">
        <v>19</v>
      </c>
    </row>
    <row r="388" spans="1:5" x14ac:dyDescent="0.25">
      <c r="A388">
        <v>2024</v>
      </c>
      <c r="B388" t="s">
        <v>51</v>
      </c>
      <c r="C388" t="s">
        <v>52</v>
      </c>
      <c r="D388" t="s">
        <v>17</v>
      </c>
      <c r="E388" t="s">
        <v>20</v>
      </c>
    </row>
    <row r="389" spans="1:5" x14ac:dyDescent="0.25">
      <c r="A389">
        <v>2024</v>
      </c>
      <c r="B389" t="s">
        <v>51</v>
      </c>
      <c r="C389" t="s">
        <v>52</v>
      </c>
      <c r="D389" t="s">
        <v>17</v>
      </c>
      <c r="E389" t="s">
        <v>21</v>
      </c>
    </row>
    <row r="390" spans="1:5" x14ac:dyDescent="0.25">
      <c r="A390">
        <v>2024</v>
      </c>
      <c r="B390" t="s">
        <v>51</v>
      </c>
      <c r="C390" t="s">
        <v>52</v>
      </c>
      <c r="D390" t="s">
        <v>17</v>
      </c>
      <c r="E390" t="s">
        <v>22</v>
      </c>
    </row>
    <row r="391" spans="1:5" x14ac:dyDescent="0.25">
      <c r="A391">
        <v>2024</v>
      </c>
      <c r="B391" t="s">
        <v>51</v>
      </c>
      <c r="C391" t="s">
        <v>52</v>
      </c>
      <c r="D391" t="s">
        <v>17</v>
      </c>
      <c r="E391" t="s">
        <v>23</v>
      </c>
    </row>
    <row r="392" spans="1:5" x14ac:dyDescent="0.25">
      <c r="A392">
        <v>2024</v>
      </c>
      <c r="B392" t="s">
        <v>51</v>
      </c>
      <c r="C392" t="s">
        <v>52</v>
      </c>
      <c r="D392" t="s">
        <v>17</v>
      </c>
      <c r="E392" t="s">
        <v>24</v>
      </c>
    </row>
    <row r="393" spans="1:5" x14ac:dyDescent="0.25">
      <c r="A393">
        <v>2024</v>
      </c>
      <c r="B393" t="s">
        <v>51</v>
      </c>
      <c r="C393" t="s">
        <v>52</v>
      </c>
      <c r="D393" t="s">
        <v>17</v>
      </c>
      <c r="E393" t="s">
        <v>25</v>
      </c>
    </row>
    <row r="394" spans="1:5" x14ac:dyDescent="0.25">
      <c r="A394">
        <v>2024</v>
      </c>
      <c r="B394" t="s">
        <v>51</v>
      </c>
      <c r="C394" t="s">
        <v>52</v>
      </c>
      <c r="D394" t="s">
        <v>17</v>
      </c>
      <c r="E394" t="s">
        <v>26</v>
      </c>
    </row>
    <row r="395" spans="1:5" x14ac:dyDescent="0.25">
      <c r="A395">
        <v>2024</v>
      </c>
      <c r="B395" t="s">
        <v>51</v>
      </c>
      <c r="C395" t="s">
        <v>52</v>
      </c>
      <c r="D395" t="s">
        <v>17</v>
      </c>
      <c r="E395" t="s">
        <v>27</v>
      </c>
    </row>
    <row r="396" spans="1:5" x14ac:dyDescent="0.25">
      <c r="A396">
        <v>2024</v>
      </c>
      <c r="B396" t="s">
        <v>51</v>
      </c>
      <c r="C396" t="s">
        <v>52</v>
      </c>
      <c r="D396" t="s">
        <v>17</v>
      </c>
      <c r="E396" t="s">
        <v>28</v>
      </c>
    </row>
    <row r="397" spans="1:5" x14ac:dyDescent="0.25">
      <c r="A397">
        <v>2024</v>
      </c>
      <c r="B397" t="s">
        <v>51</v>
      </c>
      <c r="C397" t="s">
        <v>52</v>
      </c>
      <c r="D397" t="s">
        <v>17</v>
      </c>
      <c r="E397" t="s">
        <v>29</v>
      </c>
    </row>
    <row r="398" spans="1:5" x14ac:dyDescent="0.25">
      <c r="A398">
        <v>2024</v>
      </c>
      <c r="B398" t="s">
        <v>51</v>
      </c>
      <c r="C398" t="s">
        <v>52</v>
      </c>
      <c r="D398" t="s">
        <v>17</v>
      </c>
      <c r="E398" t="s">
        <v>30</v>
      </c>
    </row>
    <row r="399" spans="1:5" x14ac:dyDescent="0.25">
      <c r="A399">
        <v>2024</v>
      </c>
      <c r="B399" t="s">
        <v>51</v>
      </c>
      <c r="C399" t="s">
        <v>52</v>
      </c>
      <c r="D399" t="s">
        <v>17</v>
      </c>
      <c r="E399" t="s">
        <v>31</v>
      </c>
    </row>
    <row r="400" spans="1:5" x14ac:dyDescent="0.25">
      <c r="A400">
        <v>2024</v>
      </c>
      <c r="B400" t="s">
        <v>51</v>
      </c>
      <c r="C400" t="s">
        <v>52</v>
      </c>
      <c r="D400" t="s">
        <v>17</v>
      </c>
      <c r="E400" t="s">
        <v>32</v>
      </c>
    </row>
    <row r="401" spans="1:5" x14ac:dyDescent="0.25">
      <c r="A401">
        <v>2024</v>
      </c>
      <c r="B401" t="s">
        <v>51</v>
      </c>
      <c r="C401" t="s">
        <v>52</v>
      </c>
      <c r="D401" t="s">
        <v>17</v>
      </c>
      <c r="E401" t="s">
        <v>33</v>
      </c>
    </row>
    <row r="402" spans="1:5" x14ac:dyDescent="0.25">
      <c r="A402">
        <v>2024</v>
      </c>
      <c r="B402" t="s">
        <v>51</v>
      </c>
      <c r="C402" t="s">
        <v>52</v>
      </c>
      <c r="D402" t="s">
        <v>17</v>
      </c>
      <c r="E402" t="s">
        <v>34</v>
      </c>
    </row>
    <row r="403" spans="1:5" x14ac:dyDescent="0.25">
      <c r="A403">
        <v>2024</v>
      </c>
      <c r="B403" t="s">
        <v>51</v>
      </c>
      <c r="C403" t="s">
        <v>52</v>
      </c>
      <c r="D403" t="s">
        <v>17</v>
      </c>
      <c r="E403" t="s">
        <v>35</v>
      </c>
    </row>
    <row r="404" spans="1:5" x14ac:dyDescent="0.25">
      <c r="A404">
        <v>2024</v>
      </c>
      <c r="B404" t="s">
        <v>51</v>
      </c>
      <c r="C404" t="s">
        <v>52</v>
      </c>
      <c r="D404" t="s">
        <v>17</v>
      </c>
      <c r="E404" t="s">
        <v>36</v>
      </c>
    </row>
    <row r="405" spans="1:5" x14ac:dyDescent="0.25">
      <c r="A405">
        <v>2024</v>
      </c>
      <c r="B405" t="s">
        <v>51</v>
      </c>
      <c r="C405" t="s">
        <v>52</v>
      </c>
      <c r="D405" t="s">
        <v>17</v>
      </c>
      <c r="E405" t="s">
        <v>37</v>
      </c>
    </row>
    <row r="406" spans="1:5" x14ac:dyDescent="0.25">
      <c r="A406">
        <v>2024</v>
      </c>
      <c r="B406" t="s">
        <v>51</v>
      </c>
      <c r="C406" t="s">
        <v>52</v>
      </c>
      <c r="D406" t="s">
        <v>17</v>
      </c>
      <c r="E406" t="s">
        <v>38</v>
      </c>
    </row>
    <row r="407" spans="1:5" x14ac:dyDescent="0.25">
      <c r="A407">
        <v>2024</v>
      </c>
      <c r="B407" t="s">
        <v>51</v>
      </c>
      <c r="C407" t="s">
        <v>52</v>
      </c>
      <c r="D407" t="s">
        <v>17</v>
      </c>
      <c r="E407" t="s">
        <v>39</v>
      </c>
    </row>
    <row r="408" spans="1:5" x14ac:dyDescent="0.25">
      <c r="A408">
        <v>2024</v>
      </c>
      <c r="B408" t="s">
        <v>51</v>
      </c>
      <c r="C408" t="s">
        <v>52</v>
      </c>
      <c r="D408" t="s">
        <v>17</v>
      </c>
      <c r="E408" t="s">
        <v>40</v>
      </c>
    </row>
    <row r="409" spans="1:5" x14ac:dyDescent="0.25">
      <c r="A409">
        <v>2024</v>
      </c>
      <c r="B409" t="s">
        <v>51</v>
      </c>
      <c r="C409" t="s">
        <v>52</v>
      </c>
      <c r="D409" t="s">
        <v>17</v>
      </c>
      <c r="E409" t="s">
        <v>41</v>
      </c>
    </row>
    <row r="410" spans="1:5" x14ac:dyDescent="0.25">
      <c r="A410">
        <v>2024</v>
      </c>
      <c r="B410" t="s">
        <v>51</v>
      </c>
      <c r="C410" t="s">
        <v>52</v>
      </c>
      <c r="D410" t="s">
        <v>17</v>
      </c>
      <c r="E410" t="s">
        <v>42</v>
      </c>
    </row>
    <row r="411" spans="1:5" x14ac:dyDescent="0.25">
      <c r="A411">
        <v>2024</v>
      </c>
      <c r="B411" t="s">
        <v>51</v>
      </c>
      <c r="C411" t="s">
        <v>52</v>
      </c>
      <c r="D411" t="s">
        <v>17</v>
      </c>
      <c r="E411" t="s">
        <v>43</v>
      </c>
    </row>
    <row r="412" spans="1:5" x14ac:dyDescent="0.25">
      <c r="A412">
        <v>2024</v>
      </c>
      <c r="B412" t="s">
        <v>51</v>
      </c>
      <c r="C412" t="s">
        <v>52</v>
      </c>
      <c r="D412" t="s">
        <v>17</v>
      </c>
      <c r="E412" t="s">
        <v>44</v>
      </c>
    </row>
    <row r="413" spans="1:5" x14ac:dyDescent="0.25">
      <c r="A413">
        <v>2024</v>
      </c>
      <c r="B413" t="s">
        <v>51</v>
      </c>
      <c r="C413" t="s">
        <v>52</v>
      </c>
      <c r="D413" t="s">
        <v>17</v>
      </c>
      <c r="E413" t="s">
        <v>45</v>
      </c>
    </row>
    <row r="414" spans="1:5" x14ac:dyDescent="0.25">
      <c r="A414">
        <v>2024</v>
      </c>
      <c r="B414" t="s">
        <v>51</v>
      </c>
      <c r="C414" t="s">
        <v>52</v>
      </c>
      <c r="D414" t="s">
        <v>17</v>
      </c>
      <c r="E414" t="s">
        <v>46</v>
      </c>
    </row>
    <row r="415" spans="1:5" x14ac:dyDescent="0.25">
      <c r="A415">
        <v>2024</v>
      </c>
      <c r="B415" t="s">
        <v>51</v>
      </c>
      <c r="C415" t="s">
        <v>52</v>
      </c>
      <c r="D415" t="s">
        <v>17</v>
      </c>
      <c r="E415" t="s">
        <v>47</v>
      </c>
    </row>
    <row r="416" spans="1:5" x14ac:dyDescent="0.25">
      <c r="A416">
        <v>2024</v>
      </c>
      <c r="B416" t="s">
        <v>51</v>
      </c>
      <c r="C416" t="s">
        <v>52</v>
      </c>
      <c r="D416" t="s">
        <v>17</v>
      </c>
      <c r="E416" t="s">
        <v>48</v>
      </c>
    </row>
    <row r="417" spans="1:5" x14ac:dyDescent="0.25">
      <c r="A417">
        <v>2024</v>
      </c>
      <c r="B417" t="s">
        <v>51</v>
      </c>
      <c r="C417" t="s">
        <v>52</v>
      </c>
      <c r="D417" t="s">
        <v>17</v>
      </c>
      <c r="E417" t="s">
        <v>49</v>
      </c>
    </row>
    <row r="418" spans="1:5" x14ac:dyDescent="0.25">
      <c r="A418">
        <v>2024</v>
      </c>
      <c r="B418" t="s">
        <v>51</v>
      </c>
      <c r="C418" t="s">
        <v>52</v>
      </c>
      <c r="D418" t="s">
        <v>50</v>
      </c>
      <c r="E418" t="s">
        <v>18</v>
      </c>
    </row>
    <row r="419" spans="1:5" x14ac:dyDescent="0.25">
      <c r="A419">
        <v>2024</v>
      </c>
      <c r="B419" t="s">
        <v>51</v>
      </c>
      <c r="C419" t="s">
        <v>52</v>
      </c>
      <c r="D419" t="s">
        <v>50</v>
      </c>
      <c r="E419" t="s">
        <v>19</v>
      </c>
    </row>
    <row r="420" spans="1:5" x14ac:dyDescent="0.25">
      <c r="A420">
        <v>2024</v>
      </c>
      <c r="B420" t="s">
        <v>51</v>
      </c>
      <c r="C420" t="s">
        <v>52</v>
      </c>
      <c r="D420" t="s">
        <v>50</v>
      </c>
      <c r="E420" t="s">
        <v>20</v>
      </c>
    </row>
    <row r="421" spans="1:5" x14ac:dyDescent="0.25">
      <c r="A421">
        <v>2024</v>
      </c>
      <c r="B421" t="s">
        <v>51</v>
      </c>
      <c r="C421" t="s">
        <v>52</v>
      </c>
      <c r="D421" t="s">
        <v>50</v>
      </c>
      <c r="E421" t="s">
        <v>21</v>
      </c>
    </row>
    <row r="422" spans="1:5" x14ac:dyDescent="0.25">
      <c r="A422">
        <v>2024</v>
      </c>
      <c r="B422" t="s">
        <v>51</v>
      </c>
      <c r="C422" t="s">
        <v>52</v>
      </c>
      <c r="D422" t="s">
        <v>50</v>
      </c>
      <c r="E422" t="s">
        <v>22</v>
      </c>
    </row>
    <row r="423" spans="1:5" x14ac:dyDescent="0.25">
      <c r="A423">
        <v>2024</v>
      </c>
      <c r="B423" t="s">
        <v>51</v>
      </c>
      <c r="C423" t="s">
        <v>52</v>
      </c>
      <c r="D423" t="s">
        <v>50</v>
      </c>
      <c r="E423" t="s">
        <v>23</v>
      </c>
    </row>
    <row r="424" spans="1:5" x14ac:dyDescent="0.25">
      <c r="A424">
        <v>2024</v>
      </c>
      <c r="B424" t="s">
        <v>51</v>
      </c>
      <c r="C424" t="s">
        <v>52</v>
      </c>
      <c r="D424" t="s">
        <v>50</v>
      </c>
      <c r="E424" t="s">
        <v>24</v>
      </c>
    </row>
    <row r="425" spans="1:5" x14ac:dyDescent="0.25">
      <c r="A425">
        <v>2024</v>
      </c>
      <c r="B425" t="s">
        <v>51</v>
      </c>
      <c r="C425" t="s">
        <v>52</v>
      </c>
      <c r="D425" t="s">
        <v>50</v>
      </c>
      <c r="E425" t="s">
        <v>25</v>
      </c>
    </row>
    <row r="426" spans="1:5" x14ac:dyDescent="0.25">
      <c r="A426">
        <v>2024</v>
      </c>
      <c r="B426" t="s">
        <v>51</v>
      </c>
      <c r="C426" t="s">
        <v>52</v>
      </c>
      <c r="D426" t="s">
        <v>50</v>
      </c>
      <c r="E426" t="s">
        <v>26</v>
      </c>
    </row>
    <row r="427" spans="1:5" x14ac:dyDescent="0.25">
      <c r="A427">
        <v>2024</v>
      </c>
      <c r="B427" t="s">
        <v>51</v>
      </c>
      <c r="C427" t="s">
        <v>52</v>
      </c>
      <c r="D427" t="s">
        <v>50</v>
      </c>
      <c r="E427" t="s">
        <v>27</v>
      </c>
    </row>
    <row r="428" spans="1:5" x14ac:dyDescent="0.25">
      <c r="A428">
        <v>2024</v>
      </c>
      <c r="B428" t="s">
        <v>51</v>
      </c>
      <c r="C428" t="s">
        <v>52</v>
      </c>
      <c r="D428" t="s">
        <v>50</v>
      </c>
      <c r="E428" t="s">
        <v>28</v>
      </c>
    </row>
    <row r="429" spans="1:5" x14ac:dyDescent="0.25">
      <c r="A429">
        <v>2024</v>
      </c>
      <c r="B429" t="s">
        <v>51</v>
      </c>
      <c r="C429" t="s">
        <v>52</v>
      </c>
      <c r="D429" t="s">
        <v>50</v>
      </c>
      <c r="E429" t="s">
        <v>29</v>
      </c>
    </row>
    <row r="430" spans="1:5" x14ac:dyDescent="0.25">
      <c r="A430">
        <v>2024</v>
      </c>
      <c r="B430" t="s">
        <v>51</v>
      </c>
      <c r="C430" t="s">
        <v>52</v>
      </c>
      <c r="D430" t="s">
        <v>50</v>
      </c>
      <c r="E430" t="s">
        <v>30</v>
      </c>
    </row>
    <row r="431" spans="1:5" x14ac:dyDescent="0.25">
      <c r="A431">
        <v>2024</v>
      </c>
      <c r="B431" t="s">
        <v>51</v>
      </c>
      <c r="C431" t="s">
        <v>52</v>
      </c>
      <c r="D431" t="s">
        <v>50</v>
      </c>
      <c r="E431" t="s">
        <v>31</v>
      </c>
    </row>
    <row r="432" spans="1:5" x14ac:dyDescent="0.25">
      <c r="A432">
        <v>2024</v>
      </c>
      <c r="B432" t="s">
        <v>51</v>
      </c>
      <c r="C432" t="s">
        <v>52</v>
      </c>
      <c r="D432" t="s">
        <v>50</v>
      </c>
      <c r="E432" t="s">
        <v>32</v>
      </c>
    </row>
    <row r="433" spans="1:5" x14ac:dyDescent="0.25">
      <c r="A433">
        <v>2024</v>
      </c>
      <c r="B433" t="s">
        <v>51</v>
      </c>
      <c r="C433" t="s">
        <v>52</v>
      </c>
      <c r="D433" t="s">
        <v>50</v>
      </c>
      <c r="E433" t="s">
        <v>33</v>
      </c>
    </row>
    <row r="434" spans="1:5" x14ac:dyDescent="0.25">
      <c r="A434">
        <v>2024</v>
      </c>
      <c r="B434" t="s">
        <v>51</v>
      </c>
      <c r="C434" t="s">
        <v>52</v>
      </c>
      <c r="D434" t="s">
        <v>50</v>
      </c>
      <c r="E434" t="s">
        <v>34</v>
      </c>
    </row>
    <row r="435" spans="1:5" x14ac:dyDescent="0.25">
      <c r="A435">
        <v>2024</v>
      </c>
      <c r="B435" t="s">
        <v>51</v>
      </c>
      <c r="C435" t="s">
        <v>52</v>
      </c>
      <c r="D435" t="s">
        <v>50</v>
      </c>
      <c r="E435" t="s">
        <v>35</v>
      </c>
    </row>
    <row r="436" spans="1:5" x14ac:dyDescent="0.25">
      <c r="A436">
        <v>2024</v>
      </c>
      <c r="B436" t="s">
        <v>51</v>
      </c>
      <c r="C436" t="s">
        <v>52</v>
      </c>
      <c r="D436" t="s">
        <v>50</v>
      </c>
      <c r="E436" t="s">
        <v>36</v>
      </c>
    </row>
    <row r="437" spans="1:5" x14ac:dyDescent="0.25">
      <c r="A437">
        <v>2024</v>
      </c>
      <c r="B437" t="s">
        <v>51</v>
      </c>
      <c r="C437" t="s">
        <v>52</v>
      </c>
      <c r="D437" t="s">
        <v>50</v>
      </c>
      <c r="E437" t="s">
        <v>37</v>
      </c>
    </row>
    <row r="438" spans="1:5" x14ac:dyDescent="0.25">
      <c r="A438">
        <v>2024</v>
      </c>
      <c r="B438" t="s">
        <v>51</v>
      </c>
      <c r="C438" t="s">
        <v>52</v>
      </c>
      <c r="D438" t="s">
        <v>50</v>
      </c>
      <c r="E438" t="s">
        <v>38</v>
      </c>
    </row>
    <row r="439" spans="1:5" x14ac:dyDescent="0.25">
      <c r="A439">
        <v>2024</v>
      </c>
      <c r="B439" t="s">
        <v>51</v>
      </c>
      <c r="C439" t="s">
        <v>52</v>
      </c>
      <c r="D439" t="s">
        <v>50</v>
      </c>
      <c r="E439" t="s">
        <v>39</v>
      </c>
    </row>
    <row r="440" spans="1:5" x14ac:dyDescent="0.25">
      <c r="A440">
        <v>2024</v>
      </c>
      <c r="B440" t="s">
        <v>51</v>
      </c>
      <c r="C440" t="s">
        <v>52</v>
      </c>
      <c r="D440" t="s">
        <v>50</v>
      </c>
      <c r="E440" t="s">
        <v>40</v>
      </c>
    </row>
    <row r="441" spans="1:5" x14ac:dyDescent="0.25">
      <c r="A441">
        <v>2024</v>
      </c>
      <c r="B441" t="s">
        <v>51</v>
      </c>
      <c r="C441" t="s">
        <v>52</v>
      </c>
      <c r="D441" t="s">
        <v>50</v>
      </c>
      <c r="E441" t="s">
        <v>41</v>
      </c>
    </row>
    <row r="442" spans="1:5" x14ac:dyDescent="0.25">
      <c r="A442">
        <v>2024</v>
      </c>
      <c r="B442" t="s">
        <v>51</v>
      </c>
      <c r="C442" t="s">
        <v>52</v>
      </c>
      <c r="D442" t="s">
        <v>50</v>
      </c>
      <c r="E442" t="s">
        <v>42</v>
      </c>
    </row>
    <row r="443" spans="1:5" x14ac:dyDescent="0.25">
      <c r="A443">
        <v>2024</v>
      </c>
      <c r="B443" t="s">
        <v>51</v>
      </c>
      <c r="C443" t="s">
        <v>52</v>
      </c>
      <c r="D443" t="s">
        <v>50</v>
      </c>
      <c r="E443" t="s">
        <v>43</v>
      </c>
    </row>
    <row r="444" spans="1:5" x14ac:dyDescent="0.25">
      <c r="A444">
        <v>2024</v>
      </c>
      <c r="B444" t="s">
        <v>51</v>
      </c>
      <c r="C444" t="s">
        <v>52</v>
      </c>
      <c r="D444" t="s">
        <v>50</v>
      </c>
      <c r="E444" t="s">
        <v>44</v>
      </c>
    </row>
    <row r="445" spans="1:5" x14ac:dyDescent="0.25">
      <c r="A445">
        <v>2024</v>
      </c>
      <c r="B445" t="s">
        <v>51</v>
      </c>
      <c r="C445" t="s">
        <v>52</v>
      </c>
      <c r="D445" t="s">
        <v>50</v>
      </c>
      <c r="E445" t="s">
        <v>45</v>
      </c>
    </row>
    <row r="446" spans="1:5" x14ac:dyDescent="0.25">
      <c r="A446">
        <v>2024</v>
      </c>
      <c r="B446" t="s">
        <v>51</v>
      </c>
      <c r="C446" t="s">
        <v>52</v>
      </c>
      <c r="D446" t="s">
        <v>50</v>
      </c>
      <c r="E446" t="s">
        <v>46</v>
      </c>
    </row>
    <row r="447" spans="1:5" x14ac:dyDescent="0.25">
      <c r="A447">
        <v>2024</v>
      </c>
      <c r="B447" t="s">
        <v>51</v>
      </c>
      <c r="C447" t="s">
        <v>52</v>
      </c>
      <c r="D447" t="s">
        <v>50</v>
      </c>
      <c r="E447" t="s">
        <v>47</v>
      </c>
    </row>
    <row r="448" spans="1:5" x14ac:dyDescent="0.25">
      <c r="A448">
        <v>2024</v>
      </c>
      <c r="B448" t="s">
        <v>51</v>
      </c>
      <c r="C448" t="s">
        <v>52</v>
      </c>
      <c r="D448" t="s">
        <v>50</v>
      </c>
      <c r="E448" t="s">
        <v>48</v>
      </c>
    </row>
    <row r="449" spans="1:5" x14ac:dyDescent="0.25">
      <c r="A449">
        <v>2024</v>
      </c>
      <c r="B449" t="s">
        <v>51</v>
      </c>
      <c r="C449" t="s">
        <v>52</v>
      </c>
      <c r="D449" t="s">
        <v>50</v>
      </c>
      <c r="E449" t="s">
        <v>49</v>
      </c>
    </row>
  </sheetData>
  <autoFilter ref="A1:J257" xr:uid="{00000000-0009-0000-0000-000000000000}">
    <sortState xmlns:xlrd2="http://schemas.microsoft.com/office/spreadsheetml/2017/richdata2" ref="A3:J65">
      <sortCondition ref="B1:B65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FF05A-7C5C-4400-A71C-420F72A8C0A2}">
  <dimension ref="A1:M31"/>
  <sheetViews>
    <sheetView workbookViewId="0">
      <selection activeCell="G2" sqref="G2:K2"/>
    </sheetView>
  </sheetViews>
  <sheetFormatPr baseColWidth="10" defaultRowHeight="15" x14ac:dyDescent="0.25"/>
  <cols>
    <col min="1" max="2" width="13.85546875" customWidth="1"/>
    <col min="3" max="3" width="14.85546875" customWidth="1"/>
    <col min="7" max="10" width="15.140625" customWidth="1"/>
  </cols>
  <sheetData>
    <row r="1" spans="1:13" x14ac:dyDescent="0.25">
      <c r="A1" s="7" t="s">
        <v>13</v>
      </c>
      <c r="B1" s="7" t="s">
        <v>10</v>
      </c>
      <c r="C1" s="7" t="s">
        <v>9</v>
      </c>
      <c r="D1" s="7" t="s">
        <v>11</v>
      </c>
      <c r="E1" s="7" t="s">
        <v>12</v>
      </c>
      <c r="G1" s="6" t="s">
        <v>14</v>
      </c>
      <c r="H1" s="6" t="s">
        <v>10</v>
      </c>
      <c r="I1" s="6" t="s">
        <v>9</v>
      </c>
      <c r="J1" s="6" t="s">
        <v>11</v>
      </c>
      <c r="K1" s="6" t="s">
        <v>12</v>
      </c>
      <c r="M1" s="8" t="s">
        <v>15</v>
      </c>
    </row>
    <row r="2" spans="1:13" x14ac:dyDescent="0.25">
      <c r="A2" s="4">
        <v>1</v>
      </c>
      <c r="B2" s="4">
        <f t="array" ref="B2">IFERROR(INDEX(TEMP!$A$2:$A$10000,MATCH(0,COUNTIF($B$1:B1,TEMP!$A$2:$A$10000),0)),0)</f>
        <v>2016</v>
      </c>
      <c r="C2" s="4">
        <f>SUMIF(TEMP!$A:$A,B2,TEMP!$H:$H)</f>
        <v>4750</v>
      </c>
      <c r="D2" s="4">
        <f>IF(LEN(Tabla1[[#This Row],[rango_fechas]]) &gt; 0, COUNTIF(TEMP!$A:$A,B2), 0)</f>
        <v>64</v>
      </c>
      <c r="E2" s="4">
        <f>IF(Tabla1[[#This Row],[value]] &gt; 1, 64, 0)</f>
        <v>64</v>
      </c>
      <c r="G2" s="5">
        <f>COUNTIF(B2:B31,"&lt;&gt;0")</f>
        <v>5</v>
      </c>
      <c r="H2" s="3" t="str">
        <f>"[" &amp; LOOKUP(2,1/(M2:M31&lt;&gt;""),M2:M31) &amp; "]"</f>
        <v>[2016, 2017, 2018, 2019, 2024]</v>
      </c>
      <c r="I2" s="5">
        <f>SUM(Tabla1[value])</f>
        <v>5540</v>
      </c>
      <c r="J2" s="5">
        <f>SUM(Tabla1[rows_in])</f>
        <v>448</v>
      </c>
      <c r="K2" s="5">
        <f>G2*64</f>
        <v>320</v>
      </c>
      <c r="L2">
        <f>SUM(Tabla1[rows_out])</f>
        <v>192</v>
      </c>
      <c r="M2">
        <f>IF(B2="","",B2)</f>
        <v>2016</v>
      </c>
    </row>
    <row r="3" spans="1:13" x14ac:dyDescent="0.25">
      <c r="A3" s="4">
        <v>2</v>
      </c>
      <c r="B3" s="4">
        <f t="array" ref="B3">IFERROR(INDEX(TEMP!$A$2:$A$10000,MATCH(0,COUNTIF($B$1:B2,TEMP!$A$2:$A$10000),0)),0)</f>
        <v>2017</v>
      </c>
      <c r="C3" s="4">
        <f>SUMIF(TEMP!$A:$A,B3,TEMP!$H:$H)</f>
        <v>151</v>
      </c>
      <c r="D3" s="4">
        <f>IF(LEN(Tabla1[[#This Row],[rango_fechas]]) &gt; 0, COUNTIF(TEMP!$A:$A,B3), 0)</f>
        <v>64</v>
      </c>
      <c r="E3" s="4">
        <f>IF(Tabla1[[#This Row],[value]] &gt; 1, 64, 0)</f>
        <v>64</v>
      </c>
      <c r="M3" t="str">
        <f t="shared" ref="M3:M31" si="0">IF(B3=0,M2,M2&amp;", "&amp;B3)</f>
        <v>2016, 2017</v>
      </c>
    </row>
    <row r="4" spans="1:13" x14ac:dyDescent="0.25">
      <c r="A4" s="4">
        <v>3</v>
      </c>
      <c r="B4" s="4">
        <f t="array" ref="B4">IFERROR(INDEX(TEMP!$A$2:$A$10000,MATCH(0,COUNTIF($B$1:B3,TEMP!$A$2:$A$10000),0)),0)</f>
        <v>2018</v>
      </c>
      <c r="C4" s="4">
        <f>SUMIF(TEMP!$A:$A,B4,TEMP!$H:$H)</f>
        <v>639</v>
      </c>
      <c r="D4" s="4">
        <f>IF(LEN(Tabla1[[#This Row],[rango_fechas]]) &gt; 0, COUNTIF(TEMP!$A:$A,B4), 0)</f>
        <v>64</v>
      </c>
      <c r="E4" s="4">
        <f>IF(Tabla1[[#This Row],[value]] &gt; 1, 64, 0)</f>
        <v>64</v>
      </c>
      <c r="M4" t="str">
        <f t="shared" si="0"/>
        <v>2016, 2017, 2018</v>
      </c>
    </row>
    <row r="5" spans="1:13" x14ac:dyDescent="0.25">
      <c r="A5" s="4">
        <v>4</v>
      </c>
      <c r="B5" s="4">
        <f t="array" ref="B5">IFERROR(INDEX(TEMP!$A$2:$A$10000,MATCH(0,COUNTIF($B$1:B4,TEMP!$A$2:$A$10000),0)),0)</f>
        <v>2019</v>
      </c>
      <c r="C5" s="4">
        <f>SUMIF(TEMP!$A:$A,B5,TEMP!$H:$H)</f>
        <v>0</v>
      </c>
      <c r="D5" s="4">
        <f>IF(LEN(Tabla1[[#This Row],[rango_fechas]]) &gt; 0, COUNTIF(TEMP!$A:$A,B5), 0)</f>
        <v>128</v>
      </c>
      <c r="E5" s="4">
        <f>IF(Tabla1[[#This Row],[value]] &gt; 1, 64, 0)</f>
        <v>0</v>
      </c>
      <c r="M5" t="str">
        <f t="shared" si="0"/>
        <v>2016, 2017, 2018, 2019</v>
      </c>
    </row>
    <row r="6" spans="1:13" x14ac:dyDescent="0.25">
      <c r="A6" s="4">
        <v>5</v>
      </c>
      <c r="B6" s="4">
        <f t="array" ref="B6">IFERROR(INDEX(TEMP!$A$2:$A$10000,MATCH(0,COUNTIF($B$1:B5,TEMP!$A$2:$A$10000),0)),0)</f>
        <v>2024</v>
      </c>
      <c r="C6" s="4">
        <f>SUMIF(TEMP!$A:$A,B6,TEMP!$H:$H)</f>
        <v>0</v>
      </c>
      <c r="D6" s="4">
        <f>IF(LEN(Tabla1[[#This Row],[rango_fechas]]) &gt; 0, COUNTIF(TEMP!$A:$A,B6), 0)</f>
        <v>128</v>
      </c>
      <c r="E6" s="4">
        <f>IF(Tabla1[[#This Row],[value]] &gt; 1, 64, 0)</f>
        <v>0</v>
      </c>
      <c r="M6" t="str">
        <f t="shared" si="0"/>
        <v>2016, 2017, 2018, 2019, 2024</v>
      </c>
    </row>
    <row r="7" spans="1:13" x14ac:dyDescent="0.25">
      <c r="A7" s="4">
        <v>6</v>
      </c>
      <c r="B7" s="4">
        <f t="array" ref="B7">IFERROR(INDEX(TEMP!$A$2:$A$10000,MATCH(0,COUNTIF($B$1:B6,TEMP!$A$2:$A$10000),0)),0)</f>
        <v>0</v>
      </c>
      <c r="C7" s="4">
        <f>SUMIF(TEMP!$A:$A,B7,TEMP!$H:$H)</f>
        <v>0</v>
      </c>
      <c r="D7" s="4">
        <f>IF(LEN(Tabla1[[#This Row],[rango_fechas]]) &gt; 0, COUNTIF(TEMP!$A:$A,B7), 0)</f>
        <v>0</v>
      </c>
      <c r="E7" s="4">
        <f>IF(Tabla1[[#This Row],[value]] &gt; 1, 64, 0)</f>
        <v>0</v>
      </c>
      <c r="M7" t="str">
        <f t="shared" si="0"/>
        <v>2016, 2017, 2018, 2019, 2024</v>
      </c>
    </row>
    <row r="8" spans="1:13" x14ac:dyDescent="0.25">
      <c r="A8" s="4">
        <v>7</v>
      </c>
      <c r="B8" s="4">
        <f t="array" ref="B8">IFERROR(INDEX(TEMP!$A$2:$A$10000,MATCH(0,COUNTIF($B$1:B7,TEMP!$A$2:$A$10000),0)),0)</f>
        <v>0</v>
      </c>
      <c r="C8" s="4">
        <f>SUMIF(TEMP!$A:$A,B8,TEMP!$H:$H)</f>
        <v>0</v>
      </c>
      <c r="D8" s="4">
        <f>IF(LEN(Tabla1[[#This Row],[rango_fechas]]) &gt; 0, COUNTIF(TEMP!$A:$A,B8), 0)</f>
        <v>0</v>
      </c>
      <c r="E8" s="4">
        <f>IF(Tabla1[[#This Row],[value]] &gt; 1, 64, 0)</f>
        <v>0</v>
      </c>
      <c r="M8" t="str">
        <f t="shared" si="0"/>
        <v>2016, 2017, 2018, 2019, 2024</v>
      </c>
    </row>
    <row r="9" spans="1:13" x14ac:dyDescent="0.25">
      <c r="A9" s="4">
        <v>8</v>
      </c>
      <c r="B9" s="4">
        <f t="array" ref="B9">IFERROR(INDEX(TEMP!$A$2:$A$10000,MATCH(0,COUNTIF($B$1:B8,TEMP!$A$2:$A$10000),0)),0)</f>
        <v>0</v>
      </c>
      <c r="C9" s="4">
        <f>SUMIF(TEMP!$A:$A,B9,TEMP!$H:$H)</f>
        <v>0</v>
      </c>
      <c r="D9" s="4">
        <f>IF(LEN(Tabla1[[#This Row],[rango_fechas]]) &gt; 0, COUNTIF(TEMP!$A:$A,B9), 0)</f>
        <v>0</v>
      </c>
      <c r="E9" s="4">
        <f>IF(Tabla1[[#This Row],[value]] &gt; 1, 64, 0)</f>
        <v>0</v>
      </c>
      <c r="M9" t="str">
        <f t="shared" si="0"/>
        <v>2016, 2017, 2018, 2019, 2024</v>
      </c>
    </row>
    <row r="10" spans="1:13" x14ac:dyDescent="0.25">
      <c r="A10" s="4">
        <v>9</v>
      </c>
      <c r="B10" s="4">
        <f t="array" ref="B10">IFERROR(INDEX(TEMP!$A$2:$A$10000,MATCH(0,COUNTIF($B$1:B9,TEMP!$A$2:$A$10000),0)),0)</f>
        <v>0</v>
      </c>
      <c r="C10" s="4">
        <f>SUMIF(TEMP!$A:$A,B10,TEMP!$H:$H)</f>
        <v>0</v>
      </c>
      <c r="D10" s="4">
        <f>IF(LEN(Tabla1[[#This Row],[rango_fechas]]) &gt; 0, COUNTIF(TEMP!$A:$A,B10), 0)</f>
        <v>0</v>
      </c>
      <c r="E10" s="4">
        <f>IF(Tabla1[[#This Row],[value]] &gt; 1, 64, 0)</f>
        <v>0</v>
      </c>
      <c r="M10" t="str">
        <f t="shared" si="0"/>
        <v>2016, 2017, 2018, 2019, 2024</v>
      </c>
    </row>
    <row r="11" spans="1:13" x14ac:dyDescent="0.25">
      <c r="A11" s="4">
        <v>10</v>
      </c>
      <c r="B11" s="4">
        <f t="array" ref="B11">IFERROR(INDEX(TEMP!$A$2:$A$10000,MATCH(0,COUNTIF($B$1:B10,TEMP!$A$2:$A$10000),0)),0)</f>
        <v>0</v>
      </c>
      <c r="C11" s="4">
        <f>SUMIF(TEMP!$A:$A,B11,TEMP!$H:$H)</f>
        <v>0</v>
      </c>
      <c r="D11" s="4">
        <f>IF(LEN(Tabla1[[#This Row],[rango_fechas]]) &gt; 0, COUNTIF(TEMP!$A:$A,B11), 0)</f>
        <v>0</v>
      </c>
      <c r="E11" s="4">
        <f>IF(Tabla1[[#This Row],[value]] &gt; 1, 64, 0)</f>
        <v>0</v>
      </c>
      <c r="M11" t="str">
        <f t="shared" si="0"/>
        <v>2016, 2017, 2018, 2019, 2024</v>
      </c>
    </row>
    <row r="12" spans="1:13" x14ac:dyDescent="0.25">
      <c r="A12" s="4">
        <v>11</v>
      </c>
      <c r="B12" s="4">
        <f t="array" ref="B12">IFERROR(INDEX(TEMP!$A$2:$A$10000,MATCH(0,COUNTIF($B$1:B11,TEMP!$A$2:$A$10000),0)),0)</f>
        <v>0</v>
      </c>
      <c r="C12" s="4">
        <f>SUMIF(TEMP!$A:$A,B12,TEMP!$H:$H)</f>
        <v>0</v>
      </c>
      <c r="D12" s="4">
        <f>IF(LEN(Tabla1[[#This Row],[rango_fechas]]) &gt; 0, COUNTIF(TEMP!$A:$A,B12), 0)</f>
        <v>0</v>
      </c>
      <c r="E12" s="4">
        <f>IF(Tabla1[[#This Row],[value]] &gt; 1, 64, 0)</f>
        <v>0</v>
      </c>
      <c r="M12" t="str">
        <f t="shared" si="0"/>
        <v>2016, 2017, 2018, 2019, 2024</v>
      </c>
    </row>
    <row r="13" spans="1:13" x14ac:dyDescent="0.25">
      <c r="A13" s="4">
        <v>12</v>
      </c>
      <c r="B13" s="4">
        <f t="array" ref="B13">IFERROR(INDEX(TEMP!$A$2:$A$10000,MATCH(0,COUNTIF($B$1:B12,TEMP!$A$2:$A$10000),0)),0)</f>
        <v>0</v>
      </c>
      <c r="C13" s="4">
        <f>SUMIF(TEMP!$A:$A,B13,TEMP!$H:$H)</f>
        <v>0</v>
      </c>
      <c r="D13" s="4">
        <f>IF(LEN(Tabla1[[#This Row],[rango_fechas]]) &gt; 0, COUNTIF(TEMP!$A:$A,B13), 0)</f>
        <v>0</v>
      </c>
      <c r="E13" s="4">
        <f>IF(Tabla1[[#This Row],[value]] &gt; 1, 64, 0)</f>
        <v>0</v>
      </c>
      <c r="M13" t="str">
        <f t="shared" si="0"/>
        <v>2016, 2017, 2018, 2019, 2024</v>
      </c>
    </row>
    <row r="14" spans="1:13" x14ac:dyDescent="0.25">
      <c r="A14" s="4">
        <v>13</v>
      </c>
      <c r="B14" s="4">
        <f t="array" ref="B14">IFERROR(INDEX(TEMP!$A$2:$A$10000,MATCH(0,COUNTIF($B$1:B13,TEMP!$A$2:$A$10000),0)),0)</f>
        <v>0</v>
      </c>
      <c r="C14" s="4">
        <f>SUMIF(TEMP!$A:$A,B14,TEMP!$H:$H)</f>
        <v>0</v>
      </c>
      <c r="D14" s="4">
        <f>IF(LEN(Tabla1[[#This Row],[rango_fechas]]) &gt; 0, COUNTIF(TEMP!$A:$A,B14), 0)</f>
        <v>0</v>
      </c>
      <c r="E14" s="4">
        <f>IF(Tabla1[[#This Row],[value]] &gt; 1, 64, 0)</f>
        <v>0</v>
      </c>
      <c r="M14" t="str">
        <f t="shared" si="0"/>
        <v>2016, 2017, 2018, 2019, 2024</v>
      </c>
    </row>
    <row r="15" spans="1:13" x14ac:dyDescent="0.25">
      <c r="A15" s="4">
        <v>14</v>
      </c>
      <c r="B15" s="4">
        <f t="array" ref="B15">IFERROR(INDEX(TEMP!$A$2:$A$10000,MATCH(0,COUNTIF($B$1:B14,TEMP!$A$2:$A$10000),0)),0)</f>
        <v>0</v>
      </c>
      <c r="C15" s="4">
        <f>SUMIF(TEMP!$A:$A,B15,TEMP!$H:$H)</f>
        <v>0</v>
      </c>
      <c r="D15" s="4">
        <f>IF(LEN(Tabla1[[#This Row],[rango_fechas]]) &gt; 0, COUNTIF(TEMP!$A:$A,B15), 0)</f>
        <v>0</v>
      </c>
      <c r="E15" s="4">
        <f>IF(Tabla1[[#This Row],[value]] &gt; 1, 64, 0)</f>
        <v>0</v>
      </c>
      <c r="M15" t="str">
        <f t="shared" si="0"/>
        <v>2016, 2017, 2018, 2019, 2024</v>
      </c>
    </row>
    <row r="16" spans="1:13" x14ac:dyDescent="0.25">
      <c r="A16" s="4">
        <v>15</v>
      </c>
      <c r="B16" s="4">
        <f t="array" ref="B16">IFERROR(INDEX(TEMP!$A$2:$A$10000,MATCH(0,COUNTIF($B$1:B15,TEMP!$A$2:$A$10000),0)),0)</f>
        <v>0</v>
      </c>
      <c r="C16" s="4">
        <f>SUMIF(TEMP!$A:$A,B16,TEMP!$H:$H)</f>
        <v>0</v>
      </c>
      <c r="D16" s="4">
        <f>IF(LEN(Tabla1[[#This Row],[rango_fechas]]) &gt; 0, COUNTIF(TEMP!$A:$A,B16), 0)</f>
        <v>0</v>
      </c>
      <c r="E16" s="4">
        <f>IF(Tabla1[[#This Row],[value]] &gt; 1, 64, 0)</f>
        <v>0</v>
      </c>
      <c r="M16" t="str">
        <f t="shared" si="0"/>
        <v>2016, 2017, 2018, 2019, 2024</v>
      </c>
    </row>
    <row r="17" spans="1:13" x14ac:dyDescent="0.25">
      <c r="A17" s="4">
        <v>16</v>
      </c>
      <c r="B17" s="4">
        <f t="array" ref="B17">IFERROR(INDEX(TEMP!$A$2:$A$10000,MATCH(0,COUNTIF($B$1:B16,TEMP!$A$2:$A$10000),0)),0)</f>
        <v>0</v>
      </c>
      <c r="C17" s="4">
        <f>SUMIF(TEMP!$A:$A,B17,TEMP!$H:$H)</f>
        <v>0</v>
      </c>
      <c r="D17" s="4">
        <f>IF(LEN(Tabla1[[#This Row],[rango_fechas]]) &gt; 0, COUNTIF(TEMP!$A:$A,B17), 0)</f>
        <v>0</v>
      </c>
      <c r="E17" s="4">
        <f>IF(Tabla1[[#This Row],[value]] &gt; 1, 64, 0)</f>
        <v>0</v>
      </c>
      <c r="M17" t="str">
        <f t="shared" si="0"/>
        <v>2016, 2017, 2018, 2019, 2024</v>
      </c>
    </row>
    <row r="18" spans="1:13" x14ac:dyDescent="0.25">
      <c r="A18" s="4">
        <v>17</v>
      </c>
      <c r="B18" s="4">
        <f t="array" ref="B18">IFERROR(INDEX(TEMP!$A$2:$A$10000,MATCH(0,COUNTIF($B$1:B17,TEMP!$A$2:$A$10000),0)),0)</f>
        <v>0</v>
      </c>
      <c r="C18" s="4">
        <f>SUMIF(TEMP!$A:$A,B18,TEMP!$H:$H)</f>
        <v>0</v>
      </c>
      <c r="D18" s="4">
        <f>IF(LEN(Tabla1[[#This Row],[rango_fechas]]) &gt; 0, COUNTIF(TEMP!$A:$A,B18), 0)</f>
        <v>0</v>
      </c>
      <c r="E18" s="4">
        <f>IF(Tabla1[[#This Row],[value]] &gt; 1, 64, 0)</f>
        <v>0</v>
      </c>
      <c r="M18" t="str">
        <f t="shared" si="0"/>
        <v>2016, 2017, 2018, 2019, 2024</v>
      </c>
    </row>
    <row r="19" spans="1:13" x14ac:dyDescent="0.25">
      <c r="A19" s="4">
        <v>18</v>
      </c>
      <c r="B19" s="4">
        <f t="array" ref="B19">IFERROR(INDEX(TEMP!$A$2:$A$10000,MATCH(0,COUNTIF($B$1:B18,TEMP!$A$2:$A$10000),0)),0)</f>
        <v>0</v>
      </c>
      <c r="C19" s="4">
        <f>SUMIF(TEMP!$A:$A,B19,TEMP!$H:$H)</f>
        <v>0</v>
      </c>
      <c r="D19" s="4">
        <f>IF(LEN(Tabla1[[#This Row],[rango_fechas]]) &gt; 0, COUNTIF(TEMP!$A:$A,B19), 0)</f>
        <v>0</v>
      </c>
      <c r="E19" s="4">
        <f>IF(Tabla1[[#This Row],[value]] &gt; 1, 64, 0)</f>
        <v>0</v>
      </c>
      <c r="M19" t="str">
        <f t="shared" si="0"/>
        <v>2016, 2017, 2018, 2019, 2024</v>
      </c>
    </row>
    <row r="20" spans="1:13" x14ac:dyDescent="0.25">
      <c r="A20" s="4">
        <v>19</v>
      </c>
      <c r="B20" s="4">
        <f t="array" ref="B20">IFERROR(INDEX(TEMP!$A$2:$A$10000,MATCH(0,COUNTIF($B$1:B19,TEMP!$A$2:$A$10000),0)),0)</f>
        <v>0</v>
      </c>
      <c r="C20" s="4">
        <f>SUMIF(TEMP!$A:$A,B20,TEMP!$H:$H)</f>
        <v>0</v>
      </c>
      <c r="D20" s="4">
        <f>IF(LEN(Tabla1[[#This Row],[rango_fechas]]) &gt; 0, COUNTIF(TEMP!$A:$A,B20), 0)</f>
        <v>0</v>
      </c>
      <c r="E20" s="4">
        <f>IF(Tabla1[[#This Row],[value]] &gt; 1, 64, 0)</f>
        <v>0</v>
      </c>
      <c r="M20" t="str">
        <f t="shared" si="0"/>
        <v>2016, 2017, 2018, 2019, 2024</v>
      </c>
    </row>
    <row r="21" spans="1:13" x14ac:dyDescent="0.25">
      <c r="A21" s="4">
        <v>20</v>
      </c>
      <c r="B21" s="4">
        <f t="array" ref="B21">IFERROR(INDEX(TEMP!$A$2:$A$10000,MATCH(0,COUNTIF($B$1:B20,TEMP!$A$2:$A$10000),0)),0)</f>
        <v>0</v>
      </c>
      <c r="C21" s="4">
        <f>SUMIF(TEMP!$A:$A,B21,TEMP!$H:$H)</f>
        <v>0</v>
      </c>
      <c r="D21" s="4">
        <f>IF(LEN(Tabla1[[#This Row],[rango_fechas]]) &gt; 0, COUNTIF(TEMP!$A:$A,B21), 0)</f>
        <v>0</v>
      </c>
      <c r="E21" s="4">
        <f>IF(Tabla1[[#This Row],[value]] &gt; 1, 64, 0)</f>
        <v>0</v>
      </c>
      <c r="M21" t="str">
        <f t="shared" si="0"/>
        <v>2016, 2017, 2018, 2019, 2024</v>
      </c>
    </row>
    <row r="22" spans="1:13" x14ac:dyDescent="0.25">
      <c r="A22" s="4">
        <v>21</v>
      </c>
      <c r="B22" s="4">
        <f t="array" ref="B22">IFERROR(INDEX(TEMP!$A$2:$A$10000,MATCH(0,COUNTIF($B$1:B21,TEMP!$A$2:$A$10000),0)),0)</f>
        <v>0</v>
      </c>
      <c r="C22" s="4">
        <f>SUMIF(TEMP!$A:$A,B22,TEMP!$H:$H)</f>
        <v>0</v>
      </c>
      <c r="D22" s="4">
        <f>IF(LEN(Tabla1[[#This Row],[rango_fechas]]) &gt; 0, COUNTIF(TEMP!$A:$A,B22), 0)</f>
        <v>0</v>
      </c>
      <c r="E22" s="4">
        <f>IF(Tabla1[[#This Row],[value]] &gt; 1, 64, 0)</f>
        <v>0</v>
      </c>
      <c r="M22" t="str">
        <f t="shared" si="0"/>
        <v>2016, 2017, 2018, 2019, 2024</v>
      </c>
    </row>
    <row r="23" spans="1:13" x14ac:dyDescent="0.25">
      <c r="A23" s="4">
        <v>22</v>
      </c>
      <c r="B23" s="4">
        <f t="array" ref="B23">IFERROR(INDEX(TEMP!$A$2:$A$10000,MATCH(0,COUNTIF($B$1:B22,TEMP!$A$2:$A$10000),0)),0)</f>
        <v>0</v>
      </c>
      <c r="C23" s="4">
        <f>SUMIF(TEMP!$A:$A,B23,TEMP!$H:$H)</f>
        <v>0</v>
      </c>
      <c r="D23" s="4">
        <f>IF(LEN(Tabla1[[#This Row],[rango_fechas]]) &gt; 0, COUNTIF(TEMP!$A:$A,B23), 0)</f>
        <v>0</v>
      </c>
      <c r="E23" s="4">
        <f>IF(Tabla1[[#This Row],[value]] &gt; 1, 64, 0)</f>
        <v>0</v>
      </c>
      <c r="M23" t="str">
        <f t="shared" si="0"/>
        <v>2016, 2017, 2018, 2019, 2024</v>
      </c>
    </row>
    <row r="24" spans="1:13" x14ac:dyDescent="0.25">
      <c r="A24" s="4">
        <v>23</v>
      </c>
      <c r="B24" s="4">
        <f t="array" ref="B24">IFERROR(INDEX(TEMP!$A$2:$A$10000,MATCH(0,COUNTIF($B$1:B23,TEMP!$A$2:$A$10000),0)),0)</f>
        <v>0</v>
      </c>
      <c r="C24" s="4">
        <f>SUMIF(TEMP!$A:$A,B24,TEMP!$H:$H)</f>
        <v>0</v>
      </c>
      <c r="D24" s="4">
        <f>IF(LEN(Tabla1[[#This Row],[rango_fechas]]) &gt; 0, COUNTIF(TEMP!$A:$A,B24), 0)</f>
        <v>0</v>
      </c>
      <c r="E24" s="4">
        <f>IF(Tabla1[[#This Row],[value]] &gt; 1, 64, 0)</f>
        <v>0</v>
      </c>
      <c r="M24" t="str">
        <f t="shared" si="0"/>
        <v>2016, 2017, 2018, 2019, 2024</v>
      </c>
    </row>
    <row r="25" spans="1:13" x14ac:dyDescent="0.25">
      <c r="A25" s="4">
        <v>24</v>
      </c>
      <c r="B25" s="4">
        <f t="array" ref="B25">IFERROR(INDEX(TEMP!$A$2:$A$10000,MATCH(0,COUNTIF($B$1:B24,TEMP!$A$2:$A$10000),0)),0)</f>
        <v>0</v>
      </c>
      <c r="C25" s="4">
        <f>SUMIF(TEMP!$A:$A,B25,TEMP!$H:$H)</f>
        <v>0</v>
      </c>
      <c r="D25" s="4">
        <f>IF(LEN(Tabla1[[#This Row],[rango_fechas]]) &gt; 0, COUNTIF(TEMP!$A:$A,B25), 0)</f>
        <v>0</v>
      </c>
      <c r="E25" s="4">
        <f>IF(Tabla1[[#This Row],[value]] &gt; 1, 64, 0)</f>
        <v>0</v>
      </c>
      <c r="M25" t="str">
        <f t="shared" si="0"/>
        <v>2016, 2017, 2018, 2019, 2024</v>
      </c>
    </row>
    <row r="26" spans="1:13" x14ac:dyDescent="0.25">
      <c r="A26" s="4">
        <v>25</v>
      </c>
      <c r="B26" s="4">
        <f t="array" ref="B26">IFERROR(INDEX(TEMP!$A$2:$A$10000,MATCH(0,COUNTIF($B$1:B25,TEMP!$A$2:$A$10000),0)),0)</f>
        <v>0</v>
      </c>
      <c r="C26" s="4">
        <f>SUMIF(TEMP!$A:$A,B26,TEMP!$H:$H)</f>
        <v>0</v>
      </c>
      <c r="D26" s="4">
        <f>IF(LEN(Tabla1[[#This Row],[rango_fechas]]) &gt; 0, COUNTIF(TEMP!$A:$A,B26), 0)</f>
        <v>0</v>
      </c>
      <c r="E26" s="4">
        <f>IF(Tabla1[[#This Row],[value]] &gt; 1, 64, 0)</f>
        <v>0</v>
      </c>
      <c r="M26" t="str">
        <f t="shared" si="0"/>
        <v>2016, 2017, 2018, 2019, 2024</v>
      </c>
    </row>
    <row r="27" spans="1:13" x14ac:dyDescent="0.25">
      <c r="A27" s="4">
        <v>26</v>
      </c>
      <c r="B27" s="4">
        <f t="array" ref="B27">IFERROR(INDEX(TEMP!$A$2:$A$10000,MATCH(0,COUNTIF($B$1:B26,TEMP!$A$2:$A$10000),0)),0)</f>
        <v>0</v>
      </c>
      <c r="C27" s="4">
        <f>SUMIF(TEMP!$A:$A,B27,TEMP!$H:$H)</f>
        <v>0</v>
      </c>
      <c r="D27" s="4">
        <f>IF(LEN(Tabla1[[#This Row],[rango_fechas]]) &gt; 0, COUNTIF(TEMP!$A:$A,B27), 0)</f>
        <v>0</v>
      </c>
      <c r="E27" s="4">
        <f>IF(Tabla1[[#This Row],[value]] &gt; 1, 64, 0)</f>
        <v>0</v>
      </c>
      <c r="M27" t="str">
        <f t="shared" si="0"/>
        <v>2016, 2017, 2018, 2019, 2024</v>
      </c>
    </row>
    <row r="28" spans="1:13" x14ac:dyDescent="0.25">
      <c r="A28" s="4">
        <v>27</v>
      </c>
      <c r="B28" s="4">
        <f t="array" ref="B28">IFERROR(INDEX(TEMP!$A$2:$A$10000,MATCH(0,COUNTIF($B$1:B27,TEMP!$A$2:$A$10000),0)),0)</f>
        <v>0</v>
      </c>
      <c r="C28" s="4">
        <f>SUMIF(TEMP!$A:$A,B28,TEMP!$H:$H)</f>
        <v>0</v>
      </c>
      <c r="D28" s="4">
        <f>IF(LEN(Tabla1[[#This Row],[rango_fechas]]) &gt; 0, COUNTIF(TEMP!$A:$A,B28), 0)</f>
        <v>0</v>
      </c>
      <c r="E28" s="4">
        <f>IF(Tabla1[[#This Row],[value]] &gt; 1, 64, 0)</f>
        <v>0</v>
      </c>
      <c r="M28" t="str">
        <f t="shared" si="0"/>
        <v>2016, 2017, 2018, 2019, 2024</v>
      </c>
    </row>
    <row r="29" spans="1:13" x14ac:dyDescent="0.25">
      <c r="A29" s="4">
        <v>28</v>
      </c>
      <c r="B29" s="4">
        <f t="array" ref="B29">IFERROR(INDEX(TEMP!$A$2:$A$10000,MATCH(0,COUNTIF($B$1:B28,TEMP!$A$2:$A$10000),0)),0)</f>
        <v>0</v>
      </c>
      <c r="C29" s="4">
        <f>SUMIF(TEMP!$A:$A,B29,TEMP!$H:$H)</f>
        <v>0</v>
      </c>
      <c r="D29" s="4">
        <f>IF(LEN(Tabla1[[#This Row],[rango_fechas]]) &gt; 0, COUNTIF(TEMP!$A:$A,B29), 0)</f>
        <v>0</v>
      </c>
      <c r="E29" s="4">
        <f>IF(Tabla1[[#This Row],[value]] &gt; 1, 64, 0)</f>
        <v>0</v>
      </c>
      <c r="M29" t="str">
        <f t="shared" si="0"/>
        <v>2016, 2017, 2018, 2019, 2024</v>
      </c>
    </row>
    <row r="30" spans="1:13" x14ac:dyDescent="0.25">
      <c r="A30" s="4">
        <v>29</v>
      </c>
      <c r="B30" s="4">
        <f t="array" ref="B30">IFERROR(INDEX(TEMP!$A$2:$A$10000,MATCH(0,COUNTIF($B$1:B29,TEMP!$A$2:$A$10000),0)),0)</f>
        <v>0</v>
      </c>
      <c r="C30" s="4">
        <f>SUMIF(TEMP!$A:$A,B30,TEMP!$H:$H)</f>
        <v>0</v>
      </c>
      <c r="D30" s="4">
        <f>IF(LEN(Tabla1[[#This Row],[rango_fechas]]) &gt; 0, COUNTIF(TEMP!$A:$A,B30), 0)</f>
        <v>0</v>
      </c>
      <c r="E30" s="4">
        <f>IF(Tabla1[[#This Row],[value]] &gt; 1, 64, 0)</f>
        <v>0</v>
      </c>
      <c r="M30" t="str">
        <f t="shared" si="0"/>
        <v>2016, 2017, 2018, 2019, 2024</v>
      </c>
    </row>
    <row r="31" spans="1:13" x14ac:dyDescent="0.25">
      <c r="A31" s="4">
        <v>30</v>
      </c>
      <c r="B31" s="4">
        <f t="array" ref="B31">IFERROR(INDEX(TEMP!$A$2:$A$10000,MATCH(0,COUNTIF($B$1:B30,TEMP!$A$2:$A$10000),0)),0)</f>
        <v>0</v>
      </c>
      <c r="C31" s="4">
        <f>SUMIF(TEMP!$A:$A,B31,TEMP!$H:$H)</f>
        <v>0</v>
      </c>
      <c r="D31" s="4">
        <f>IF(LEN(Tabla1[[#This Row],[rango_fechas]]) &gt; 0, COUNTIF(TEMP!$A:$A,B31), 0)</f>
        <v>0</v>
      </c>
      <c r="E31" s="4">
        <f>IF(Tabla1[[#This Row],[value]] &gt; 1, 64, 0)</f>
        <v>0</v>
      </c>
      <c r="M31" t="str">
        <f t="shared" si="0"/>
        <v>2016, 2017, 2018, 2019, 2024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TEMP</vt:lpstr>
      <vt:lpstr>REPORT</vt:lpstr>
      <vt:lpstr>TEMP!cnsipee_ejer_func_Tableau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IPPI 11</dc:creator>
  <cp:lastModifiedBy>Miguel Trinidad Gómez Hernandez</cp:lastModifiedBy>
  <dcterms:created xsi:type="dcterms:W3CDTF">2025-11-27T00:13:58Z</dcterms:created>
  <dcterms:modified xsi:type="dcterms:W3CDTF">2026-03-12T22:30:45Z</dcterms:modified>
</cp:coreProperties>
</file>
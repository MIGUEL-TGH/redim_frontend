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PI 11\Documents\GitHub\REDIM_1\data\excel_sql\"/>
    </mc:Choice>
  </mc:AlternateContent>
  <xr:revisionPtr revIDLastSave="0" documentId="13_ncr:1_{0F1A5576-F983-43B5-9E2D-F0E6FAC48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" sheetId="2" r:id="rId1"/>
    <sheet name="REPORT" sheetId="3" r:id="rId2"/>
  </sheets>
  <definedNames>
    <definedName name="_xlnm._FilterDatabase" localSheetId="0" hidden="1">TEMP!$A$1:$J$257</definedName>
    <definedName name="cnsipee_ejer_func_Tableau" localSheetId="0">TEMP!$A$1:$J$65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 a="1"/>
  <c r="B2" i="3" s="1"/>
  <c r="B3" i="3" l="1" a="1"/>
  <c r="B3" i="3" s="1"/>
  <c r="M2" i="3"/>
  <c r="C2" i="3"/>
  <c r="E2" i="3" s="1"/>
  <c r="D2" i="3"/>
  <c r="B4" i="3" l="1" a="1"/>
  <c r="B4" i="3" s="1"/>
  <c r="B5" i="3" s="1" a="1"/>
  <c r="B5" i="3" s="1"/>
  <c r="M3" i="3"/>
  <c r="D3" i="3"/>
  <c r="C3" i="3"/>
  <c r="E3" i="3" s="1"/>
  <c r="M4" i="3" l="1"/>
  <c r="M5" i="3" s="1"/>
  <c r="B6" i="3" a="1"/>
  <c r="B6" i="3" s="1"/>
  <c r="D4" i="3"/>
  <c r="C4" i="3"/>
  <c r="E4" i="3" s="1"/>
  <c r="M6" i="3" l="1"/>
  <c r="B7" i="3" a="1"/>
  <c r="B7" i="3" s="1"/>
  <c r="B8" i="3" s="1" a="1"/>
  <c r="B8" i="3" s="1"/>
  <c r="D5" i="3"/>
  <c r="C6" i="3"/>
  <c r="E6" i="3" s="1"/>
  <c r="C5" i="3"/>
  <c r="E5" i="3" s="1"/>
  <c r="M7" i="3" l="1"/>
  <c r="M8" i="3" s="1"/>
  <c r="B9" i="3" a="1"/>
  <c r="B9" i="3" s="1"/>
  <c r="D6" i="3"/>
  <c r="M9" i="3" l="1"/>
  <c r="B10" i="3" a="1"/>
  <c r="B10" i="3" s="1"/>
  <c r="C7" i="3"/>
  <c r="E7" i="3" s="1"/>
  <c r="D7" i="3"/>
  <c r="M10" i="3" l="1"/>
  <c r="B11" i="3" a="1"/>
  <c r="B11" i="3" s="1"/>
  <c r="D9" i="3"/>
  <c r="C9" i="3"/>
  <c r="E9" i="3" s="1"/>
  <c r="D8" i="3"/>
  <c r="C8" i="3"/>
  <c r="E8" i="3" s="1"/>
  <c r="M11" i="3" l="1"/>
  <c r="B12" i="3" a="1"/>
  <c r="B12" i="3" s="1"/>
  <c r="D10" i="3"/>
  <c r="C10" i="3"/>
  <c r="E10" i="3" s="1"/>
  <c r="M12" i="3" l="1"/>
  <c r="B13" i="3" a="1"/>
  <c r="B13" i="3" s="1"/>
  <c r="D11" i="3"/>
  <c r="C11" i="3"/>
  <c r="E11" i="3" s="1"/>
  <c r="M13" i="3" l="1"/>
  <c r="B14" i="3" a="1"/>
  <c r="B14" i="3" s="1"/>
  <c r="B15" i="3" s="1" a="1"/>
  <c r="B15" i="3" s="1"/>
  <c r="B16" i="3" s="1" a="1"/>
  <c r="B16" i="3" s="1"/>
  <c r="C12" i="3"/>
  <c r="E12" i="3" s="1"/>
  <c r="D12" i="3"/>
  <c r="M14" i="3" l="1"/>
  <c r="M15" i="3" s="1"/>
  <c r="M16" i="3" s="1"/>
  <c r="B17" i="3" a="1"/>
  <c r="B17" i="3" s="1"/>
  <c r="M17" i="3" s="1"/>
  <c r="C13" i="3"/>
  <c r="E13" i="3" s="1"/>
  <c r="D13" i="3"/>
  <c r="D14" i="3"/>
  <c r="B18" i="3" l="1" a="1"/>
  <c r="B18" i="3" s="1"/>
  <c r="B19" i="3" s="1" a="1"/>
  <c r="B19" i="3" s="1"/>
  <c r="B20" i="3" s="1" a="1"/>
  <c r="B20" i="3" s="1"/>
  <c r="B21" i="3" s="1" a="1"/>
  <c r="B21" i="3" s="1"/>
  <c r="B22" i="3" s="1" a="1"/>
  <c r="B22" i="3" s="1"/>
  <c r="B23" i="3" s="1" a="1"/>
  <c r="B23" i="3" s="1"/>
  <c r="B24" i="3" s="1" a="1"/>
  <c r="B24" i="3" s="1"/>
  <c r="B25" i="3" s="1" a="1"/>
  <c r="B25" i="3" s="1"/>
  <c r="B26" i="3" s="1" a="1"/>
  <c r="B26" i="3" s="1"/>
  <c r="B27" i="3" s="1" a="1"/>
  <c r="B27" i="3" s="1"/>
  <c r="B28" i="3" s="1" a="1"/>
  <c r="B28" i="3" s="1"/>
  <c r="B29" i="3" s="1" a="1"/>
  <c r="B29" i="3" s="1"/>
  <c r="B30" i="3" s="1" a="1"/>
  <c r="B30" i="3" s="1"/>
  <c r="B31" i="3" s="1" a="1"/>
  <c r="B31" i="3" s="1"/>
  <c r="C14" i="3"/>
  <c r="E14" i="3" s="1"/>
  <c r="M18" i="3" l="1"/>
  <c r="M19" i="3" s="1"/>
  <c r="M20" i="3" s="1"/>
  <c r="M21" i="3" s="1"/>
  <c r="M22" i="3" s="1"/>
  <c r="M23" i="3" s="1"/>
  <c r="M24" i="3" s="1"/>
  <c r="D15" i="3"/>
  <c r="C15" i="3"/>
  <c r="E15" i="3" s="1"/>
  <c r="M25" i="3" l="1"/>
  <c r="M26" i="3" s="1"/>
  <c r="M27" i="3" s="1"/>
  <c r="M28" i="3" s="1"/>
  <c r="M29" i="3" s="1"/>
  <c r="M30" i="3" s="1"/>
  <c r="M31" i="3" s="1"/>
  <c r="C16" i="3"/>
  <c r="E16" i="3" s="1"/>
  <c r="D16" i="3"/>
  <c r="H2" i="3" l="1"/>
  <c r="C17" i="3"/>
  <c r="E17" i="3" s="1"/>
  <c r="D17" i="3"/>
  <c r="D18" i="3" l="1"/>
  <c r="C18" i="3"/>
  <c r="E18" i="3" s="1"/>
  <c r="D19" i="3" l="1"/>
  <c r="C19" i="3"/>
  <c r="E19" i="3" s="1"/>
  <c r="D20" i="3" l="1"/>
  <c r="C20" i="3"/>
  <c r="E20" i="3" s="1"/>
  <c r="C21" i="3" l="1"/>
  <c r="E21" i="3" s="1"/>
  <c r="D21" i="3"/>
  <c r="D22" i="3" l="1"/>
  <c r="C22" i="3"/>
  <c r="E22" i="3" s="1"/>
  <c r="C23" i="3" l="1"/>
  <c r="E23" i="3" s="1"/>
  <c r="D23" i="3"/>
  <c r="C24" i="3" l="1"/>
  <c r="E24" i="3" s="1"/>
  <c r="D24" i="3"/>
  <c r="D25" i="3" l="1"/>
  <c r="C25" i="3"/>
  <c r="E25" i="3" s="1"/>
  <c r="D26" i="3" l="1"/>
  <c r="C26" i="3"/>
  <c r="E26" i="3" s="1"/>
  <c r="D27" i="3" l="1"/>
  <c r="C27" i="3"/>
  <c r="E27" i="3" s="1"/>
  <c r="C28" i="3" l="1"/>
  <c r="E28" i="3" s="1"/>
  <c r="D28" i="3"/>
  <c r="C29" i="3" l="1"/>
  <c r="E29" i="3" s="1"/>
  <c r="D29" i="3"/>
  <c r="D30" i="3" l="1"/>
  <c r="C30" i="3"/>
  <c r="E30" i="3" s="1"/>
  <c r="G2" i="3" l="1"/>
  <c r="K2" i="3" s="1"/>
  <c r="D31" i="3"/>
  <c r="J2" i="3" s="1"/>
  <c r="C31" i="3"/>
  <c r="E31" i="3" l="1"/>
  <c r="L2" i="3" s="1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nsipee_ejer_func Tableau1" type="6" refreshedVersion="7" background="1" saveData="1">
    <textPr codePage="65001" sourceFile="C:\Users\IPPI 11\Downloads\cnsipee_ejer_func Tableau.csv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<sst xmlns="http://schemas.openxmlformats.org/spreadsheetml/2006/main" count="21" uniqueCount="16">
  <si>
    <t>Total</t>
  </si>
  <si>
    <t>Centro especializado de tratamiento o internamiento para adolescentes</t>
  </si>
  <si>
    <t>Porcentaje</t>
  </si>
  <si>
    <t>Tasa</t>
  </si>
  <si>
    <t>year</t>
  </si>
  <si>
    <t>population</t>
  </si>
  <si>
    <t>crime</t>
  </si>
  <si>
    <t>gender</t>
  </si>
  <si>
    <t>state</t>
  </si>
  <si>
    <t>value</t>
  </si>
  <si>
    <t>rango_fechas</t>
  </si>
  <si>
    <t>rows_in</t>
  </si>
  <si>
    <t>rows_out</t>
  </si>
  <si>
    <t>num</t>
  </si>
  <si>
    <t>num_fechas</t>
  </si>
  <si>
    <t>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</si>
</sst>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17" fillId="17" borderId="0" xfId="26" applyAlignment="1">
      <alignment horizontal="center" vertical="top"/>
    </xf>
    <xf numFmtId="0" fontId="17" fillId="17" borderId="0" xfId="26" applyAlignment="1">
      <alignment horizontal="left" vertical="top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17" borderId="10" xfId="26" applyBorder="1"/>
    <xf numFmtId="0" fontId="17" fillId="17" borderId="0" xfId="26"/>
    <xf numFmtId="0" fontId="17" fillId="17" borderId="11" xfId="26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sipee_ejer_func Tableau" connectionId="1" xr16:uid="{00000000-0016-0000-0000-000000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0EC4D-2FED-4128-8343-27034AE05F62}" name="Tabla1" displayName="Tabla1" ref="A1:E31" totalsRowShown="0" dataDxfId="5" headerRowCellStyle="Énfasis3" dataCellStyle="Énfasis1">
  <autoFilter ref="A1:E31" xr:uid="{F420EC4D-2FED-4128-8343-27034AE05F62}"/>
  <tableColumns count="5">
    <tableColumn id="5" xr3:uid="{A4E17DF3-34A6-4047-9561-8A633241B9E0}" name="num" dataDxfId="4"/>
    <tableColumn id="2" xr3:uid="{9F40A34F-4548-409F-87D6-EBBB861E4CB2}" name="rango_fechas" dataDxfId="3">
      <calculatedColumnFormula array="1">IFERROR(INDEX(TEMP!$A$2:$A$10000,MATCH(0,COUNTIF($B$1:B1,TEMP!$A$2:$A$10000),0)),0)</calculatedColumnFormula>
    </tableColumn>
    <tableColumn id="1" xr3:uid="{FBF8BB08-EF59-4FFD-A384-05375EAA1902}" name="value" dataDxfId="2">
      <calculatedColumnFormula>SUMIF(TEMP!$A:$A,B2,TEMP!$H:$H)</calculatedColumnFormula>
    </tableColumn>
    <tableColumn id="3" xr3:uid="{228355E4-F71C-4373-8BD4-EEAB5EDA2666}" name="rows_in" dataDxfId="1">
      <calculatedColumnFormula>IF(LEN(Tabla1[[#This Row],[rango_fechas]]) &gt; 0, COUNTIF(TEMP!$A:$A,B2), 0)</calculatedColumnFormula>
    </tableColumn>
    <tableColumn id="4" xr3:uid="{15E21E18-4F9B-4EBD-9211-0181CED4454E}" name="rows_out" dataDxfId="0">
      <calculatedColumnFormula>IF(Tabla1[[#This Row],[value]] &gt; 1, 64, 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zoomScaleNormal="100" workbookViewId="0">
      <pane ySplit="1" topLeftCell="A2" activePane="bottomLeft" state="frozen"/>
      <selection activeCell="D1" sqref="D1"/>
      <selection pane="bottomLeft" activeCell="A2" sqref="A2"/>
    </sheetView>
  </sheetViews>
  <sheetFormatPr baseColWidth="10" defaultRowHeight="15" x14ac:dyDescent="0.25"/>
  <cols>
    <col min="1" max="1" width="9.5703125" bestFit="1" customWidth="1"/>
    <col min="2" max="3" width="40.7109375" customWidth="1"/>
    <col min="4" max="4" width="15.140625" bestFit="1" customWidth="1"/>
    <col min="5" max="5" width="33.5703125" customWidth="1"/>
    <col min="6" max="6" width="21.28515625" customWidth="1"/>
    <col min="7" max="10" width="10.7109375" customWidth="1"/>
  </cols>
  <sheetData>
    <row r="1" spans="1:10" ht="24.9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1</v>
      </c>
      <c r="G1" s="2" t="s">
        <v>0</v>
      </c>
      <c r="H1" s="2" t="s">
        <v>9</v>
      </c>
      <c r="I1" s="2" t="s">
        <v>2</v>
      </c>
      <c r="J1" s="2" t="s">
        <v>3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autoFilter ref="A1:J257" xr:uid="{00000000-0009-0000-0000-000000000000}">
    <sortState xmlns:xlrd2="http://schemas.microsoft.com/office/spreadsheetml/2017/richdata2" ref="A3:J65">
      <sortCondition ref="B1:B6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F05A-7C5C-4400-A71C-420F72A8C0A2}">
  <dimension ref="A1:M31"/>
  <sheetViews>
    <sheetView workbookViewId="0">
      <selection activeCell="G2" sqref="G2:K2"/>
    </sheetView>
  </sheetViews>
  <sheetFormatPr baseColWidth="10" defaultRowHeight="15" x14ac:dyDescent="0.25"/>
  <cols>
    <col min="1" max="2" width="13.85546875" customWidth="1"/>
    <col min="3" max="3" width="14.85546875" customWidth="1"/>
    <col min="7" max="10" width="15.140625" customWidth="1"/>
  </cols>
  <sheetData>
    <row r="1" spans="1:13" x14ac:dyDescent="0.25">
      <c r="A1" s="8" t="s">
        <v>13</v>
      </c>
      <c r="B1" s="8" t="s">
        <v>10</v>
      </c>
      <c r="C1" s="8" t="s">
        <v>9</v>
      </c>
      <c r="D1" s="8" t="s">
        <v>11</v>
      </c>
      <c r="E1" s="8" t="s">
        <v>12</v>
      </c>
      <c r="G1" s="7" t="s">
        <v>14</v>
      </c>
      <c r="H1" s="7" t="s">
        <v>10</v>
      </c>
      <c r="I1" s="7" t="s">
        <v>9</v>
      </c>
      <c r="J1" s="7" t="s">
        <v>11</v>
      </c>
      <c r="K1" s="7" t="s">
        <v>12</v>
      </c>
      <c r="M1" s="9" t="s">
        <v>15</v>
      </c>
    </row>
    <row r="2" spans="1:13" x14ac:dyDescent="0.25">
      <c r="A2" s="5">
        <v>1</v>
      </c>
      <c r="B2" s="5">
        <f t="array" ref="B2">IFERROR(INDEX(TEMP!$A$2:$A$10000,MATCH(0,COUNTIF($B$1:B1,TEMP!$A$2:$A$10000),0)),0)</f>
        <v>0</v>
      </c>
      <c r="C2" s="5">
        <f>SUMIF(TEMP!$A:$A,B2,TEMP!$H:$H)</f>
        <v>0</v>
      </c>
      <c r="D2" s="5">
        <f>IF(LEN(Tabla1[[#This Row],[rango_fechas]]) &gt; 0, COUNTIF(TEMP!$A:$A,B2), 0)</f>
        <v>0</v>
      </c>
      <c r="E2" s="5">
        <f>IF(Tabla1[[#This Row],[value]] &gt; 1, 64, 0)</f>
        <v>0</v>
      </c>
      <c r="G2" s="6">
        <f>COUNTIF(B2:B31,"&lt;&gt;0")</f>
        <v>0</v>
      </c>
      <c r="H2" s="4" t="str">
        <f>"[" &amp; LOOKUP(2,1/(M2:M31&lt;&gt;""),M2:M31) &amp; "]"</f>
        <v>[0]</v>
      </c>
      <c r="I2" s="6">
        <f>SUM(Tabla1[value])</f>
        <v>0</v>
      </c>
      <c r="J2" s="6">
        <f>SUM(Tabla1[rows_in])</f>
        <v>0</v>
      </c>
      <c r="K2" s="6">
        <f>G2*64</f>
        <v>0</v>
      </c>
      <c r="L2">
        <f>SUM(Tabla1[rows_out])</f>
        <v>0</v>
      </c>
      <c r="M2">
        <f>IF(B2="","",B2)</f>
        <v>0</v>
      </c>
    </row>
    <row r="3" spans="1:13" x14ac:dyDescent="0.25">
      <c r="A3" s="5">
        <v>2</v>
      </c>
      <c r="B3" s="5">
        <f t="array" ref="B3">IFERROR(INDEX(TEMP!$A$2:$A$10000,MATCH(0,COUNTIF($B$1:B2,TEMP!$A$2:$A$10000),0)),0)</f>
        <v>0</v>
      </c>
      <c r="C3" s="5">
        <f>SUMIF(TEMP!$A:$A,B3,TEMP!$H:$H)</f>
        <v>0</v>
      </c>
      <c r="D3" s="5">
        <f>IF(LEN(Tabla1[[#This Row],[rango_fechas]]) &gt; 0, COUNTIF(TEMP!$A:$A,B3), 0)</f>
        <v>0</v>
      </c>
      <c r="E3" s="5">
        <f>IF(Tabla1[[#This Row],[value]] &gt; 1, 64, 0)</f>
        <v>0</v>
      </c>
      <c r="M3">
        <f t="shared" ref="M3:M31" si="0">IF(B3=0,M2,M2&amp;", "&amp;B3)</f>
        <v>0</v>
      </c>
    </row>
    <row r="4" spans="1:13" x14ac:dyDescent="0.25">
      <c r="A4" s="5">
        <v>3</v>
      </c>
      <c r="B4" s="5">
        <f t="array" ref="B4">IFERROR(INDEX(TEMP!$A$2:$A$10000,MATCH(0,COUNTIF($B$1:B3,TEMP!$A$2:$A$10000),0)),0)</f>
        <v>0</v>
      </c>
      <c r="C4" s="5">
        <f>SUMIF(TEMP!$A:$A,B4,TEMP!$H:$H)</f>
        <v>0</v>
      </c>
      <c r="D4" s="5">
        <f>IF(LEN(Tabla1[[#This Row],[rango_fechas]]) &gt; 0, COUNTIF(TEMP!$A:$A,B4), 0)</f>
        <v>0</v>
      </c>
      <c r="E4" s="5">
        <f>IF(Tabla1[[#This Row],[value]] &gt; 1, 64, 0)</f>
        <v>0</v>
      </c>
      <c r="M4">
        <f t="shared" si="0"/>
        <v>0</v>
      </c>
    </row>
    <row r="5" spans="1:13" x14ac:dyDescent="0.25">
      <c r="A5" s="5">
        <v>4</v>
      </c>
      <c r="B5" s="5">
        <f t="array" ref="B5">IFERROR(INDEX(TEMP!$A$2:$A$10000,MATCH(0,COUNTIF($B$1:B4,TEMP!$A$2:$A$10000),0)),0)</f>
        <v>0</v>
      </c>
      <c r="C5" s="5">
        <f>SUMIF(TEMP!$A:$A,B5,TEMP!$H:$H)</f>
        <v>0</v>
      </c>
      <c r="D5" s="5">
        <f>IF(LEN(Tabla1[[#This Row],[rango_fechas]]) &gt; 0, COUNTIF(TEMP!$A:$A,B5), 0)</f>
        <v>0</v>
      </c>
      <c r="E5" s="5">
        <f>IF(Tabla1[[#This Row],[value]] &gt; 1, 64, 0)</f>
        <v>0</v>
      </c>
      <c r="M5">
        <f t="shared" si="0"/>
        <v>0</v>
      </c>
    </row>
    <row r="6" spans="1:13" x14ac:dyDescent="0.25">
      <c r="A6" s="5">
        <v>5</v>
      </c>
      <c r="B6" s="5">
        <f t="array" ref="B6">IFERROR(INDEX(TEMP!$A$2:$A$10000,MATCH(0,COUNTIF($B$1:B5,TEMP!$A$2:$A$10000),0)),0)</f>
        <v>0</v>
      </c>
      <c r="C6" s="5">
        <f>SUMIF(TEMP!$A:$A,B6,TEMP!$H:$H)</f>
        <v>0</v>
      </c>
      <c r="D6" s="5">
        <f>IF(LEN(Tabla1[[#This Row],[rango_fechas]]) &gt; 0, COUNTIF(TEMP!$A:$A,B6), 0)</f>
        <v>0</v>
      </c>
      <c r="E6" s="5">
        <f>IF(Tabla1[[#This Row],[value]] &gt; 1, 64, 0)</f>
        <v>0</v>
      </c>
      <c r="M6">
        <f t="shared" si="0"/>
        <v>0</v>
      </c>
    </row>
    <row r="7" spans="1:13" x14ac:dyDescent="0.25">
      <c r="A7" s="5">
        <v>6</v>
      </c>
      <c r="B7" s="5">
        <f t="array" ref="B7">IFERROR(INDEX(TEMP!$A$2:$A$10000,MATCH(0,COUNTIF($B$1:B6,TEMP!$A$2:$A$10000),0)),0)</f>
        <v>0</v>
      </c>
      <c r="C7" s="5">
        <f>SUMIF(TEMP!$A:$A,B7,TEMP!$H:$H)</f>
        <v>0</v>
      </c>
      <c r="D7" s="5">
        <f>IF(LEN(Tabla1[[#This Row],[rango_fechas]]) &gt; 0, COUNTIF(TEMP!$A:$A,B7), 0)</f>
        <v>0</v>
      </c>
      <c r="E7" s="5">
        <f>IF(Tabla1[[#This Row],[value]] &gt; 1, 64, 0)</f>
        <v>0</v>
      </c>
      <c r="M7">
        <f t="shared" si="0"/>
        <v>0</v>
      </c>
    </row>
    <row r="8" spans="1:13" x14ac:dyDescent="0.25">
      <c r="A8" s="5">
        <v>7</v>
      </c>
      <c r="B8" s="5">
        <f t="array" ref="B8">IFERROR(INDEX(TEMP!$A$2:$A$10000,MATCH(0,COUNTIF($B$1:B7,TEMP!$A$2:$A$10000),0)),0)</f>
        <v>0</v>
      </c>
      <c r="C8" s="5">
        <f>SUMIF(TEMP!$A:$A,B8,TEMP!$H:$H)</f>
        <v>0</v>
      </c>
      <c r="D8" s="5">
        <f>IF(LEN(Tabla1[[#This Row],[rango_fechas]]) &gt; 0, COUNTIF(TEMP!$A:$A,B8), 0)</f>
        <v>0</v>
      </c>
      <c r="E8" s="5">
        <f>IF(Tabla1[[#This Row],[value]] &gt; 1, 64, 0)</f>
        <v>0</v>
      </c>
      <c r="M8">
        <f t="shared" si="0"/>
        <v>0</v>
      </c>
    </row>
    <row r="9" spans="1:13" x14ac:dyDescent="0.25">
      <c r="A9" s="5">
        <v>8</v>
      </c>
      <c r="B9" s="5">
        <f t="array" ref="B9">IFERROR(INDEX(TEMP!$A$2:$A$10000,MATCH(0,COUNTIF($B$1:B8,TEMP!$A$2:$A$10000),0)),0)</f>
        <v>0</v>
      </c>
      <c r="C9" s="5">
        <f>SUMIF(TEMP!$A:$A,B9,TEMP!$H:$H)</f>
        <v>0</v>
      </c>
      <c r="D9" s="5">
        <f>IF(LEN(Tabla1[[#This Row],[rango_fechas]]) &gt; 0, COUNTIF(TEMP!$A:$A,B9), 0)</f>
        <v>0</v>
      </c>
      <c r="E9" s="5">
        <f>IF(Tabla1[[#This Row],[value]] &gt; 1, 64, 0)</f>
        <v>0</v>
      </c>
      <c r="M9">
        <f t="shared" si="0"/>
        <v>0</v>
      </c>
    </row>
    <row r="10" spans="1:13" x14ac:dyDescent="0.25">
      <c r="A10" s="5">
        <v>9</v>
      </c>
      <c r="B10" s="5">
        <f t="array" ref="B10">IFERROR(INDEX(TEMP!$A$2:$A$10000,MATCH(0,COUNTIF($B$1:B9,TEMP!$A$2:$A$10000),0)),0)</f>
        <v>0</v>
      </c>
      <c r="C10" s="5">
        <f>SUMIF(TEMP!$A:$A,B10,TEMP!$H:$H)</f>
        <v>0</v>
      </c>
      <c r="D10" s="5">
        <f>IF(LEN(Tabla1[[#This Row],[rango_fechas]]) &gt; 0, COUNTIF(TEMP!$A:$A,B10), 0)</f>
        <v>0</v>
      </c>
      <c r="E10" s="5">
        <f>IF(Tabla1[[#This Row],[value]] &gt; 1, 64, 0)</f>
        <v>0</v>
      </c>
      <c r="M10">
        <f t="shared" si="0"/>
        <v>0</v>
      </c>
    </row>
    <row r="11" spans="1:13" x14ac:dyDescent="0.25">
      <c r="A11" s="5">
        <v>10</v>
      </c>
      <c r="B11" s="5">
        <f t="array" ref="B11">IFERROR(INDEX(TEMP!$A$2:$A$10000,MATCH(0,COUNTIF($B$1:B10,TEMP!$A$2:$A$10000),0)),0)</f>
        <v>0</v>
      </c>
      <c r="C11" s="5">
        <f>SUMIF(TEMP!$A:$A,B11,TEMP!$H:$H)</f>
        <v>0</v>
      </c>
      <c r="D11" s="5">
        <f>IF(LEN(Tabla1[[#This Row],[rango_fechas]]) &gt; 0, COUNTIF(TEMP!$A:$A,B11), 0)</f>
        <v>0</v>
      </c>
      <c r="E11" s="5">
        <f>IF(Tabla1[[#This Row],[value]] &gt; 1, 64, 0)</f>
        <v>0</v>
      </c>
      <c r="M11">
        <f t="shared" si="0"/>
        <v>0</v>
      </c>
    </row>
    <row r="12" spans="1:13" x14ac:dyDescent="0.25">
      <c r="A12" s="5">
        <v>11</v>
      </c>
      <c r="B12" s="5">
        <f t="array" ref="B12">IFERROR(INDEX(TEMP!$A$2:$A$10000,MATCH(0,COUNTIF($B$1:B11,TEMP!$A$2:$A$10000),0)),0)</f>
        <v>0</v>
      </c>
      <c r="C12" s="5">
        <f>SUMIF(TEMP!$A:$A,B12,TEMP!$H:$H)</f>
        <v>0</v>
      </c>
      <c r="D12" s="5">
        <f>IF(LEN(Tabla1[[#This Row],[rango_fechas]]) &gt; 0, COUNTIF(TEMP!$A:$A,B12), 0)</f>
        <v>0</v>
      </c>
      <c r="E12" s="5">
        <f>IF(Tabla1[[#This Row],[value]] &gt; 1, 64, 0)</f>
        <v>0</v>
      </c>
      <c r="M12">
        <f t="shared" si="0"/>
        <v>0</v>
      </c>
    </row>
    <row r="13" spans="1:13" x14ac:dyDescent="0.25">
      <c r="A13" s="5">
        <v>12</v>
      </c>
      <c r="B13" s="5">
        <f t="array" ref="B13">IFERROR(INDEX(TEMP!$A$2:$A$10000,MATCH(0,COUNTIF($B$1:B12,TEMP!$A$2:$A$10000),0)),0)</f>
        <v>0</v>
      </c>
      <c r="C13" s="5">
        <f>SUMIF(TEMP!$A:$A,B13,TEMP!$H:$H)</f>
        <v>0</v>
      </c>
      <c r="D13" s="5">
        <f>IF(LEN(Tabla1[[#This Row],[rango_fechas]]) &gt; 0, COUNTIF(TEMP!$A:$A,B13), 0)</f>
        <v>0</v>
      </c>
      <c r="E13" s="5">
        <f>IF(Tabla1[[#This Row],[value]] &gt; 1, 64, 0)</f>
        <v>0</v>
      </c>
      <c r="M13">
        <f t="shared" si="0"/>
        <v>0</v>
      </c>
    </row>
    <row r="14" spans="1:13" x14ac:dyDescent="0.25">
      <c r="A14" s="5">
        <v>13</v>
      </c>
      <c r="B14" s="5">
        <f t="array" ref="B14">IFERROR(INDEX(TEMP!$A$2:$A$10000,MATCH(0,COUNTIF($B$1:B13,TEMP!$A$2:$A$10000),0)),0)</f>
        <v>0</v>
      </c>
      <c r="C14" s="5">
        <f>SUMIF(TEMP!$A:$A,B14,TEMP!$H:$H)</f>
        <v>0</v>
      </c>
      <c r="D14" s="5">
        <f>IF(LEN(Tabla1[[#This Row],[rango_fechas]]) &gt; 0, COUNTIF(TEMP!$A:$A,B14), 0)</f>
        <v>0</v>
      </c>
      <c r="E14" s="5">
        <f>IF(Tabla1[[#This Row],[value]] &gt; 1, 64, 0)</f>
        <v>0</v>
      </c>
      <c r="M14">
        <f t="shared" si="0"/>
        <v>0</v>
      </c>
    </row>
    <row r="15" spans="1:13" x14ac:dyDescent="0.25">
      <c r="A15" s="5">
        <v>14</v>
      </c>
      <c r="B15" s="5">
        <f t="array" ref="B15">IFERROR(INDEX(TEMP!$A$2:$A$10000,MATCH(0,COUNTIF($B$1:B14,TEMP!$A$2:$A$10000),0)),0)</f>
        <v>0</v>
      </c>
      <c r="C15" s="5">
        <f>SUMIF(TEMP!$A:$A,B15,TEMP!$H:$H)</f>
        <v>0</v>
      </c>
      <c r="D15" s="5">
        <f>IF(LEN(Tabla1[[#This Row],[rango_fechas]]) &gt; 0, COUNTIF(TEMP!$A:$A,B15), 0)</f>
        <v>0</v>
      </c>
      <c r="E15" s="5">
        <f>IF(Tabla1[[#This Row],[value]] &gt; 1, 64, 0)</f>
        <v>0</v>
      </c>
      <c r="M15">
        <f t="shared" si="0"/>
        <v>0</v>
      </c>
    </row>
    <row r="16" spans="1:13" x14ac:dyDescent="0.25">
      <c r="A16" s="5">
        <v>15</v>
      </c>
      <c r="B16" s="5">
        <f t="array" ref="B16">IFERROR(INDEX(TEMP!$A$2:$A$10000,MATCH(0,COUNTIF($B$1:B15,TEMP!$A$2:$A$10000),0)),0)</f>
        <v>0</v>
      </c>
      <c r="C16" s="5">
        <f>SUMIF(TEMP!$A:$A,B16,TEMP!$H:$H)</f>
        <v>0</v>
      </c>
      <c r="D16" s="5">
        <f>IF(LEN(Tabla1[[#This Row],[rango_fechas]]) &gt; 0, COUNTIF(TEMP!$A:$A,B16), 0)</f>
        <v>0</v>
      </c>
      <c r="E16" s="5">
        <f>IF(Tabla1[[#This Row],[value]] &gt; 1, 64, 0)</f>
        <v>0</v>
      </c>
      <c r="M16">
        <f t="shared" si="0"/>
        <v>0</v>
      </c>
    </row>
    <row r="17" spans="1:13" x14ac:dyDescent="0.25">
      <c r="A17" s="5">
        <v>16</v>
      </c>
      <c r="B17" s="5">
        <f t="array" ref="B17">IFERROR(INDEX(TEMP!$A$2:$A$10000,MATCH(0,COUNTIF($B$1:B16,TEMP!$A$2:$A$10000),0)),0)</f>
        <v>0</v>
      </c>
      <c r="C17" s="5">
        <f>SUMIF(TEMP!$A:$A,B17,TEMP!$H:$H)</f>
        <v>0</v>
      </c>
      <c r="D17" s="5">
        <f>IF(LEN(Tabla1[[#This Row],[rango_fechas]]) &gt; 0, COUNTIF(TEMP!$A:$A,B17), 0)</f>
        <v>0</v>
      </c>
      <c r="E17" s="5">
        <f>IF(Tabla1[[#This Row],[value]] &gt; 1, 64, 0)</f>
        <v>0</v>
      </c>
      <c r="M17">
        <f t="shared" si="0"/>
        <v>0</v>
      </c>
    </row>
    <row r="18" spans="1:13" x14ac:dyDescent="0.25">
      <c r="A18" s="5">
        <v>17</v>
      </c>
      <c r="B18" s="5">
        <f t="array" ref="B18">IFERROR(INDEX(TEMP!$A$2:$A$10000,MATCH(0,COUNTIF($B$1:B17,TEMP!$A$2:$A$10000),0)),0)</f>
        <v>0</v>
      </c>
      <c r="C18" s="5">
        <f>SUMIF(TEMP!$A:$A,B18,TEMP!$H:$H)</f>
        <v>0</v>
      </c>
      <c r="D18" s="5">
        <f>IF(LEN(Tabla1[[#This Row],[rango_fechas]]) &gt; 0, COUNTIF(TEMP!$A:$A,B18), 0)</f>
        <v>0</v>
      </c>
      <c r="E18" s="5">
        <f>IF(Tabla1[[#This Row],[value]] &gt; 1, 64, 0)</f>
        <v>0</v>
      </c>
      <c r="M18">
        <f t="shared" si="0"/>
        <v>0</v>
      </c>
    </row>
    <row r="19" spans="1:13" x14ac:dyDescent="0.25">
      <c r="A19" s="5">
        <v>18</v>
      </c>
      <c r="B19" s="5">
        <f t="array" ref="B19">IFERROR(INDEX(TEMP!$A$2:$A$10000,MATCH(0,COUNTIF($B$1:B18,TEMP!$A$2:$A$10000),0)),0)</f>
        <v>0</v>
      </c>
      <c r="C19" s="5">
        <f>SUMIF(TEMP!$A:$A,B19,TEMP!$H:$H)</f>
        <v>0</v>
      </c>
      <c r="D19" s="5">
        <f>IF(LEN(Tabla1[[#This Row],[rango_fechas]]) &gt; 0, COUNTIF(TEMP!$A:$A,B19), 0)</f>
        <v>0</v>
      </c>
      <c r="E19" s="5">
        <f>IF(Tabla1[[#This Row],[value]] &gt; 1, 64, 0)</f>
        <v>0</v>
      </c>
      <c r="M19">
        <f t="shared" si="0"/>
        <v>0</v>
      </c>
    </row>
    <row r="20" spans="1:13" x14ac:dyDescent="0.25">
      <c r="A20" s="5">
        <v>19</v>
      </c>
      <c r="B20" s="5">
        <f t="array" ref="B20">IFERROR(INDEX(TEMP!$A$2:$A$10000,MATCH(0,COUNTIF($B$1:B19,TEMP!$A$2:$A$10000),0)),0)</f>
        <v>0</v>
      </c>
      <c r="C20" s="5">
        <f>SUMIF(TEMP!$A:$A,B20,TEMP!$H:$H)</f>
        <v>0</v>
      </c>
      <c r="D20" s="5">
        <f>IF(LEN(Tabla1[[#This Row],[rango_fechas]]) &gt; 0, COUNTIF(TEMP!$A:$A,B20), 0)</f>
        <v>0</v>
      </c>
      <c r="E20" s="5">
        <f>IF(Tabla1[[#This Row],[value]] &gt; 1, 64, 0)</f>
        <v>0</v>
      </c>
      <c r="M20">
        <f t="shared" si="0"/>
        <v>0</v>
      </c>
    </row>
    <row r="21" spans="1:13" x14ac:dyDescent="0.25">
      <c r="A21" s="5">
        <v>20</v>
      </c>
      <c r="B21" s="5">
        <f t="array" ref="B21">IFERROR(INDEX(TEMP!$A$2:$A$10000,MATCH(0,COUNTIF($B$1:B20,TEMP!$A$2:$A$10000),0)),0)</f>
        <v>0</v>
      </c>
      <c r="C21" s="5">
        <f>SUMIF(TEMP!$A:$A,B21,TEMP!$H:$H)</f>
        <v>0</v>
      </c>
      <c r="D21" s="5">
        <f>IF(LEN(Tabla1[[#This Row],[rango_fechas]]) &gt; 0, COUNTIF(TEMP!$A:$A,B21), 0)</f>
        <v>0</v>
      </c>
      <c r="E21" s="5">
        <f>IF(Tabla1[[#This Row],[value]] &gt; 1, 64, 0)</f>
        <v>0</v>
      </c>
      <c r="M21">
        <f t="shared" si="0"/>
        <v>0</v>
      </c>
    </row>
    <row r="22" spans="1:13" x14ac:dyDescent="0.25">
      <c r="A22" s="5">
        <v>21</v>
      </c>
      <c r="B22" s="5">
        <f t="array" ref="B22">IFERROR(INDEX(TEMP!$A$2:$A$10000,MATCH(0,COUNTIF($B$1:B21,TEMP!$A$2:$A$10000),0)),0)</f>
        <v>0</v>
      </c>
      <c r="C22" s="5">
        <f>SUMIF(TEMP!$A:$A,B22,TEMP!$H:$H)</f>
        <v>0</v>
      </c>
      <c r="D22" s="5">
        <f>IF(LEN(Tabla1[[#This Row],[rango_fechas]]) &gt; 0, COUNTIF(TEMP!$A:$A,B22), 0)</f>
        <v>0</v>
      </c>
      <c r="E22" s="5">
        <f>IF(Tabla1[[#This Row],[value]] &gt; 1, 64, 0)</f>
        <v>0</v>
      </c>
      <c r="M22">
        <f t="shared" si="0"/>
        <v>0</v>
      </c>
    </row>
    <row r="23" spans="1:13" x14ac:dyDescent="0.25">
      <c r="A23" s="5">
        <v>22</v>
      </c>
      <c r="B23" s="5">
        <f t="array" ref="B23">IFERROR(INDEX(TEMP!$A$2:$A$10000,MATCH(0,COUNTIF($B$1:B22,TEMP!$A$2:$A$10000),0)),0)</f>
        <v>0</v>
      </c>
      <c r="C23" s="5">
        <f>SUMIF(TEMP!$A:$A,B23,TEMP!$H:$H)</f>
        <v>0</v>
      </c>
      <c r="D23" s="5">
        <f>IF(LEN(Tabla1[[#This Row],[rango_fechas]]) &gt; 0, COUNTIF(TEMP!$A:$A,B23), 0)</f>
        <v>0</v>
      </c>
      <c r="E23" s="5">
        <f>IF(Tabla1[[#This Row],[value]] &gt; 1, 64, 0)</f>
        <v>0</v>
      </c>
      <c r="M23">
        <f t="shared" si="0"/>
        <v>0</v>
      </c>
    </row>
    <row r="24" spans="1:13" x14ac:dyDescent="0.25">
      <c r="A24" s="5">
        <v>23</v>
      </c>
      <c r="B24" s="5">
        <f t="array" ref="B24">IFERROR(INDEX(TEMP!$A$2:$A$10000,MATCH(0,COUNTIF($B$1:B23,TEMP!$A$2:$A$10000),0)),0)</f>
        <v>0</v>
      </c>
      <c r="C24" s="5">
        <f>SUMIF(TEMP!$A:$A,B24,TEMP!$H:$H)</f>
        <v>0</v>
      </c>
      <c r="D24" s="5">
        <f>IF(LEN(Tabla1[[#This Row],[rango_fechas]]) &gt; 0, COUNTIF(TEMP!$A:$A,B24), 0)</f>
        <v>0</v>
      </c>
      <c r="E24" s="5">
        <f>IF(Tabla1[[#This Row],[value]] &gt; 1, 64, 0)</f>
        <v>0</v>
      </c>
      <c r="M24">
        <f t="shared" si="0"/>
        <v>0</v>
      </c>
    </row>
    <row r="25" spans="1:13" x14ac:dyDescent="0.25">
      <c r="A25" s="5">
        <v>24</v>
      </c>
      <c r="B25" s="5">
        <f t="array" ref="B25">IFERROR(INDEX(TEMP!$A$2:$A$10000,MATCH(0,COUNTIF($B$1:B24,TEMP!$A$2:$A$10000),0)),0)</f>
        <v>0</v>
      </c>
      <c r="C25" s="5">
        <f>SUMIF(TEMP!$A:$A,B25,TEMP!$H:$H)</f>
        <v>0</v>
      </c>
      <c r="D25" s="5">
        <f>IF(LEN(Tabla1[[#This Row],[rango_fechas]]) &gt; 0, COUNTIF(TEMP!$A:$A,B25), 0)</f>
        <v>0</v>
      </c>
      <c r="E25" s="5">
        <f>IF(Tabla1[[#This Row],[value]] &gt; 1, 64, 0)</f>
        <v>0</v>
      </c>
      <c r="M25">
        <f t="shared" si="0"/>
        <v>0</v>
      </c>
    </row>
    <row r="26" spans="1:13" x14ac:dyDescent="0.25">
      <c r="A26" s="5">
        <v>25</v>
      </c>
      <c r="B26" s="5">
        <f t="array" ref="B26">IFERROR(INDEX(TEMP!$A$2:$A$10000,MATCH(0,COUNTIF($B$1:B25,TEMP!$A$2:$A$10000),0)),0)</f>
        <v>0</v>
      </c>
      <c r="C26" s="5">
        <f>SUMIF(TEMP!$A:$A,B26,TEMP!$H:$H)</f>
        <v>0</v>
      </c>
      <c r="D26" s="5">
        <f>IF(LEN(Tabla1[[#This Row],[rango_fechas]]) &gt; 0, COUNTIF(TEMP!$A:$A,B26), 0)</f>
        <v>0</v>
      </c>
      <c r="E26" s="5">
        <f>IF(Tabla1[[#This Row],[value]] &gt; 1, 64, 0)</f>
        <v>0</v>
      </c>
      <c r="M26">
        <f t="shared" si="0"/>
        <v>0</v>
      </c>
    </row>
    <row r="27" spans="1:13" x14ac:dyDescent="0.25">
      <c r="A27" s="5">
        <v>26</v>
      </c>
      <c r="B27" s="5">
        <f t="array" ref="B27">IFERROR(INDEX(TEMP!$A$2:$A$10000,MATCH(0,COUNTIF($B$1:B26,TEMP!$A$2:$A$10000),0)),0)</f>
        <v>0</v>
      </c>
      <c r="C27" s="5">
        <f>SUMIF(TEMP!$A:$A,B27,TEMP!$H:$H)</f>
        <v>0</v>
      </c>
      <c r="D27" s="5">
        <f>IF(LEN(Tabla1[[#This Row],[rango_fechas]]) &gt; 0, COUNTIF(TEMP!$A:$A,B27), 0)</f>
        <v>0</v>
      </c>
      <c r="E27" s="5">
        <f>IF(Tabla1[[#This Row],[value]] &gt; 1, 64, 0)</f>
        <v>0</v>
      </c>
      <c r="M27">
        <f t="shared" si="0"/>
        <v>0</v>
      </c>
    </row>
    <row r="28" spans="1:13" x14ac:dyDescent="0.25">
      <c r="A28" s="5">
        <v>27</v>
      </c>
      <c r="B28" s="5">
        <f t="array" ref="B28">IFERROR(INDEX(TEMP!$A$2:$A$10000,MATCH(0,COUNTIF($B$1:B27,TEMP!$A$2:$A$10000),0)),0)</f>
        <v>0</v>
      </c>
      <c r="C28" s="5">
        <f>SUMIF(TEMP!$A:$A,B28,TEMP!$H:$H)</f>
        <v>0</v>
      </c>
      <c r="D28" s="5">
        <f>IF(LEN(Tabla1[[#This Row],[rango_fechas]]) &gt; 0, COUNTIF(TEMP!$A:$A,B28), 0)</f>
        <v>0</v>
      </c>
      <c r="E28" s="5">
        <f>IF(Tabla1[[#This Row],[value]] &gt; 1, 64, 0)</f>
        <v>0</v>
      </c>
      <c r="M28">
        <f t="shared" si="0"/>
        <v>0</v>
      </c>
    </row>
    <row r="29" spans="1:13" x14ac:dyDescent="0.25">
      <c r="A29" s="5">
        <v>28</v>
      </c>
      <c r="B29" s="5">
        <f t="array" ref="B29">IFERROR(INDEX(TEMP!$A$2:$A$10000,MATCH(0,COUNTIF($B$1:B28,TEMP!$A$2:$A$10000),0)),0)</f>
        <v>0</v>
      </c>
      <c r="C29" s="5">
        <f>SUMIF(TEMP!$A:$A,B29,TEMP!$H:$H)</f>
        <v>0</v>
      </c>
      <c r="D29" s="5">
        <f>IF(LEN(Tabla1[[#This Row],[rango_fechas]]) &gt; 0, COUNTIF(TEMP!$A:$A,B29), 0)</f>
        <v>0</v>
      </c>
      <c r="E29" s="5">
        <f>IF(Tabla1[[#This Row],[value]] &gt; 1, 64, 0)</f>
        <v>0</v>
      </c>
      <c r="M29">
        <f t="shared" si="0"/>
        <v>0</v>
      </c>
    </row>
    <row r="30" spans="1:13" x14ac:dyDescent="0.25">
      <c r="A30" s="5">
        <v>29</v>
      </c>
      <c r="B30" s="5">
        <f t="array" ref="B30">IFERROR(INDEX(TEMP!$A$2:$A$10000,MATCH(0,COUNTIF($B$1:B29,TEMP!$A$2:$A$10000),0)),0)</f>
        <v>0</v>
      </c>
      <c r="C30" s="5">
        <f>SUMIF(TEMP!$A:$A,B30,TEMP!$H:$H)</f>
        <v>0</v>
      </c>
      <c r="D30" s="5">
        <f>IF(LEN(Tabla1[[#This Row],[rango_fechas]]) &gt; 0, COUNTIF(TEMP!$A:$A,B30), 0)</f>
        <v>0</v>
      </c>
      <c r="E30" s="5">
        <f>IF(Tabla1[[#This Row],[value]] &gt; 1, 64, 0)</f>
        <v>0</v>
      </c>
      <c r="M30">
        <f t="shared" si="0"/>
        <v>0</v>
      </c>
    </row>
    <row r="31" spans="1:13" x14ac:dyDescent="0.25">
      <c r="A31" s="5">
        <v>30</v>
      </c>
      <c r="B31" s="5">
        <f t="array" ref="B31">IFERROR(INDEX(TEMP!$A$2:$A$10000,MATCH(0,COUNTIF($B$1:B30,TEMP!$A$2:$A$10000),0)),0)</f>
        <v>0</v>
      </c>
      <c r="C31" s="5">
        <f>SUMIF(TEMP!$A:$A,B31,TEMP!$H:$H)</f>
        <v>0</v>
      </c>
      <c r="D31" s="5">
        <f>IF(LEN(Tabla1[[#This Row],[rango_fechas]]) &gt; 0, COUNTIF(TEMP!$A:$A,B31), 0)</f>
        <v>0</v>
      </c>
      <c r="E31" s="5">
        <f>IF(Tabla1[[#This Row],[value]] &gt; 1, 64, 0)</f>
        <v>0</v>
      </c>
      <c r="M31">
        <f t="shared" si="0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TEMP</vt:lpstr>
      <vt:lpstr>REPORT</vt:lpstr>
      <vt:lpstr>TEMP!cnsipee_ejer_func_Tableau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 11</dc:creator>
  <cp:lastModifiedBy>Miguel Trinidad Gómez Hernandez</cp:lastModifiedBy>
  <dcterms:created xsi:type="dcterms:W3CDTF">2025-11-27T00:13:58Z</dcterms:created>
  <dcterms:modified xsi:type="dcterms:W3CDTF">2026-03-12T03:14:06Z</dcterms:modified>
</cp:coreProperties>
</file>
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REDIM_1\data\"/>
    </mc:Choice>
  </mc:AlternateContent>
  <xr:revisionPtr revIDLastSave="0" documentId="13_ncr:1_{D2307562-68BC-4D33-8757-56DAFAF9A7D1}" xr6:coauthVersionLast="47" xr6:coauthVersionMax="47" xr10:uidLastSave="{00000000-0000-0000-0000-000000000000}"/>
  <bookViews>
    <workbookView xWindow="11424" yWindow="0" windowWidth="11712" windowHeight="12336" activeTab="1" xr2:uid="{F370DC89-3D6A-45A3-B06C-224CF83F682F}"/>
  </bookViews>
  <sheets>
    <sheet name="estados" sheetId="2" r:id="rId1"/>
    <sheet name="temp" sheetId="1" r:id="rId2"/>
  </sheets>
  <definedNames>
    <definedName name="_xlnm._FilterDatabase" localSheetId="1" hidden="1">temp!$A$1:$F$1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F10" i="1"/>
  <c r="F11" i="1"/>
  <c r="F12" i="1"/>
  <c r="F13" i="1"/>
  <c r="F22" i="1"/>
  <c r="F23" i="1"/>
  <c r="F24" i="1"/>
  <c r="F25" i="1"/>
  <c r="B3" i="1"/>
  <c r="F3" i="1" s="1"/>
  <c r="B4" i="1"/>
  <c r="F4" i="1" s="1"/>
  <c r="B5" i="1"/>
  <c r="F5" i="1" s="1"/>
  <c r="B6" i="1"/>
  <c r="F6" i="1" s="1"/>
  <c r="B7" i="1"/>
  <c r="F7" i="1" s="1"/>
  <c r="B8" i="1"/>
  <c r="F8" i="1" s="1"/>
  <c r="B9" i="1"/>
  <c r="F9" i="1" s="1"/>
  <c r="B10" i="1"/>
  <c r="B11" i="1"/>
  <c r="B12" i="1"/>
  <c r="B13" i="1"/>
  <c r="B14" i="1"/>
  <c r="F14" i="1" s="1"/>
  <c r="B15" i="1"/>
  <c r="F15" i="1" s="1"/>
  <c r="B16" i="1"/>
  <c r="F16" i="1" s="1"/>
  <c r="B17" i="1"/>
  <c r="F17" i="1" s="1"/>
  <c r="B18" i="1"/>
  <c r="F18" i="1" s="1"/>
  <c r="B19" i="1"/>
  <c r="F19" i="1" s="1"/>
  <c r="B20" i="1"/>
  <c r="F20" i="1" s="1"/>
  <c r="B21" i="1"/>
  <c r="F21" i="1" s="1"/>
  <c r="B22" i="1"/>
  <c r="B23" i="1"/>
  <c r="B24" i="1"/>
  <c r="B25" i="1"/>
  <c r="B26" i="1"/>
  <c r="F26" i="1" s="1"/>
  <c r="B27" i="1"/>
  <c r="F27" i="1" s="1"/>
  <c r="B28" i="1"/>
  <c r="F28" i="1" s="1"/>
  <c r="B29" i="1"/>
  <c r="F29" i="1" s="1"/>
  <c r="B30" i="1"/>
  <c r="F30" i="1" s="1"/>
  <c r="B31" i="1"/>
  <c r="F31" i="1" s="1"/>
  <c r="B32" i="1"/>
  <c r="F32" i="1" s="1"/>
  <c r="B33" i="1"/>
  <c r="F33" i="1" s="1"/>
  <c r="B2" i="1"/>
  <c r="F2" i="1" s="1"/>
</calcChain>
</file>

<file path=xl/sharedStrings.xml><?xml version="1.0" encoding="utf-8"?>
<sst xmlns="http://schemas.openxmlformats.org/spreadsheetml/2006/main" count="142" uniqueCount="109">
  <si>
    <t>Entidad</t>
  </si>
  <si>
    <t>Hombre</t>
  </si>
  <si>
    <t>Mujer</t>
  </si>
  <si>
    <t>Total general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</si>
  <si>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</si>
  <si>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</si>
  <si>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</si>
  <si>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</si>
  <si>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</si>
  <si>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</si>
  <si>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</si>
  <si>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Colima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</si>
  <si>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</si>
  <si>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</si>
  <si>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</si>
  <si>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</si>
  <si>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</si>
  <si>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</si>
  <si>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</si>
  <si>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</si>
  <si>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</si>
  <si>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</si>
  <si>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</si>
  <si>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</si>
  <si>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</si>
  <si>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</si>
  <si>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</si>
  <si>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</si>
  <si>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</si>
  <si>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</si>
  <si>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</si>
  <si>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</si>
  <si>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</si>
  <si>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id</t>
  </si>
  <si>
    <t>country_id</t>
  </si>
  <si>
    <t>name</t>
  </si>
  <si>
    <t>ID_2</t>
  </si>
  <si>
    <t>demonym</t>
  </si>
  <si>
    <t>iso_code</t>
  </si>
  <si>
    <t>state_id</t>
  </si>
  <si>
    <t>status</t>
  </si>
  <si>
    <t>Aguascalentenses</t>
  </si>
  <si>
    <t>AGU</t>
  </si>
  <si>
    <t>Bajacalifornianos</t>
  </si>
  <si>
    <t>BCN</t>
  </si>
  <si>
    <t>BCS</t>
  </si>
  <si>
    <t>Campechanos</t>
  </si>
  <si>
    <t>CAM</t>
  </si>
  <si>
    <t>Chiapasenses</t>
  </si>
  <si>
    <t>CHP</t>
  </si>
  <si>
    <t>Chihuahuenses</t>
  </si>
  <si>
    <t>CHH</t>
  </si>
  <si>
    <t>Capitalinos</t>
  </si>
  <si>
    <t>CMX</t>
  </si>
  <si>
    <t>Coahuila de Zaragoza</t>
  </si>
  <si>
    <t>Coahuilenses</t>
  </si>
  <si>
    <t>COA</t>
  </si>
  <si>
    <t>Colimenses</t>
  </si>
  <si>
    <t>COL</t>
  </si>
  <si>
    <t>Duranguenses</t>
  </si>
  <si>
    <t>DUR</t>
  </si>
  <si>
    <t>Guanajuatenses</t>
  </si>
  <si>
    <t>GUA</t>
  </si>
  <si>
    <t>Guerrerenses</t>
  </si>
  <si>
    <t>GRO</t>
  </si>
  <si>
    <t>Hidalguenses</t>
  </si>
  <si>
    <t>HID</t>
  </si>
  <si>
    <t>Jaliscienses</t>
  </si>
  <si>
    <t>JAL</t>
  </si>
  <si>
    <t>Mexiquenses</t>
  </si>
  <si>
    <t>MEX</t>
  </si>
  <si>
    <t>Michoacán de Ocampo</t>
  </si>
  <si>
    <t>Michoacanos</t>
  </si>
  <si>
    <t>MIC</t>
  </si>
  <si>
    <t>Morelenses</t>
  </si>
  <si>
    <t>MOR</t>
  </si>
  <si>
    <t>Nayaritas</t>
  </si>
  <si>
    <t>NAY</t>
  </si>
  <si>
    <t>Neoleoneses</t>
  </si>
  <si>
    <t>NLE</t>
  </si>
  <si>
    <t>Oaxaqueños</t>
  </si>
  <si>
    <t>OAX</t>
  </si>
  <si>
    <t>Poblanos</t>
  </si>
  <si>
    <t>PUE</t>
  </si>
  <si>
    <t>Queretanos</t>
  </si>
  <si>
    <t>QUE</t>
  </si>
  <si>
    <t>Quintanarroenses</t>
  </si>
  <si>
    <t>ROO</t>
  </si>
  <si>
    <t>Potosinos</t>
  </si>
  <si>
    <t>SLP</t>
  </si>
  <si>
    <t>Sinaloenses</t>
  </si>
  <si>
    <t>SIN</t>
  </si>
  <si>
    <t>Sonorenses</t>
  </si>
  <si>
    <t>SON</t>
  </si>
  <si>
    <t>Tabasqueños</t>
  </si>
  <si>
    <t>TAB</t>
  </si>
  <si>
    <t>Tamaulipecos</t>
  </si>
  <si>
    <t>TAM</t>
  </si>
  <si>
    <t>Tlaxcaltecas</t>
  </si>
  <si>
    <t>TLA</t>
  </si>
  <si>
    <t>Veracruz de Ignacio de la Llave</t>
  </si>
  <si>
    <t>Veracruzanos</t>
  </si>
  <si>
    <t>VER</t>
  </si>
  <si>
    <t>Yucatecos</t>
  </si>
  <si>
    <t>YUC</t>
  </si>
  <si>
    <t>Zacatecanos</t>
  </si>
  <si>
    <t>ZAC</t>
  </si>
  <si>
    <t>ID MUNICIPIO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</si>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</sst>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horizontal="left" vertical="top"/>
    </xf>
    <xf numFmtId="0" fontId="4" fillId="0" borderId="0" xfId="0" quotePrefix="1" applyFont="1" applyAlignment="1">
      <alignment horizontal="center" vertical="top"/>
    </xf>
    <xf numFmtId="0" fontId="3" fillId="0" borderId="0" xfId="0" quotePrefix="1" applyFont="1" applyAlignment="1">
      <alignment horizontal="left" vertical="center" wrapText="1"/>
    </xf>
    <xf numFmtId="0" fontId="3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EF74E-D215-4360-A454-6F8B40E80E6D}" name="Tabla3" displayName="Tabla3" ref="A1:H33" totalsRowShown="0">
  <autoFilter ref="A1:H33" xr:uid="{7EE7F482-CFD2-40C8-9412-D30A6BF92C52}"/>
  <tableColumns count="8">
    <tableColumn id="1" xr3:uid="{FE7B5F6A-6B70-4575-AF57-AF01C9DC0753}" name="id"/>
    <tableColumn id="2" xr3:uid="{24036AC2-175D-4957-8640-B1568D9DF469}" name="country_id"/>
    <tableColumn id="3" xr3:uid="{AEEDFE4A-7786-4263-9321-EFCA3529CAB9}" name="name"/>
    <tableColumn id="8" xr3:uid="{9F97454F-A9F3-4480-A9C6-199633940E97}" name="ID_2"/>
    <tableColumn id="4" xr3:uid="{41D0B99A-D5E1-4198-ABCB-8D2232771256}" name="demonym"/>
    <tableColumn id="5" xr3:uid="{9952F4BA-48EC-4A86-8029-8106F69EC5D4}" name="iso_code"/>
    <tableColumn id="7" xr3:uid="{ABB4E94E-DF24-44DC-B5F9-F75AFBB6AFE6}" name="state_id"/>
    <tableColumn id="6" xr3:uid="{13C496DC-769A-4ACB-9576-982C9A48216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654B-AC34-40A8-A84A-31A3654DC54B}">
  <sheetPr>
    <tabColor theme="4" tint="0.39997558519241921"/>
  </sheetPr>
  <dimension ref="A1:H33"/>
  <sheetViews>
    <sheetView zoomScaleNormal="100" workbookViewId="0">
      <selection activeCell="C31" sqref="C31"/>
    </sheetView>
  </sheetViews>
  <sheetFormatPr baseColWidth="10" defaultRowHeight="14.4" x14ac:dyDescent="0.3"/>
  <cols>
    <col min="3" max="3" width="26.77734375" customWidth="1"/>
    <col min="4" max="4" width="8" customWidth="1"/>
    <col min="5" max="5" width="24.88671875" customWidth="1"/>
  </cols>
  <sheetData>
    <row r="1" spans="1:8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3">
      <c r="A2">
        <v>1</v>
      </c>
      <c r="B2">
        <v>1</v>
      </c>
      <c r="C2" t="s">
        <v>4</v>
      </c>
      <c r="D2">
        <v>1</v>
      </c>
      <c r="E2" t="s">
        <v>41</v>
      </c>
      <c r="F2" t="s">
        <v>42</v>
      </c>
      <c r="G2">
        <v>1</v>
      </c>
      <c r="H2">
        <v>1</v>
      </c>
    </row>
    <row r="3" spans="1:8" x14ac:dyDescent="0.3">
      <c r="A3">
        <v>2</v>
      </c>
      <c r="B3">
        <v>1</v>
      </c>
      <c r="C3" t="s">
        <v>5</v>
      </c>
      <c r="D3">
        <v>2</v>
      </c>
      <c r="E3" t="s">
        <v>43</v>
      </c>
      <c r="F3" t="s">
        <v>44</v>
      </c>
      <c r="G3">
        <v>2</v>
      </c>
      <c r="H3">
        <v>1</v>
      </c>
    </row>
    <row r="4" spans="1:8" x14ac:dyDescent="0.3">
      <c r="A4">
        <v>3</v>
      </c>
      <c r="B4">
        <v>1</v>
      </c>
      <c r="C4" t="s">
        <v>6</v>
      </c>
      <c r="D4">
        <v>3</v>
      </c>
      <c r="E4" t="s">
        <v>43</v>
      </c>
      <c r="F4" t="s">
        <v>45</v>
      </c>
      <c r="G4">
        <v>3</v>
      </c>
      <c r="H4">
        <v>1</v>
      </c>
    </row>
    <row r="5" spans="1:8" x14ac:dyDescent="0.3">
      <c r="A5">
        <v>4</v>
      </c>
      <c r="B5">
        <v>1</v>
      </c>
      <c r="C5" t="s">
        <v>7</v>
      </c>
      <c r="D5">
        <v>4</v>
      </c>
      <c r="E5" t="s">
        <v>46</v>
      </c>
      <c r="F5" t="s">
        <v>47</v>
      </c>
      <c r="G5">
        <v>4</v>
      </c>
      <c r="H5">
        <v>1</v>
      </c>
    </row>
    <row r="6" spans="1:8" x14ac:dyDescent="0.3">
      <c r="A6">
        <v>5</v>
      </c>
      <c r="B6">
        <v>1</v>
      </c>
      <c r="C6" t="s">
        <v>8</v>
      </c>
      <c r="D6">
        <v>5</v>
      </c>
      <c r="E6" t="s">
        <v>48</v>
      </c>
      <c r="F6" t="s">
        <v>49</v>
      </c>
      <c r="G6">
        <v>5</v>
      </c>
      <c r="H6">
        <v>1</v>
      </c>
    </row>
    <row r="7" spans="1:8" x14ac:dyDescent="0.3">
      <c r="A7">
        <v>6</v>
      </c>
      <c r="B7">
        <v>1</v>
      </c>
      <c r="C7" t="s">
        <v>9</v>
      </c>
      <c r="D7">
        <v>6</v>
      </c>
      <c r="E7" t="s">
        <v>50</v>
      </c>
      <c r="F7" t="s">
        <v>51</v>
      </c>
      <c r="G7">
        <v>6</v>
      </c>
      <c r="H7">
        <v>1</v>
      </c>
    </row>
    <row r="8" spans="1:8" x14ac:dyDescent="0.3">
      <c r="A8">
        <v>7</v>
      </c>
      <c r="B8">
        <v>1</v>
      </c>
      <c r="C8" t="s">
        <v>10</v>
      </c>
      <c r="D8">
        <v>7</v>
      </c>
      <c r="E8" t="s">
        <v>52</v>
      </c>
      <c r="F8" t="s">
        <v>53</v>
      </c>
      <c r="G8">
        <v>7</v>
      </c>
      <c r="H8">
        <v>1</v>
      </c>
    </row>
    <row r="9" spans="1:8" x14ac:dyDescent="0.3">
      <c r="A9">
        <v>8</v>
      </c>
      <c r="B9">
        <v>1</v>
      </c>
      <c r="C9" t="s">
        <v>54</v>
      </c>
      <c r="D9">
        <v>8</v>
      </c>
      <c r="E9" t="s">
        <v>55</v>
      </c>
      <c r="F9" t="s">
        <v>56</v>
      </c>
      <c r="G9">
        <v>8</v>
      </c>
      <c r="H9">
        <v>1</v>
      </c>
    </row>
    <row r="10" spans="1:8" x14ac:dyDescent="0.3">
      <c r="A10">
        <v>9</v>
      </c>
      <c r="B10">
        <v>1</v>
      </c>
      <c r="C10" t="s">
        <v>11</v>
      </c>
      <c r="D10">
        <v>9</v>
      </c>
      <c r="E10" t="s">
        <v>57</v>
      </c>
      <c r="F10" t="s">
        <v>58</v>
      </c>
      <c r="G10">
        <v>9</v>
      </c>
      <c r="H10">
        <v>1</v>
      </c>
    </row>
    <row r="11" spans="1:8" x14ac:dyDescent="0.3">
      <c r="A11">
        <v>10</v>
      </c>
      <c r="B11">
        <v>1</v>
      </c>
      <c r="C11" t="s">
        <v>12</v>
      </c>
      <c r="D11">
        <v>10</v>
      </c>
      <c r="E11" t="s">
        <v>59</v>
      </c>
      <c r="F11" t="s">
        <v>60</v>
      </c>
      <c r="G11">
        <v>10</v>
      </c>
      <c r="H11">
        <v>1</v>
      </c>
    </row>
    <row r="12" spans="1:8" x14ac:dyDescent="0.3">
      <c r="A12">
        <v>11</v>
      </c>
      <c r="B12">
        <v>1</v>
      </c>
      <c r="C12" t="s">
        <v>13</v>
      </c>
      <c r="D12">
        <v>11</v>
      </c>
      <c r="E12" t="s">
        <v>61</v>
      </c>
      <c r="F12" t="s">
        <v>62</v>
      </c>
      <c r="G12">
        <v>11</v>
      </c>
      <c r="H12">
        <v>1</v>
      </c>
    </row>
    <row r="13" spans="1:8" x14ac:dyDescent="0.3">
      <c r="A13">
        <v>12</v>
      </c>
      <c r="B13">
        <v>1</v>
      </c>
      <c r="C13" t="s">
        <v>14</v>
      </c>
      <c r="D13">
        <v>12</v>
      </c>
      <c r="E13" t="s">
        <v>63</v>
      </c>
      <c r="F13" t="s">
        <v>64</v>
      </c>
      <c r="G13">
        <v>12</v>
      </c>
      <c r="H13">
        <v>1</v>
      </c>
    </row>
    <row r="14" spans="1:8" x14ac:dyDescent="0.3">
      <c r="A14">
        <v>13</v>
      </c>
      <c r="B14">
        <v>1</v>
      </c>
      <c r="C14" t="s">
        <v>15</v>
      </c>
      <c r="D14">
        <v>13</v>
      </c>
      <c r="E14" t="s">
        <v>65</v>
      </c>
      <c r="F14" t="s">
        <v>66</v>
      </c>
      <c r="G14">
        <v>13</v>
      </c>
      <c r="H14">
        <v>1</v>
      </c>
    </row>
    <row r="15" spans="1:8" x14ac:dyDescent="0.3">
      <c r="A15">
        <v>14</v>
      </c>
      <c r="B15">
        <v>1</v>
      </c>
      <c r="C15" t="s">
        <v>16</v>
      </c>
      <c r="D15">
        <v>14</v>
      </c>
      <c r="E15" t="s">
        <v>67</v>
      </c>
      <c r="F15" t="s">
        <v>68</v>
      </c>
      <c r="G15">
        <v>14</v>
      </c>
      <c r="H15">
        <v>1</v>
      </c>
    </row>
    <row r="16" spans="1:8" x14ac:dyDescent="0.3">
      <c r="A16">
        <v>15</v>
      </c>
      <c r="B16">
        <v>1</v>
      </c>
      <c r="C16" t="s">
        <v>17</v>
      </c>
      <c r="D16">
        <v>15</v>
      </c>
      <c r="E16" t="s">
        <v>69</v>
      </c>
      <c r="F16" t="s">
        <v>70</v>
      </c>
      <c r="G16">
        <v>15</v>
      </c>
      <c r="H16">
        <v>1</v>
      </c>
    </row>
    <row r="17" spans="1:8" x14ac:dyDescent="0.3">
      <c r="A17">
        <v>16</v>
      </c>
      <c r="B17">
        <v>1</v>
      </c>
      <c r="C17" t="s">
        <v>71</v>
      </c>
      <c r="D17">
        <v>16</v>
      </c>
      <c r="E17" t="s">
        <v>72</v>
      </c>
      <c r="F17" t="s">
        <v>73</v>
      </c>
      <c r="G17">
        <v>16</v>
      </c>
      <c r="H17">
        <v>1</v>
      </c>
    </row>
    <row r="18" spans="1:8" x14ac:dyDescent="0.3">
      <c r="A18">
        <v>17</v>
      </c>
      <c r="B18">
        <v>1</v>
      </c>
      <c r="C18" t="s">
        <v>18</v>
      </c>
      <c r="D18">
        <v>17</v>
      </c>
      <c r="E18" t="s">
        <v>74</v>
      </c>
      <c r="F18" t="s">
        <v>75</v>
      </c>
      <c r="G18">
        <v>17</v>
      </c>
      <c r="H18">
        <v>1</v>
      </c>
    </row>
    <row r="19" spans="1:8" x14ac:dyDescent="0.3">
      <c r="A19">
        <v>18</v>
      </c>
      <c r="B19">
        <v>1</v>
      </c>
      <c r="C19" t="s">
        <v>19</v>
      </c>
      <c r="D19">
        <v>18</v>
      </c>
      <c r="E19" t="s">
        <v>76</v>
      </c>
      <c r="F19" t="s">
        <v>77</v>
      </c>
      <c r="G19">
        <v>18</v>
      </c>
      <c r="H19">
        <v>1</v>
      </c>
    </row>
    <row r="20" spans="1:8" x14ac:dyDescent="0.3">
      <c r="A20">
        <v>19</v>
      </c>
      <c r="B20">
        <v>1</v>
      </c>
      <c r="C20" t="s">
        <v>20</v>
      </c>
      <c r="D20">
        <v>19</v>
      </c>
      <c r="E20" t="s">
        <v>78</v>
      </c>
      <c r="F20" t="s">
        <v>79</v>
      </c>
      <c r="G20">
        <v>19</v>
      </c>
      <c r="H20">
        <v>1</v>
      </c>
    </row>
    <row r="21" spans="1:8" x14ac:dyDescent="0.3">
      <c r="A21">
        <v>20</v>
      </c>
      <c r="B21">
        <v>1</v>
      </c>
      <c r="C21" t="s">
        <v>21</v>
      </c>
      <c r="D21">
        <v>20</v>
      </c>
      <c r="E21" t="s">
        <v>80</v>
      </c>
      <c r="F21" t="s">
        <v>81</v>
      </c>
      <c r="G21">
        <v>20</v>
      </c>
      <c r="H21">
        <v>1</v>
      </c>
    </row>
    <row r="22" spans="1:8" x14ac:dyDescent="0.3">
      <c r="A22">
        <v>21</v>
      </c>
      <c r="B22">
        <v>1</v>
      </c>
      <c r="C22" t="s">
        <v>22</v>
      </c>
      <c r="D22">
        <v>21</v>
      </c>
      <c r="E22" t="s">
        <v>82</v>
      </c>
      <c r="F22" t="s">
        <v>83</v>
      </c>
      <c r="G22">
        <v>21</v>
      </c>
      <c r="H22">
        <v>1</v>
      </c>
    </row>
    <row r="23" spans="1:8" x14ac:dyDescent="0.3">
      <c r="A23">
        <v>22</v>
      </c>
      <c r="B23">
        <v>1</v>
      </c>
      <c r="C23" t="s">
        <v>23</v>
      </c>
      <c r="D23">
        <v>22</v>
      </c>
      <c r="E23" t="s">
        <v>84</v>
      </c>
      <c r="F23" t="s">
        <v>85</v>
      </c>
      <c r="G23">
        <v>22</v>
      </c>
      <c r="H23">
        <v>1</v>
      </c>
    </row>
    <row r="24" spans="1:8" x14ac:dyDescent="0.3">
      <c r="A24">
        <v>23</v>
      </c>
      <c r="B24">
        <v>1</v>
      </c>
      <c r="C24" t="s">
        <v>24</v>
      </c>
      <c r="D24">
        <v>23</v>
      </c>
      <c r="E24" t="s">
        <v>86</v>
      </c>
      <c r="F24" t="s">
        <v>87</v>
      </c>
      <c r="G24">
        <v>23</v>
      </c>
      <c r="H24">
        <v>1</v>
      </c>
    </row>
    <row r="25" spans="1:8" x14ac:dyDescent="0.3">
      <c r="A25">
        <v>24</v>
      </c>
      <c r="B25">
        <v>1</v>
      </c>
      <c r="C25" t="s">
        <v>25</v>
      </c>
      <c r="D25">
        <v>24</v>
      </c>
      <c r="E25" t="s">
        <v>88</v>
      </c>
      <c r="F25" t="s">
        <v>89</v>
      </c>
      <c r="G25">
        <v>24</v>
      </c>
      <c r="H25">
        <v>1</v>
      </c>
    </row>
    <row r="26" spans="1:8" x14ac:dyDescent="0.3">
      <c r="A26">
        <v>25</v>
      </c>
      <c r="B26">
        <v>1</v>
      </c>
      <c r="C26" t="s">
        <v>26</v>
      </c>
      <c r="D26">
        <v>25</v>
      </c>
      <c r="E26" t="s">
        <v>90</v>
      </c>
      <c r="F26" t="s">
        <v>91</v>
      </c>
      <c r="G26">
        <v>25</v>
      </c>
      <c r="H26">
        <v>1</v>
      </c>
    </row>
    <row r="27" spans="1:8" x14ac:dyDescent="0.3">
      <c r="A27">
        <v>26</v>
      </c>
      <c r="B27">
        <v>1</v>
      </c>
      <c r="C27" t="s">
        <v>27</v>
      </c>
      <c r="D27">
        <v>26</v>
      </c>
      <c r="E27" t="s">
        <v>92</v>
      </c>
      <c r="F27" t="s">
        <v>93</v>
      </c>
      <c r="G27">
        <v>26</v>
      </c>
      <c r="H27">
        <v>1</v>
      </c>
    </row>
    <row r="28" spans="1:8" x14ac:dyDescent="0.3">
      <c r="A28">
        <v>27</v>
      </c>
      <c r="B28">
        <v>1</v>
      </c>
      <c r="C28" t="s">
        <v>28</v>
      </c>
      <c r="D28">
        <v>27</v>
      </c>
      <c r="E28" t="s">
        <v>94</v>
      </c>
      <c r="F28" t="s">
        <v>95</v>
      </c>
      <c r="G28">
        <v>27</v>
      </c>
      <c r="H28">
        <v>1</v>
      </c>
    </row>
    <row r="29" spans="1:8" x14ac:dyDescent="0.3">
      <c r="A29">
        <v>28</v>
      </c>
      <c r="B29">
        <v>1</v>
      </c>
      <c r="C29" t="s">
        <v>29</v>
      </c>
      <c r="D29">
        <v>28</v>
      </c>
      <c r="E29" t="s">
        <v>96</v>
      </c>
      <c r="F29" t="s">
        <v>97</v>
      </c>
      <c r="G29">
        <v>28</v>
      </c>
      <c r="H29">
        <v>1</v>
      </c>
    </row>
    <row r="30" spans="1:8" x14ac:dyDescent="0.3">
      <c r="A30">
        <v>29</v>
      </c>
      <c r="B30">
        <v>1</v>
      </c>
      <c r="C30" t="s">
        <v>30</v>
      </c>
      <c r="D30">
        <v>29</v>
      </c>
      <c r="E30" t="s">
        <v>98</v>
      </c>
      <c r="F30" t="s">
        <v>99</v>
      </c>
      <c r="G30">
        <v>29</v>
      </c>
      <c r="H30">
        <v>1</v>
      </c>
    </row>
    <row r="31" spans="1:8" x14ac:dyDescent="0.3">
      <c r="A31">
        <v>30</v>
      </c>
      <c r="B31">
        <v>1</v>
      </c>
      <c r="C31" t="s">
        <v>100</v>
      </c>
      <c r="D31">
        <v>30</v>
      </c>
      <c r="E31" t="s">
        <v>101</v>
      </c>
      <c r="F31" t="s">
        <v>102</v>
      </c>
      <c r="G31">
        <v>30</v>
      </c>
      <c r="H31">
        <v>1</v>
      </c>
    </row>
    <row r="32" spans="1:8" x14ac:dyDescent="0.3">
      <c r="A32">
        <v>31</v>
      </c>
      <c r="B32">
        <v>1</v>
      </c>
      <c r="C32" t="s">
        <v>31</v>
      </c>
      <c r="D32">
        <v>31</v>
      </c>
      <c r="E32" t="s">
        <v>103</v>
      </c>
      <c r="F32" t="s">
        <v>104</v>
      </c>
      <c r="G32">
        <v>31</v>
      </c>
      <c r="H32">
        <v>1</v>
      </c>
    </row>
    <row r="33" spans="1:8" x14ac:dyDescent="0.3">
      <c r="A33">
        <v>32</v>
      </c>
      <c r="B33">
        <v>1</v>
      </c>
      <c r="C33" t="s">
        <v>32</v>
      </c>
      <c r="D33">
        <v>32</v>
      </c>
      <c r="E33" t="s">
        <v>105</v>
      </c>
      <c r="F33" t="s">
        <v>106</v>
      </c>
      <c r="G33">
        <v>32</v>
      </c>
      <c r="H3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AC18-3362-4E46-983D-66A308125C57}">
  <dimension ref="A1:F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4.4" x14ac:dyDescent="0.3"/>
  <cols>
    <col min="1" max="1" width="37.33203125" customWidth="1"/>
    <col min="2" max="2" width="12.5546875" customWidth="1"/>
    <col min="3" max="3" width="11" customWidth="1"/>
    <col min="4" max="4" width="11.109375" customWidth="1"/>
    <col min="5" max="5" width="15.21875" customWidth="1"/>
    <col min="6" max="6" width="57.44140625" customWidth="1"/>
  </cols>
  <sheetData>
    <row r="1" spans="1:6" ht="28.2" customHeight="1" x14ac:dyDescent="0.3">
      <c r="A1" s="6" t="s">
        <v>0</v>
      </c>
      <c r="B1" s="7" t="s">
        <v>107</v>
      </c>
      <c r="C1" s="7" t="s">
        <v>2</v>
      </c>
      <c r="D1" s="7" t="s">
        <v>1</v>
      </c>
      <c r="E1" s="7" t="s">
        <v>3</v>
      </c>
      <c r="F1" s="8" t="s">
        <v>108</v>
      </c>
    </row>
    <row r="2" spans="1:6" x14ac:dyDescent="0.3">
      <c r="A2" s="4" t="s">
        <v>4</v>
      </c>
      <c r="B2" s="5">
        <f>VLOOKUP(A2,Tabla3[[name]:[ID_2]],2,FALSE)</f>
        <v>1</v>
      </c>
      <c r="C2" s="3">
        <v>1</v>
      </c>
      <c r="D2" s="3">
        <v>0</v>
      </c>
      <c r="E2" s="3">
        <f>SUM(C2:D2)</f>
        <v>1</v>
      </c>
      <c r="F2" s="1" t="str">
        <f>"INSERT INTO sesnsp (state_id, woman, man) VALUES (" &amp; B2 &amp; ", " &amp; D2 &amp; ", " &amp; C2 &amp; ");"</f>
        <v>INSERT INTO sesnsp (state_id, woman, man) VALUES (1, 0, 1);</v>
      </c>
    </row>
    <row r="3" spans="1:6" x14ac:dyDescent="0.3">
      <c r="A3" s="4" t="s">
        <v>5</v>
      </c>
      <c r="B3" s="5">
        <f>VLOOKUP(A3,Tabla3[[name]:[ID_2]],2,FALSE)</f>
        <v>2</v>
      </c>
      <c r="C3" s="3">
        <v>12</v>
      </c>
      <c r="D3" s="3">
        <v>4</v>
      </c>
      <c r="E3" s="3">
        <f t="shared" ref="E3:E33" si="0">SUM(C3:D3)</f>
        <v>16</v>
      </c>
      <c r="F3" s="1" t="str">
        <f t="shared" ref="F3:F33" si="1">"INSERT INTO sesnsp (state_id, woman, man) VALUES (" &amp; B3 &amp; ", " &amp; C3 &amp; ", " &amp; D3 &amp; ");"</f>
        <v>INSERT INTO sesnsp (state_id, woman, man) VALUES (2, 12, 4);</v>
      </c>
    </row>
    <row r="4" spans="1:6" x14ac:dyDescent="0.3">
      <c r="A4" s="4" t="s">
        <v>6</v>
      </c>
      <c r="B4" s="5">
        <f>VLOOKUP(A4,Tabla3[[name]:[ID_2]],2,FALSE)</f>
        <v>3</v>
      </c>
      <c r="C4" s="3">
        <v>4</v>
      </c>
      <c r="D4" s="3">
        <v>3</v>
      </c>
      <c r="E4" s="3">
        <f t="shared" si="0"/>
        <v>7</v>
      </c>
      <c r="F4" s="1" t="str">
        <f t="shared" si="1"/>
        <v>INSERT INTO sesnsp (state_id, woman, man) VALUES (3, 4, 3);</v>
      </c>
    </row>
    <row r="5" spans="1:6" x14ac:dyDescent="0.3">
      <c r="A5" s="4" t="s">
        <v>7</v>
      </c>
      <c r="B5" s="5">
        <f>VLOOKUP(A5,Tabla3[[name]:[ID_2]],2,FALSE)</f>
        <v>4</v>
      </c>
      <c r="C5" s="3">
        <v>1</v>
      </c>
      <c r="D5" s="3">
        <v>0</v>
      </c>
      <c r="E5" s="3">
        <f t="shared" si="0"/>
        <v>1</v>
      </c>
      <c r="F5" s="1" t="str">
        <f t="shared" si="1"/>
        <v>INSERT INTO sesnsp (state_id, woman, man) VALUES (4, 1, 0);</v>
      </c>
    </row>
    <row r="6" spans="1:6" x14ac:dyDescent="0.3">
      <c r="A6" s="4" t="s">
        <v>8</v>
      </c>
      <c r="B6" s="5">
        <f>VLOOKUP(A6,Tabla3[[name]:[ID_2]],2,FALSE)</f>
        <v>5</v>
      </c>
      <c r="C6" s="3">
        <v>4</v>
      </c>
      <c r="D6" s="3">
        <v>2</v>
      </c>
      <c r="E6" s="3">
        <f t="shared" si="0"/>
        <v>6</v>
      </c>
      <c r="F6" s="1" t="str">
        <f t="shared" si="1"/>
        <v>INSERT INTO sesnsp (state_id, woman, man) VALUES (5, 4, 2);</v>
      </c>
    </row>
    <row r="7" spans="1:6" x14ac:dyDescent="0.3">
      <c r="A7" s="4" t="s">
        <v>9</v>
      </c>
      <c r="B7" s="5">
        <f>VLOOKUP(A7,Tabla3[[name]:[ID_2]],2,FALSE)</f>
        <v>6</v>
      </c>
      <c r="C7" s="3">
        <v>21</v>
      </c>
      <c r="D7" s="3">
        <v>13</v>
      </c>
      <c r="E7" s="3">
        <f t="shared" si="0"/>
        <v>34</v>
      </c>
      <c r="F7" s="1" t="str">
        <f t="shared" si="1"/>
        <v>INSERT INTO sesnsp (state_id, woman, man) VALUES (6, 21, 13);</v>
      </c>
    </row>
    <row r="8" spans="1:6" x14ac:dyDescent="0.3">
      <c r="A8" s="4" t="s">
        <v>10</v>
      </c>
      <c r="B8" s="5">
        <f>VLOOKUP(A8,Tabla3[[name]:[ID_2]],2,FALSE)</f>
        <v>7</v>
      </c>
      <c r="C8" s="3">
        <v>16</v>
      </c>
      <c r="D8" s="3">
        <v>6</v>
      </c>
      <c r="E8" s="3">
        <f t="shared" si="0"/>
        <v>22</v>
      </c>
      <c r="F8" s="1" t="str">
        <f t="shared" si="1"/>
        <v>INSERT INTO sesnsp (state_id, woman, man) VALUES (7, 16, 6);</v>
      </c>
    </row>
    <row r="9" spans="1:6" x14ac:dyDescent="0.3">
      <c r="A9" s="4" t="s">
        <v>54</v>
      </c>
      <c r="B9" s="5">
        <f>VLOOKUP(A9,Tabla3[[name]:[ID_2]],2,FALSE)</f>
        <v>8</v>
      </c>
      <c r="C9" s="3">
        <v>2</v>
      </c>
      <c r="D9" s="3">
        <v>1</v>
      </c>
      <c r="E9" s="3">
        <f t="shared" si="0"/>
        <v>3</v>
      </c>
      <c r="F9" s="1" t="str">
        <f t="shared" si="1"/>
        <v>INSERT INTO sesnsp (state_id, woman, man) VALUES (8, 2, 1);</v>
      </c>
    </row>
    <row r="10" spans="1:6" x14ac:dyDescent="0.3">
      <c r="A10" s="4" t="s">
        <v>11</v>
      </c>
      <c r="B10" s="5">
        <f>VLOOKUP(A10,Tabla3[[name]:[ID_2]],2,FALSE)</f>
        <v>9</v>
      </c>
      <c r="C10" s="3">
        <v>0</v>
      </c>
      <c r="D10" s="3">
        <v>0</v>
      </c>
      <c r="E10" s="3">
        <f t="shared" si="0"/>
        <v>0</v>
      </c>
      <c r="F10" s="1" t="str">
        <f t="shared" si="1"/>
        <v>INSERT INTO sesnsp (state_id, woman, man) VALUES (9, 0, 0);</v>
      </c>
    </row>
    <row r="11" spans="1:6" x14ac:dyDescent="0.3">
      <c r="A11" s="4" t="s">
        <v>12</v>
      </c>
      <c r="B11" s="5">
        <f>VLOOKUP(A11,Tabla3[[name]:[ID_2]],2,FALSE)</f>
        <v>10</v>
      </c>
      <c r="C11" s="3">
        <v>0</v>
      </c>
      <c r="D11" s="3">
        <v>0</v>
      </c>
      <c r="E11" s="3">
        <f t="shared" si="0"/>
        <v>0</v>
      </c>
      <c r="F11" s="1" t="str">
        <f t="shared" si="1"/>
        <v>INSERT INTO sesnsp (state_id, woman, man) VALUES (10, 0, 0);</v>
      </c>
    </row>
    <row r="12" spans="1:6" x14ac:dyDescent="0.3">
      <c r="A12" s="2" t="s">
        <v>13</v>
      </c>
      <c r="B12" s="5">
        <f>VLOOKUP(A12,Tabla3[[name]:[ID_2]],2,FALSE)</f>
        <v>11</v>
      </c>
      <c r="C12" s="3">
        <v>3</v>
      </c>
      <c r="D12" s="3">
        <v>2</v>
      </c>
      <c r="E12" s="3">
        <f t="shared" si="0"/>
        <v>5</v>
      </c>
      <c r="F12" s="1" t="str">
        <f t="shared" si="1"/>
        <v>INSERT INTO sesnsp (state_id, woman, man) VALUES (11, 3, 2);</v>
      </c>
    </row>
    <row r="13" spans="1:6" x14ac:dyDescent="0.3">
      <c r="A13" s="2" t="s">
        <v>14</v>
      </c>
      <c r="B13" s="5">
        <f>VLOOKUP(A13,Tabla3[[name]:[ID_2]],2,FALSE)</f>
        <v>12</v>
      </c>
      <c r="C13" s="3">
        <v>12</v>
      </c>
      <c r="D13" s="3">
        <v>3</v>
      </c>
      <c r="E13" s="3">
        <f t="shared" si="0"/>
        <v>15</v>
      </c>
      <c r="F13" s="1" t="str">
        <f t="shared" si="1"/>
        <v>INSERT INTO sesnsp (state_id, woman, man) VALUES (12, 12, 3);</v>
      </c>
    </row>
    <row r="14" spans="1:6" x14ac:dyDescent="0.3">
      <c r="A14" s="2" t="s">
        <v>15</v>
      </c>
      <c r="B14" s="5">
        <f>VLOOKUP(A14,Tabla3[[name]:[ID_2]],2,FALSE)</f>
        <v>13</v>
      </c>
      <c r="C14" s="3">
        <v>3</v>
      </c>
      <c r="D14" s="3">
        <v>0</v>
      </c>
      <c r="E14" s="3">
        <f t="shared" si="0"/>
        <v>3</v>
      </c>
      <c r="F14" s="1" t="str">
        <f t="shared" si="1"/>
        <v>INSERT INTO sesnsp (state_id, woman, man) VALUES (13, 3, 0);</v>
      </c>
    </row>
    <row r="15" spans="1:6" x14ac:dyDescent="0.3">
      <c r="A15" s="2" t="s">
        <v>16</v>
      </c>
      <c r="B15" s="5">
        <f>VLOOKUP(A15,Tabla3[[name]:[ID_2]],2,FALSE)</f>
        <v>14</v>
      </c>
      <c r="C15" s="3">
        <v>0</v>
      </c>
      <c r="D15" s="3">
        <v>5</v>
      </c>
      <c r="E15" s="3">
        <f t="shared" si="0"/>
        <v>5</v>
      </c>
      <c r="F15" s="1" t="str">
        <f t="shared" si="1"/>
        <v>INSERT INTO sesnsp (state_id, woman, man) VALUES (14, 0, 5);</v>
      </c>
    </row>
    <row r="16" spans="1:6" x14ac:dyDescent="0.3">
      <c r="A16" s="2" t="s">
        <v>17</v>
      </c>
      <c r="B16" s="5">
        <f>VLOOKUP(A16,Tabla3[[name]:[ID_2]],2,FALSE)</f>
        <v>15</v>
      </c>
      <c r="C16" s="3">
        <v>31</v>
      </c>
      <c r="D16" s="3">
        <v>11</v>
      </c>
      <c r="E16" s="3">
        <f t="shared" si="0"/>
        <v>42</v>
      </c>
      <c r="F16" s="1" t="str">
        <f t="shared" si="1"/>
        <v>INSERT INTO sesnsp (state_id, woman, man) VALUES (15, 31, 11);</v>
      </c>
    </row>
    <row r="17" spans="1:6" x14ac:dyDescent="0.3">
      <c r="A17" s="2" t="s">
        <v>71</v>
      </c>
      <c r="B17" s="5">
        <f>VLOOKUP(A17,Tabla3[[name]:[ID_2]],2,FALSE)</f>
        <v>16</v>
      </c>
      <c r="C17" s="3">
        <v>1</v>
      </c>
      <c r="D17" s="3">
        <v>0</v>
      </c>
      <c r="E17" s="3">
        <f t="shared" si="0"/>
        <v>1</v>
      </c>
      <c r="F17" s="1" t="str">
        <f t="shared" si="1"/>
        <v>INSERT INTO sesnsp (state_id, woman, man) VALUES (16, 1, 0);</v>
      </c>
    </row>
    <row r="18" spans="1:6" x14ac:dyDescent="0.3">
      <c r="A18" s="2" t="s">
        <v>18</v>
      </c>
      <c r="B18" s="5">
        <f>VLOOKUP(A18,Tabla3[[name]:[ID_2]],2,FALSE)</f>
        <v>17</v>
      </c>
      <c r="C18" s="3">
        <v>3</v>
      </c>
      <c r="D18" s="3">
        <v>0</v>
      </c>
      <c r="E18" s="3">
        <f t="shared" si="0"/>
        <v>3</v>
      </c>
      <c r="F18" s="1" t="str">
        <f t="shared" si="1"/>
        <v>INSERT INTO sesnsp (state_id, woman, man) VALUES (17, 3, 0);</v>
      </c>
    </row>
    <row r="19" spans="1:6" x14ac:dyDescent="0.3">
      <c r="A19" s="2" t="s">
        <v>19</v>
      </c>
      <c r="B19" s="5">
        <f>VLOOKUP(A19,Tabla3[[name]:[ID_2]],2,FALSE)</f>
        <v>18</v>
      </c>
      <c r="C19" s="3">
        <v>1</v>
      </c>
      <c r="D19" s="3">
        <v>0</v>
      </c>
      <c r="E19" s="3">
        <f t="shared" si="0"/>
        <v>1</v>
      </c>
      <c r="F19" s="1" t="str">
        <f t="shared" si="1"/>
        <v>INSERT INTO sesnsp (state_id, woman, man) VALUES (18, 1, 0);</v>
      </c>
    </row>
    <row r="20" spans="1:6" x14ac:dyDescent="0.3">
      <c r="A20" s="2" t="s">
        <v>20</v>
      </c>
      <c r="B20" s="5">
        <f>VLOOKUP(A20,Tabla3[[name]:[ID_2]],2,FALSE)</f>
        <v>19</v>
      </c>
      <c r="C20" s="3">
        <v>7</v>
      </c>
      <c r="D20" s="3">
        <v>0</v>
      </c>
      <c r="E20" s="3">
        <f t="shared" si="0"/>
        <v>7</v>
      </c>
      <c r="F20" s="1" t="str">
        <f t="shared" si="1"/>
        <v>INSERT INTO sesnsp (state_id, woman, man) VALUES (19, 7, 0);</v>
      </c>
    </row>
    <row r="21" spans="1:6" x14ac:dyDescent="0.3">
      <c r="A21" s="2" t="s">
        <v>21</v>
      </c>
      <c r="B21" s="5">
        <f>VLOOKUP(A21,Tabla3[[name]:[ID_2]],2,FALSE)</f>
        <v>20</v>
      </c>
      <c r="C21" s="3">
        <v>6</v>
      </c>
      <c r="D21" s="3">
        <v>3</v>
      </c>
      <c r="E21" s="3">
        <f t="shared" si="0"/>
        <v>9</v>
      </c>
      <c r="F21" s="1" t="str">
        <f t="shared" si="1"/>
        <v>INSERT INTO sesnsp (state_id, woman, man) VALUES (20, 6, 3);</v>
      </c>
    </row>
    <row r="22" spans="1:6" x14ac:dyDescent="0.3">
      <c r="A22" s="2" t="s">
        <v>22</v>
      </c>
      <c r="B22" s="5">
        <f>VLOOKUP(A22,Tabla3[[name]:[ID_2]],2,FALSE)</f>
        <v>21</v>
      </c>
      <c r="C22" s="3">
        <v>5</v>
      </c>
      <c r="D22" s="3">
        <v>5</v>
      </c>
      <c r="E22" s="3">
        <f t="shared" si="0"/>
        <v>10</v>
      </c>
      <c r="F22" s="1" t="str">
        <f t="shared" si="1"/>
        <v>INSERT INTO sesnsp (state_id, woman, man) VALUES (21, 5, 5);</v>
      </c>
    </row>
    <row r="23" spans="1:6" x14ac:dyDescent="0.3">
      <c r="A23" s="2" t="s">
        <v>23</v>
      </c>
      <c r="B23" s="5">
        <f>VLOOKUP(A23,Tabla3[[name]:[ID_2]],2,FALSE)</f>
        <v>22</v>
      </c>
      <c r="C23" s="3">
        <v>0</v>
      </c>
      <c r="D23" s="3">
        <v>0</v>
      </c>
      <c r="E23" s="3">
        <f t="shared" si="0"/>
        <v>0</v>
      </c>
      <c r="F23" s="1" t="str">
        <f t="shared" si="1"/>
        <v>INSERT INTO sesnsp (state_id, woman, man) VALUES (22, 0, 0);</v>
      </c>
    </row>
    <row r="24" spans="1:6" x14ac:dyDescent="0.3">
      <c r="A24" s="2" t="s">
        <v>24</v>
      </c>
      <c r="B24" s="5">
        <f>VLOOKUP(A24,Tabla3[[name]:[ID_2]],2,FALSE)</f>
        <v>23</v>
      </c>
      <c r="C24" s="3">
        <v>53</v>
      </c>
      <c r="D24" s="3">
        <v>17</v>
      </c>
      <c r="E24" s="3">
        <f t="shared" si="0"/>
        <v>70</v>
      </c>
      <c r="F24" s="1" t="str">
        <f t="shared" si="1"/>
        <v>INSERT INTO sesnsp (state_id, woman, man) VALUES (23, 53, 17);</v>
      </c>
    </row>
    <row r="25" spans="1:6" x14ac:dyDescent="0.3">
      <c r="A25" s="2" t="s">
        <v>25</v>
      </c>
      <c r="B25" s="5">
        <f>VLOOKUP(A25,Tabla3[[name]:[ID_2]],2,FALSE)</f>
        <v>24</v>
      </c>
      <c r="C25" s="3">
        <v>11</v>
      </c>
      <c r="D25" s="3">
        <v>0</v>
      </c>
      <c r="E25" s="3">
        <f t="shared" si="0"/>
        <v>11</v>
      </c>
      <c r="F25" s="1" t="str">
        <f t="shared" si="1"/>
        <v>INSERT INTO sesnsp (state_id, woman, man) VALUES (24, 11, 0);</v>
      </c>
    </row>
    <row r="26" spans="1:6" x14ac:dyDescent="0.3">
      <c r="A26" s="2" t="s">
        <v>26</v>
      </c>
      <c r="B26" s="5">
        <f>VLOOKUP(A26,Tabla3[[name]:[ID_2]],2,FALSE)</f>
        <v>25</v>
      </c>
      <c r="C26" s="3">
        <v>0</v>
      </c>
      <c r="D26" s="3">
        <v>0</v>
      </c>
      <c r="E26" s="3">
        <f t="shared" si="0"/>
        <v>0</v>
      </c>
      <c r="F26" s="1" t="str">
        <f t="shared" si="1"/>
        <v>INSERT INTO sesnsp (state_id, woman, man) VALUES (25, 0, 0);</v>
      </c>
    </row>
    <row r="27" spans="1:6" x14ac:dyDescent="0.3">
      <c r="A27" s="2" t="s">
        <v>27</v>
      </c>
      <c r="B27" s="5">
        <f>VLOOKUP(A27,Tabla3[[name]:[ID_2]],2,FALSE)</f>
        <v>26</v>
      </c>
      <c r="C27" s="3">
        <v>2</v>
      </c>
      <c r="D27" s="3">
        <v>1</v>
      </c>
      <c r="E27" s="3">
        <f t="shared" si="0"/>
        <v>3</v>
      </c>
      <c r="F27" s="1" t="str">
        <f t="shared" si="1"/>
        <v>INSERT INTO sesnsp (state_id, woman, man) VALUES (26, 2, 1);</v>
      </c>
    </row>
    <row r="28" spans="1:6" x14ac:dyDescent="0.3">
      <c r="A28" s="2" t="s">
        <v>28</v>
      </c>
      <c r="B28" s="5">
        <f>VLOOKUP(A28,Tabla3[[name]:[ID_2]],2,FALSE)</f>
        <v>27</v>
      </c>
      <c r="C28" s="3">
        <v>5</v>
      </c>
      <c r="D28" s="3">
        <v>0</v>
      </c>
      <c r="E28" s="3">
        <f t="shared" si="0"/>
        <v>5</v>
      </c>
      <c r="F28" s="1" t="str">
        <f t="shared" si="1"/>
        <v>INSERT INTO sesnsp (state_id, woman, man) VALUES (27, 5, 0);</v>
      </c>
    </row>
    <row r="29" spans="1:6" x14ac:dyDescent="0.3">
      <c r="A29" s="2" t="s">
        <v>29</v>
      </c>
      <c r="B29" s="5">
        <f>VLOOKUP(A29,Tabla3[[name]:[ID_2]],2,FALSE)</f>
        <v>28</v>
      </c>
      <c r="C29" s="3">
        <v>3</v>
      </c>
      <c r="D29" s="3">
        <v>0</v>
      </c>
      <c r="E29" s="3">
        <f t="shared" si="0"/>
        <v>3</v>
      </c>
      <c r="F29" s="1" t="str">
        <f t="shared" si="1"/>
        <v>INSERT INTO sesnsp (state_id, woman, man) VALUES (28, 3, 0);</v>
      </c>
    </row>
    <row r="30" spans="1:6" x14ac:dyDescent="0.3">
      <c r="A30" s="2" t="s">
        <v>30</v>
      </c>
      <c r="B30" s="5">
        <f>VLOOKUP(A30,Tabla3[[name]:[ID_2]],2,FALSE)</f>
        <v>29</v>
      </c>
      <c r="C30" s="3">
        <v>0</v>
      </c>
      <c r="D30" s="3">
        <v>0</v>
      </c>
      <c r="E30" s="3">
        <f t="shared" si="0"/>
        <v>0</v>
      </c>
      <c r="F30" s="1" t="str">
        <f t="shared" si="1"/>
        <v>INSERT INTO sesnsp (state_id, woman, man) VALUES (29, 0, 0);</v>
      </c>
    </row>
    <row r="31" spans="1:6" x14ac:dyDescent="0.3">
      <c r="A31" s="2" t="s">
        <v>100</v>
      </c>
      <c r="B31" s="5">
        <f>VLOOKUP(A31,Tabla3[[name]:[ID_2]],2,FALSE)</f>
        <v>30</v>
      </c>
      <c r="C31" s="3">
        <v>2</v>
      </c>
      <c r="D31" s="3">
        <v>2</v>
      </c>
      <c r="E31" s="3">
        <f t="shared" si="0"/>
        <v>4</v>
      </c>
      <c r="F31" s="1" t="str">
        <f t="shared" si="1"/>
        <v>INSERT INTO sesnsp (state_id, woman, man) VALUES (30, 2, 2);</v>
      </c>
    </row>
    <row r="32" spans="1:6" x14ac:dyDescent="0.3">
      <c r="A32" s="2" t="s">
        <v>31</v>
      </c>
      <c r="B32" s="5">
        <f>VLOOKUP(A32,Tabla3[[name]:[ID_2]],2,FALSE)</f>
        <v>31</v>
      </c>
      <c r="C32" s="3">
        <v>0</v>
      </c>
      <c r="D32" s="3">
        <v>0</v>
      </c>
      <c r="E32" s="3">
        <f t="shared" si="0"/>
        <v>0</v>
      </c>
      <c r="F32" s="1" t="str">
        <f t="shared" si="1"/>
        <v>INSERT INTO sesnsp (state_id, woman, man) VALUES (31, 0, 0);</v>
      </c>
    </row>
    <row r="33" spans="1:6" x14ac:dyDescent="0.3">
      <c r="A33" s="2" t="s">
        <v>32</v>
      </c>
      <c r="B33" s="5">
        <f>VLOOKUP(A33,Tabla3[[name]:[ID_2]],2,FALSE)</f>
        <v>32</v>
      </c>
      <c r="C33" s="3">
        <v>12</v>
      </c>
      <c r="D33" s="3">
        <v>2</v>
      </c>
      <c r="E33" s="3">
        <f t="shared" si="0"/>
        <v>14</v>
      </c>
      <c r="F33" s="1" t="str">
        <f t="shared" si="1"/>
        <v>INSERT INTO sesnsp (state_id, woman, man) VALUES (32, 12, 2);</v>
      </c>
    </row>
  </sheetData>
  <autoFilter ref="A1:F1" xr:uid="{64B5AC18-3362-4E46-983D-66A308125C5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estados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LENOVO</cp:lastModifiedBy>
  <dcterms:created xsi:type="dcterms:W3CDTF">2026-04-01T19:06:46Z</dcterms:created>
  <dcterms:modified xsi:type="dcterms:W3CDTF">2026-05-11T07:55:00Z</dcterms:modified>
</cp:coreProperties>
</file>